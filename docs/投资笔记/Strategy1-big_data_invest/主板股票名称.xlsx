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firstSheet="18" activeTab="27"/>
  </bookViews>
  <sheets>
    <sheet name="0.行业分类" sheetId="35" r:id="rId1"/>
    <sheet name="1.农林牧渔" sheetId="3" r:id="rId2"/>
    <sheet name="2.基础化工" sheetId="4" r:id="rId3"/>
    <sheet name="3.钢铁" sheetId="6" r:id="rId4"/>
    <sheet name="4.有色金属" sheetId="7" r:id="rId5"/>
    <sheet name="5.电子" sheetId="8" r:id="rId6"/>
    <sheet name="6.汽车" sheetId="9" r:id="rId7"/>
    <sheet name="7.家用电器" sheetId="10" r:id="rId8"/>
    <sheet name="8.食品饮料" sheetId="11" r:id="rId9"/>
    <sheet name="9.纺织服饰" sheetId="12" r:id="rId10"/>
    <sheet name="10.轻工制造" sheetId="13" r:id="rId11"/>
    <sheet name="11.医药生物" sheetId="14" r:id="rId12"/>
    <sheet name="12.公用事业" sheetId="15" r:id="rId13"/>
    <sheet name="13.交通运输" sheetId="16" r:id="rId14"/>
    <sheet name="14.房地产" sheetId="17" r:id="rId15"/>
    <sheet name="15.商贸零售" sheetId="18" r:id="rId16"/>
    <sheet name="16.社会服务" sheetId="19" r:id="rId17"/>
    <sheet name="17.银行" sheetId="20" r:id="rId18"/>
    <sheet name="18.非银金融" sheetId="21" r:id="rId19"/>
    <sheet name="19.综合" sheetId="22" r:id="rId20"/>
    <sheet name="20.建筑材料" sheetId="23" r:id="rId21"/>
    <sheet name="21.建筑装饰" sheetId="24" r:id="rId22"/>
    <sheet name="22.机械设备" sheetId="25" r:id="rId23"/>
    <sheet name="23.计算机" sheetId="26" r:id="rId24"/>
    <sheet name="24.传媒" sheetId="27" r:id="rId25"/>
    <sheet name="25.通信" sheetId="28" r:id="rId26"/>
    <sheet name="26.煤炭" sheetId="29" r:id="rId27"/>
    <sheet name="27.石油石化" sheetId="30" r:id="rId28"/>
    <sheet name="28.环保" sheetId="32" r:id="rId29"/>
    <sheet name="29.美容护理" sheetId="33" r:id="rId30"/>
    <sheet name="30.其他商业" sheetId="34" r:id="rId31"/>
    <sheet name="主板股票全" sheetId="5" r:id="rId32"/>
  </sheets>
  <definedNames>
    <definedName name="_xlnm._FilterDatabase" localSheetId="11" hidden="1">'11.医药生物'!$A$1:$M$157</definedName>
    <definedName name="_xlnm._FilterDatabase" localSheetId="24" hidden="1">'24.传媒'!$A$3:$J$67</definedName>
    <definedName name="_xlnm._FilterDatabase" localSheetId="31" hidden="1">主板股票全!$A$1:$J$2179</definedName>
    <definedName name="_xlnm.Print_Area" localSheetId="0">'0.行业分类'!$A$1:$N$111</definedName>
  </definedNames>
  <calcPr calcId="144525"/>
  <pivotCaches>
    <pivotCache cacheId="0" r:id="rId33"/>
  </pivotCaches>
</workbook>
</file>

<file path=xl/sharedStrings.xml><?xml version="1.0" encoding="utf-8"?>
<sst xmlns="http://schemas.openxmlformats.org/spreadsheetml/2006/main" count="35141" uniqueCount="6721">
  <si>
    <t>industry</t>
  </si>
  <si>
    <t>IT设备</t>
  </si>
  <si>
    <t>农林牧渔</t>
  </si>
  <si>
    <t>基础化工</t>
  </si>
  <si>
    <t>钢铁</t>
  </si>
  <si>
    <t>有色金属</t>
  </si>
  <si>
    <t>电子</t>
  </si>
  <si>
    <t>汽车</t>
  </si>
  <si>
    <t>家用电器</t>
  </si>
  <si>
    <t>食品饮料</t>
  </si>
  <si>
    <t>纺织服饰</t>
  </si>
  <si>
    <t>轻工制造</t>
  </si>
  <si>
    <t>白酒</t>
  </si>
  <si>
    <t>种植业</t>
  </si>
  <si>
    <t>化工原料</t>
  </si>
  <si>
    <t>特种钢</t>
  </si>
  <si>
    <t>铝</t>
  </si>
  <si>
    <t>电气设备</t>
  </si>
  <si>
    <t>汽车服务</t>
  </si>
  <si>
    <t>食品</t>
  </si>
  <si>
    <t>服饰</t>
  </si>
  <si>
    <t>家居用品</t>
  </si>
  <si>
    <t>百货</t>
  </si>
  <si>
    <t>渔业</t>
  </si>
  <si>
    <t>化纤</t>
  </si>
  <si>
    <t>普钢</t>
  </si>
  <si>
    <t>铜</t>
  </si>
  <si>
    <t>电器仪表</t>
  </si>
  <si>
    <t>汽车配件</t>
  </si>
  <si>
    <t>软饮料</t>
  </si>
  <si>
    <t>造纸</t>
  </si>
  <si>
    <t>半导体</t>
  </si>
  <si>
    <t>林业</t>
  </si>
  <si>
    <t>纺织</t>
  </si>
  <si>
    <t>钢加工</t>
  </si>
  <si>
    <t>铅锌</t>
  </si>
  <si>
    <t>汽车整车</t>
  </si>
  <si>
    <t>广告包装</t>
  </si>
  <si>
    <t>保险</t>
  </si>
  <si>
    <t>饲料</t>
  </si>
  <si>
    <t>塑料</t>
  </si>
  <si>
    <t>小金属</t>
  </si>
  <si>
    <t>元器件</t>
  </si>
  <si>
    <t>摩托车</t>
  </si>
  <si>
    <t>红黄酒</t>
  </si>
  <si>
    <t>玻璃</t>
  </si>
  <si>
    <t>农业综合</t>
  </si>
  <si>
    <t>农药化肥</t>
  </si>
  <si>
    <t>黄金</t>
  </si>
  <si>
    <t>啤酒</t>
  </si>
  <si>
    <t>仓储物流</t>
  </si>
  <si>
    <t>橡胶</t>
  </si>
  <si>
    <t>矿物制品</t>
  </si>
  <si>
    <t>乳制品</t>
  </si>
  <si>
    <t>超市连锁</t>
  </si>
  <si>
    <t>出版业</t>
  </si>
  <si>
    <t>医药生物</t>
  </si>
  <si>
    <t>公用事业</t>
  </si>
  <si>
    <t>交通运输</t>
  </si>
  <si>
    <t>房地产</t>
  </si>
  <si>
    <t>商贸零售</t>
  </si>
  <si>
    <t>社会服务</t>
  </si>
  <si>
    <t>银行</t>
  </si>
  <si>
    <t>非银金融</t>
  </si>
  <si>
    <t>综合</t>
  </si>
  <si>
    <t>建筑材料</t>
  </si>
  <si>
    <t>船舶</t>
  </si>
  <si>
    <t>中成药</t>
  </si>
  <si>
    <t>水力发电</t>
  </si>
  <si>
    <t>公共交通</t>
  </si>
  <si>
    <t>房产服务</t>
  </si>
  <si>
    <t>商贸代理</t>
  </si>
  <si>
    <t>旅游服务</t>
  </si>
  <si>
    <t>多元金融</t>
  </si>
  <si>
    <t>综合类</t>
  </si>
  <si>
    <t>水泥</t>
  </si>
  <si>
    <t>生物制药</t>
  </si>
  <si>
    <t>火力发电</t>
  </si>
  <si>
    <t>公路</t>
  </si>
  <si>
    <t>区域地产</t>
  </si>
  <si>
    <t>旅游景点</t>
  </si>
  <si>
    <t>化学制药</t>
  </si>
  <si>
    <t>新型电力</t>
  </si>
  <si>
    <t>港口</t>
  </si>
  <si>
    <t>全国地产</t>
  </si>
  <si>
    <t>批发业</t>
  </si>
  <si>
    <t>酒店餐饮</t>
  </si>
  <si>
    <t>证券</t>
  </si>
  <si>
    <t>染料涂料</t>
  </si>
  <si>
    <t>电信运营</t>
  </si>
  <si>
    <t>医疗保健</t>
  </si>
  <si>
    <t>供气供热</t>
  </si>
  <si>
    <t>水运</t>
  </si>
  <si>
    <t>园区开发</t>
  </si>
  <si>
    <t>其他建材</t>
  </si>
  <si>
    <t>医药商业</t>
  </si>
  <si>
    <t>水务</t>
  </si>
  <si>
    <t>铁路</t>
  </si>
  <si>
    <t>路桥</t>
  </si>
  <si>
    <t>商品城</t>
  </si>
  <si>
    <t>纺织机械</t>
  </si>
  <si>
    <t>机场</t>
  </si>
  <si>
    <t>航空</t>
  </si>
  <si>
    <t>空运</t>
  </si>
  <si>
    <t>工程机械</t>
  </si>
  <si>
    <t>建筑装饰</t>
  </si>
  <si>
    <t>机械设备</t>
  </si>
  <si>
    <t>计算机</t>
  </si>
  <si>
    <t>传媒</t>
  </si>
  <si>
    <t>通信</t>
  </si>
  <si>
    <t>煤炭</t>
  </si>
  <si>
    <t>石油石化</t>
  </si>
  <si>
    <t>环保</t>
  </si>
  <si>
    <t>美容护理</t>
  </si>
  <si>
    <t>其他商业</t>
  </si>
  <si>
    <t>装修装饰</t>
  </si>
  <si>
    <t>互联网</t>
  </si>
  <si>
    <t>焦炭加工</t>
  </si>
  <si>
    <t>石油开采</t>
  </si>
  <si>
    <t>环境保护</t>
  </si>
  <si>
    <t>日用化工</t>
  </si>
  <si>
    <t>建筑工程</t>
  </si>
  <si>
    <t>专用机械</t>
  </si>
  <si>
    <t>软件服务</t>
  </si>
  <si>
    <t>影视音像</t>
  </si>
  <si>
    <t>通信设备</t>
  </si>
  <si>
    <t>煤炭开采</t>
  </si>
  <si>
    <t>石油贸易</t>
  </si>
  <si>
    <t>运输设备</t>
  </si>
  <si>
    <t>文教休闲</t>
  </si>
  <si>
    <t>石油加工</t>
  </si>
  <si>
    <t>化工机械</t>
  </si>
  <si>
    <t>轻工机械</t>
  </si>
  <si>
    <t>农用机械</t>
  </si>
  <si>
    <t>机床制造</t>
  </si>
  <si>
    <t>机械基件</t>
  </si>
  <si>
    <t>电力设备</t>
  </si>
  <si>
    <t>(空白)</t>
  </si>
  <si>
    <t>总计</t>
  </si>
  <si>
    <t>ts_code</t>
  </si>
  <si>
    <t>symbol</t>
  </si>
  <si>
    <t>name</t>
  </si>
  <si>
    <t>area</t>
  </si>
  <si>
    <t>fullname</t>
  </si>
  <si>
    <t>market</t>
  </si>
  <si>
    <t>exchange</t>
  </si>
  <si>
    <t>list_status</t>
  </si>
  <si>
    <t>list_date</t>
  </si>
  <si>
    <t>000592.SZ</t>
  </si>
  <si>
    <t>平潭发展</t>
  </si>
  <si>
    <t>福建</t>
  </si>
  <si>
    <t>中福海峡(平潭)发展股份有限公司</t>
  </si>
  <si>
    <t>主板</t>
  </si>
  <si>
    <t>SZSE</t>
  </si>
  <si>
    <t>L</t>
  </si>
  <si>
    <t>000663.SZ</t>
  </si>
  <si>
    <t>永安林业</t>
  </si>
  <si>
    <t>福建省永安林业(集团)股份有限公司</t>
  </si>
  <si>
    <t>000713.SZ</t>
  </si>
  <si>
    <t>丰乐种业</t>
  </si>
  <si>
    <t>安徽</t>
  </si>
  <si>
    <t>合肥丰乐种业股份有限公司</t>
  </si>
  <si>
    <t>000798.SZ</t>
  </si>
  <si>
    <t>中水渔业</t>
  </si>
  <si>
    <t>北京</t>
  </si>
  <si>
    <t>中水集团远洋股份有限公司</t>
  </si>
  <si>
    <t>000998.SZ</t>
  </si>
  <si>
    <t>隆平高科</t>
  </si>
  <si>
    <t>湖南</t>
  </si>
  <si>
    <t>袁隆平农业高科技股份有限公司</t>
  </si>
  <si>
    <t>600097.SH</t>
  </si>
  <si>
    <t>开创国际</t>
  </si>
  <si>
    <t>上海</t>
  </si>
  <si>
    <t>上海开创国际海洋资源股份有限公司</t>
  </si>
  <si>
    <t>SSE</t>
  </si>
  <si>
    <t>600108.SH</t>
  </si>
  <si>
    <t>亚盛集团</t>
  </si>
  <si>
    <t>甘肃</t>
  </si>
  <si>
    <t>甘肃亚盛实业(集团)股份有限公司</t>
  </si>
  <si>
    <t>600257.SH</t>
  </si>
  <si>
    <t>大湖股份</t>
  </si>
  <si>
    <t>大湖水殖股份有限公司</t>
  </si>
  <si>
    <t>600265.SH</t>
  </si>
  <si>
    <t>ST景谷</t>
  </si>
  <si>
    <t>云南</t>
  </si>
  <si>
    <t>云南景谷林业股份有限公司</t>
  </si>
  <si>
    <t>600313.SH</t>
  </si>
  <si>
    <t>农发种业</t>
  </si>
  <si>
    <t>中农发种业集团股份有限公司</t>
  </si>
  <si>
    <t>600354.SH</t>
  </si>
  <si>
    <t>敦煌种业</t>
  </si>
  <si>
    <t>甘肃省敦煌种业集团股份有限公司</t>
  </si>
  <si>
    <t>600371.SH</t>
  </si>
  <si>
    <t>万向德农</t>
  </si>
  <si>
    <t>黑龙江</t>
  </si>
  <si>
    <t>万向德农股份有限公司</t>
  </si>
  <si>
    <t>600467.SH</t>
  </si>
  <si>
    <t>好当家</t>
  </si>
  <si>
    <t>山东</t>
  </si>
  <si>
    <t>山东好当家海洋发展股份有限公司</t>
  </si>
  <si>
    <t>600540.SH</t>
  </si>
  <si>
    <t>新赛股份</t>
  </si>
  <si>
    <t>新疆</t>
  </si>
  <si>
    <t>新疆赛里木现代农业股份有限公司</t>
  </si>
  <si>
    <t>600598.SH</t>
  </si>
  <si>
    <t>北大荒</t>
  </si>
  <si>
    <t>黑龙江北大荒农业股份有限公司</t>
  </si>
  <si>
    <t>600883.SH</t>
  </si>
  <si>
    <t>博闻科技</t>
  </si>
  <si>
    <t>云南博闻科技实业股份有限公司</t>
  </si>
  <si>
    <t>601952.SH</t>
  </si>
  <si>
    <t>苏垦农发</t>
  </si>
  <si>
    <t>江苏</t>
  </si>
  <si>
    <t>江苏省农垦农业发展股份有限公司</t>
  </si>
  <si>
    <t>000702.SZ</t>
  </si>
  <si>
    <t>正虹科技</t>
  </si>
  <si>
    <t>湖南正虹科技发展股份有限公司</t>
  </si>
  <si>
    <t>000876.SZ</t>
  </si>
  <si>
    <t>新希望</t>
  </si>
  <si>
    <t>四川</t>
  </si>
  <si>
    <t>新希望六和股份有限公司</t>
  </si>
  <si>
    <t>001313.SZ</t>
  </si>
  <si>
    <t>粤海饲料</t>
  </si>
  <si>
    <t>广东</t>
  </si>
  <si>
    <t>广东粤海饲料集团股份有限公司</t>
  </si>
  <si>
    <t>600299.SH</t>
  </si>
  <si>
    <t>安迪苏</t>
  </si>
  <si>
    <t>蓝星安迪苏股份有限公司</t>
  </si>
  <si>
    <t>603151.SH</t>
  </si>
  <si>
    <t>邦基科技</t>
  </si>
  <si>
    <t>山东邦基科技股份有限公司</t>
  </si>
  <si>
    <t>603363.SH</t>
  </si>
  <si>
    <t>傲农生物</t>
  </si>
  <si>
    <t>福建傲农生物科技集团股份有限公司</t>
  </si>
  <si>
    <t>603609.SH</t>
  </si>
  <si>
    <t>禾丰股份</t>
  </si>
  <si>
    <t>辽宁</t>
  </si>
  <si>
    <t>禾丰食品股份有限公司</t>
  </si>
  <si>
    <t>603668.SH</t>
  </si>
  <si>
    <t>天马科技</t>
  </si>
  <si>
    <t>福建天马科技集团股份有限公司</t>
  </si>
  <si>
    <t>000019.SZ</t>
  </si>
  <si>
    <t>深粮控股</t>
  </si>
  <si>
    <t>深圳</t>
  </si>
  <si>
    <t>深圳市深粮控股股份有限公司</t>
  </si>
  <si>
    <t>000061.SZ</t>
  </si>
  <si>
    <t>农产品</t>
  </si>
  <si>
    <t>深圳市农产品集团股份有限公司</t>
  </si>
  <si>
    <t>000735.SZ</t>
  </si>
  <si>
    <t>罗牛山</t>
  </si>
  <si>
    <t>海南</t>
  </si>
  <si>
    <t>罗牛山股份有限公司</t>
  </si>
  <si>
    <t>000930.SZ</t>
  </si>
  <si>
    <t>中粮科技</t>
  </si>
  <si>
    <t>中粮生物科技股份有限公司</t>
  </si>
  <si>
    <t>001201.SZ</t>
  </si>
  <si>
    <t>东瑞股份</t>
  </si>
  <si>
    <t>东瑞食品集团股份有限公司</t>
  </si>
  <si>
    <t>600127.SH</t>
  </si>
  <si>
    <t>金健米业</t>
  </si>
  <si>
    <t>金健米业股份有限公司</t>
  </si>
  <si>
    <t>600195.SH</t>
  </si>
  <si>
    <t>中牧股份</t>
  </si>
  <si>
    <t>中牧实业股份有限公司</t>
  </si>
  <si>
    <t>600201.SH</t>
  </si>
  <si>
    <t>生物股份</t>
  </si>
  <si>
    <t>内蒙</t>
  </si>
  <si>
    <t>金宇生物技术股份有限公司</t>
  </si>
  <si>
    <t>600251.SH</t>
  </si>
  <si>
    <t>冠农股份</t>
  </si>
  <si>
    <t>新疆冠农果茸股份有限公司</t>
  </si>
  <si>
    <t>600359.SH</t>
  </si>
  <si>
    <t>新农开发</t>
  </si>
  <si>
    <t>新疆塔里木农业综合开发股份有限公司</t>
  </si>
  <si>
    <t>600811.SH</t>
  </si>
  <si>
    <t>东方集团</t>
  </si>
  <si>
    <t>东方集团股份有限公司</t>
  </si>
  <si>
    <t>600965.SH</t>
  </si>
  <si>
    <t>福成股份</t>
  </si>
  <si>
    <t>河北</t>
  </si>
  <si>
    <t>河北福成五丰食品股份有限公司</t>
  </si>
  <si>
    <t>600975.SH</t>
  </si>
  <si>
    <t>新五丰</t>
  </si>
  <si>
    <t>湖南新五丰股份有限公司</t>
  </si>
  <si>
    <t>603336.SH</t>
  </si>
  <si>
    <t>宏辉果蔬</t>
  </si>
  <si>
    <t>宏辉果蔬股份有限公司</t>
  </si>
  <si>
    <t>603477.SH</t>
  </si>
  <si>
    <t>巨星农牧</t>
  </si>
  <si>
    <t>乐山巨星农牧股份有限公司</t>
  </si>
  <si>
    <t>603566.SH</t>
  </si>
  <si>
    <t>普莱柯</t>
  </si>
  <si>
    <t>河南</t>
  </si>
  <si>
    <t>普莱柯生物工程股份有限公司</t>
  </si>
  <si>
    <t>603718.SH</t>
  </si>
  <si>
    <t>海利生物</t>
  </si>
  <si>
    <t>上海海利生物技术股份有限公司</t>
  </si>
  <si>
    <t>603739.SH</t>
  </si>
  <si>
    <t>蔚蓝生物</t>
  </si>
  <si>
    <t>青岛蔚蓝生物股份有限公司</t>
  </si>
  <si>
    <t>605296.SH</t>
  </si>
  <si>
    <t>神农集团</t>
  </si>
  <si>
    <t>云南神农农业产业集团股份有限公司</t>
  </si>
  <si>
    <t>000301.SZ</t>
  </si>
  <si>
    <t>东方盛虹</t>
  </si>
  <si>
    <t>江苏东方盛虹股份有限公司</t>
  </si>
  <si>
    <t>000408.SZ</t>
  </si>
  <si>
    <t>藏格矿业</t>
  </si>
  <si>
    <t>青海</t>
  </si>
  <si>
    <t>藏格矿业股份有限公司</t>
  </si>
  <si>
    <t>000420.SZ</t>
  </si>
  <si>
    <t>吉林化纤</t>
  </si>
  <si>
    <t>吉林</t>
  </si>
  <si>
    <t>吉林化纤股份有限公司</t>
  </si>
  <si>
    <t>000422.SZ</t>
  </si>
  <si>
    <t>湖北宜化</t>
  </si>
  <si>
    <t>湖北</t>
  </si>
  <si>
    <t>湖北宜化化工股份有限公司</t>
  </si>
  <si>
    <t>000510.SZ</t>
  </si>
  <si>
    <t>新金路</t>
  </si>
  <si>
    <t>四川新金路集团股份有限公司</t>
  </si>
  <si>
    <t>000525.SZ</t>
  </si>
  <si>
    <t>ST红太阳</t>
  </si>
  <si>
    <t>南京红太阳股份有限公司</t>
  </si>
  <si>
    <t>000545.SZ</t>
  </si>
  <si>
    <t>金浦钛业</t>
  </si>
  <si>
    <t>金浦钛业股份有限公司</t>
  </si>
  <si>
    <t>000553.SZ</t>
  </si>
  <si>
    <t>安道麦A</t>
  </si>
  <si>
    <t>安道麦股份有限公司</t>
  </si>
  <si>
    <t>000635.SZ</t>
  </si>
  <si>
    <t>英力特</t>
  </si>
  <si>
    <t>宁夏</t>
  </si>
  <si>
    <t>宁夏英力特化工股份有限公司</t>
  </si>
  <si>
    <t>000677.SZ</t>
  </si>
  <si>
    <t>恒天海龙</t>
  </si>
  <si>
    <t>恒天海龙股份有限公司</t>
  </si>
  <si>
    <t>000683.SZ</t>
  </si>
  <si>
    <t>远兴能源</t>
  </si>
  <si>
    <t>内蒙古远兴能源股份有限公司</t>
  </si>
  <si>
    <t>000691.SZ</t>
  </si>
  <si>
    <t>亚太实业</t>
  </si>
  <si>
    <t>甘肃亚太实业发展股份有限公司</t>
  </si>
  <si>
    <t>000703.SZ</t>
  </si>
  <si>
    <t>恒逸石化</t>
  </si>
  <si>
    <t>广西</t>
  </si>
  <si>
    <t>恒逸石化股份有限公司</t>
  </si>
  <si>
    <t>000707.SZ</t>
  </si>
  <si>
    <t>双环科技</t>
  </si>
  <si>
    <t>湖北双环科技股份有限公司</t>
  </si>
  <si>
    <t>000726.SZ</t>
  </si>
  <si>
    <t>鲁泰A</t>
  </si>
  <si>
    <t>鲁泰纺织股份有限公司</t>
  </si>
  <si>
    <t>000731.SZ</t>
  </si>
  <si>
    <t>四川美丰</t>
  </si>
  <si>
    <t>四川美丰化工股份有限公司</t>
  </si>
  <si>
    <t>000782.SZ</t>
  </si>
  <si>
    <t>美达股份</t>
  </si>
  <si>
    <t>广东新会美达锦纶股份有限公司</t>
  </si>
  <si>
    <t>000792.SZ</t>
  </si>
  <si>
    <t>盐湖股份</t>
  </si>
  <si>
    <t>青海盐湖工业股份有限公司</t>
  </si>
  <si>
    <t>000818.SZ</t>
  </si>
  <si>
    <t>航锦科技</t>
  </si>
  <si>
    <t>航锦科技股份有限公司</t>
  </si>
  <si>
    <t>000822.SZ</t>
  </si>
  <si>
    <t>山东海化</t>
  </si>
  <si>
    <t>山东海化股份有限公司</t>
  </si>
  <si>
    <t>000830.SZ</t>
  </si>
  <si>
    <t>鲁西化工</t>
  </si>
  <si>
    <t>鲁西化工集团股份有限公司</t>
  </si>
  <si>
    <t>000850.SZ</t>
  </si>
  <si>
    <t>华茂股份</t>
  </si>
  <si>
    <t>安徽华茂纺织股份有限公司</t>
  </si>
  <si>
    <t>000859.SZ</t>
  </si>
  <si>
    <t>国风新材</t>
  </si>
  <si>
    <t>安徽国风新材料股份有限公司</t>
  </si>
  <si>
    <t>000893.SZ</t>
  </si>
  <si>
    <t>亚钾国际</t>
  </si>
  <si>
    <t>亚钾国际投资(广州)股份有限公司</t>
  </si>
  <si>
    <t>000902.SZ</t>
  </si>
  <si>
    <t>新洋丰</t>
  </si>
  <si>
    <t>新洋丰农业科技股份有限公司</t>
  </si>
  <si>
    <t>000912.SZ</t>
  </si>
  <si>
    <t>泸天化</t>
  </si>
  <si>
    <t>四川泸天化股份有限公司</t>
  </si>
  <si>
    <t>000936.SZ</t>
  </si>
  <si>
    <t>华西股份</t>
  </si>
  <si>
    <t>江苏华西村股份有限公司</t>
  </si>
  <si>
    <t>000949.SZ</t>
  </si>
  <si>
    <t>新乡化纤</t>
  </si>
  <si>
    <t>新乡化纤股份有限公司</t>
  </si>
  <si>
    <t>000955.SZ</t>
  </si>
  <si>
    <t>欣龙控股</t>
  </si>
  <si>
    <t>欣龙控股(集团)股份有限公司</t>
  </si>
  <si>
    <t>000973.SZ</t>
  </si>
  <si>
    <t>佛塑科技</t>
  </si>
  <si>
    <t>佛山佛塑科技集团股份有限公司</t>
  </si>
  <si>
    <t>000982.SZ</t>
  </si>
  <si>
    <t>中银绒业</t>
  </si>
  <si>
    <t>宁夏中银绒业股份有限公司</t>
  </si>
  <si>
    <t>000985.SZ</t>
  </si>
  <si>
    <t>大庆华科</t>
  </si>
  <si>
    <t>大庆华科股份有限公司</t>
  </si>
  <si>
    <t>000990.SZ</t>
  </si>
  <si>
    <t>诚志股份</t>
  </si>
  <si>
    <t>江西</t>
  </si>
  <si>
    <t>诚志股份有限公司</t>
  </si>
  <si>
    <t>001207.SZ</t>
  </si>
  <si>
    <t>联科科技</t>
  </si>
  <si>
    <t>山东联科科技股份有限公司</t>
  </si>
  <si>
    <t>001217.SZ</t>
  </si>
  <si>
    <t>华尔泰</t>
  </si>
  <si>
    <t>安徽华尔泰化工股份有限公司</t>
  </si>
  <si>
    <t>001218.SZ</t>
  </si>
  <si>
    <t>丽臣实业</t>
  </si>
  <si>
    <t>湖南丽臣实业股份有限公司</t>
  </si>
  <si>
    <t>001231.SZ</t>
  </si>
  <si>
    <t>农心科技</t>
  </si>
  <si>
    <t>陕西</t>
  </si>
  <si>
    <t>农心作物科技股份有限公司</t>
  </si>
  <si>
    <t>001255.SZ</t>
  </si>
  <si>
    <t>博菲电气</t>
  </si>
  <si>
    <t>浙江</t>
  </si>
  <si>
    <t>浙江博菲电气股份有限公司</t>
  </si>
  <si>
    <t>001333.SZ</t>
  </si>
  <si>
    <t>光华股份</t>
  </si>
  <si>
    <t>浙江光华科技股份有限公司</t>
  </si>
  <si>
    <t>600063.SH</t>
  </si>
  <si>
    <t>皖维高新</t>
  </si>
  <si>
    <t>安徽皖维高新材料股份有限公司</t>
  </si>
  <si>
    <t>600075.SH</t>
  </si>
  <si>
    <t>新疆天业</t>
  </si>
  <si>
    <t>新疆天业股份有限公司</t>
  </si>
  <si>
    <t>600078.SH</t>
  </si>
  <si>
    <t>ST澄星</t>
  </si>
  <si>
    <t>江苏澄星磷化工股份有限公司</t>
  </si>
  <si>
    <t>600096.SH</t>
  </si>
  <si>
    <t>云天化</t>
  </si>
  <si>
    <t>云南云天化股份有限公司</t>
  </si>
  <si>
    <t>600135.SH</t>
  </si>
  <si>
    <t>乐凯胶片</t>
  </si>
  <si>
    <t>乐凯胶片股份有限公司</t>
  </si>
  <si>
    <t>600141.SH</t>
  </si>
  <si>
    <t>兴发集团</t>
  </si>
  <si>
    <t>湖北兴发化工集团股份有限公司</t>
  </si>
  <si>
    <t>600143.SH</t>
  </si>
  <si>
    <t>金发科技</t>
  </si>
  <si>
    <t>金发科技股份有限公司</t>
  </si>
  <si>
    <t>600156.SH</t>
  </si>
  <si>
    <t>华升股份</t>
  </si>
  <si>
    <t>湖南华升股份有限公司</t>
  </si>
  <si>
    <t>600160.SH</t>
  </si>
  <si>
    <t>巨化股份</t>
  </si>
  <si>
    <t>浙江巨化股份有限公司</t>
  </si>
  <si>
    <t>600165.SH</t>
  </si>
  <si>
    <t>新日恒力</t>
  </si>
  <si>
    <t>宁夏中科生物科技股份有限公司</t>
  </si>
  <si>
    <t>600220.SH</t>
  </si>
  <si>
    <t>江苏阳光</t>
  </si>
  <si>
    <t>江苏阳光股份有限公司</t>
  </si>
  <si>
    <t>600227.SH</t>
  </si>
  <si>
    <t>圣济堂</t>
  </si>
  <si>
    <t>贵州</t>
  </si>
  <si>
    <t>贵州圣济堂医药产业股份有限公司</t>
  </si>
  <si>
    <t>600230.SH</t>
  </si>
  <si>
    <t>沧州大化</t>
  </si>
  <si>
    <t>沧州大化股份有限公司</t>
  </si>
  <si>
    <t>600232.SH</t>
  </si>
  <si>
    <t>金鹰股份</t>
  </si>
  <si>
    <t>浙江金鹰股份有限公司</t>
  </si>
  <si>
    <t>600273.SH</t>
  </si>
  <si>
    <t>嘉化能源</t>
  </si>
  <si>
    <t>浙江嘉化能源化工股份有限公司</t>
  </si>
  <si>
    <t>600277.SH</t>
  </si>
  <si>
    <t>亿利洁能</t>
  </si>
  <si>
    <t>亿利洁能股份有限公司</t>
  </si>
  <si>
    <t>600309.SH</t>
  </si>
  <si>
    <t>万华化学</t>
  </si>
  <si>
    <t>万华化学集团股份有限公司</t>
  </si>
  <si>
    <t>600319.SH</t>
  </si>
  <si>
    <t>亚星化学</t>
  </si>
  <si>
    <t>潍坊亚星化学股份有限公司</t>
  </si>
  <si>
    <t>600328.SH</t>
  </si>
  <si>
    <t>中盐化工</t>
  </si>
  <si>
    <t>中盐内蒙古化工股份有限公司</t>
  </si>
  <si>
    <t>600367.SH</t>
  </si>
  <si>
    <t>红星发展</t>
  </si>
  <si>
    <t>贵州红星发展股份有限公司</t>
  </si>
  <si>
    <t>600370.SH</t>
  </si>
  <si>
    <t>三房巷</t>
  </si>
  <si>
    <t>江苏三房巷聚材股份有限公司</t>
  </si>
  <si>
    <t>600378.SH</t>
  </si>
  <si>
    <t>昊华科技</t>
  </si>
  <si>
    <t>昊华化工科技集团股份有限公司</t>
  </si>
  <si>
    <t>600389.SH</t>
  </si>
  <si>
    <t>江山股份</t>
  </si>
  <si>
    <t>南通江山农药化工股份有限公司</t>
  </si>
  <si>
    <t>600409.SH</t>
  </si>
  <si>
    <t>三友化工</t>
  </si>
  <si>
    <t>唐山三友化工股份有限公司</t>
  </si>
  <si>
    <t>600423.SH</t>
  </si>
  <si>
    <t>柳化股份</t>
  </si>
  <si>
    <t>柳州化工股份有限公司</t>
  </si>
  <si>
    <t>600426.SH</t>
  </si>
  <si>
    <t>华鲁恒升</t>
  </si>
  <si>
    <t>山东华鲁恒升化工股份有限公司</t>
  </si>
  <si>
    <t>600448.SH</t>
  </si>
  <si>
    <t>华纺股份</t>
  </si>
  <si>
    <t>华纺股份有限公司</t>
  </si>
  <si>
    <t>600458.SH</t>
  </si>
  <si>
    <t>时代新材</t>
  </si>
  <si>
    <t>株洲时代新材料科技股份有限公司</t>
  </si>
  <si>
    <t>600470.SH</t>
  </si>
  <si>
    <t>六国化工</t>
  </si>
  <si>
    <t>安徽六国化工股份有限公司</t>
  </si>
  <si>
    <t>600486.SH</t>
  </si>
  <si>
    <t>扬农化工</t>
  </si>
  <si>
    <t>江苏扬农化工股份有限公司</t>
  </si>
  <si>
    <t>600493.SH</t>
  </si>
  <si>
    <t>凤竹纺织</t>
  </si>
  <si>
    <t>福建凤竹纺织科技股份有限公司</t>
  </si>
  <si>
    <t>600500.SH</t>
  </si>
  <si>
    <t>中化国际</t>
  </si>
  <si>
    <t>中化国际(控股)股份有限公司</t>
  </si>
  <si>
    <t>600506.SH</t>
  </si>
  <si>
    <t>香梨股份</t>
  </si>
  <si>
    <t>新疆库尔勒香梨股份有限公司</t>
  </si>
  <si>
    <t>600527.SH</t>
  </si>
  <si>
    <t>江南高纤</t>
  </si>
  <si>
    <t>江苏江南高纤股份有限公司</t>
  </si>
  <si>
    <t>600589.SH</t>
  </si>
  <si>
    <t>ST榕泰</t>
  </si>
  <si>
    <t>广东榕泰实业股份有限公司</t>
  </si>
  <si>
    <t>600596.SH</t>
  </si>
  <si>
    <t>新安股份</t>
  </si>
  <si>
    <t>浙江新安化工集团股份有限公司</t>
  </si>
  <si>
    <t>600599.SH</t>
  </si>
  <si>
    <t>ST熊猫</t>
  </si>
  <si>
    <t>熊猫金控股份有限公司</t>
  </si>
  <si>
    <t>600610.SH</t>
  </si>
  <si>
    <t>中毅达</t>
  </si>
  <si>
    <t>贵州中毅达股份有限公司</t>
  </si>
  <si>
    <t>600618.SH</t>
  </si>
  <si>
    <t>氯碱化工</t>
  </si>
  <si>
    <t>上海氯碱化工股份有限公司</t>
  </si>
  <si>
    <t>600623.SH</t>
  </si>
  <si>
    <t>华谊集团</t>
  </si>
  <si>
    <t>上海华谊集团股份有限公司</t>
  </si>
  <si>
    <t>600630.SH</t>
  </si>
  <si>
    <t>龙头股份</t>
  </si>
  <si>
    <t>上海龙头(集团)股份有限公司</t>
  </si>
  <si>
    <t>600689.SH</t>
  </si>
  <si>
    <t>上海三毛</t>
  </si>
  <si>
    <t>上海三毛企业(集团)股份有限公司</t>
  </si>
  <si>
    <t>600691.SH</t>
  </si>
  <si>
    <t>阳煤化工</t>
  </si>
  <si>
    <t>山西</t>
  </si>
  <si>
    <t>阳煤化工股份有限公司</t>
  </si>
  <si>
    <t>600714.SH</t>
  </si>
  <si>
    <t>金瑞矿业</t>
  </si>
  <si>
    <t>青海金瑞矿业发展股份有限公司</t>
  </si>
  <si>
    <t>600722.SH</t>
  </si>
  <si>
    <t>金牛化工</t>
  </si>
  <si>
    <t>河北金牛化工股份有限公司</t>
  </si>
  <si>
    <t>600727.SH</t>
  </si>
  <si>
    <t>鲁北化工</t>
  </si>
  <si>
    <t>山东鲁北化工股份有限公司</t>
  </si>
  <si>
    <t>600731.SH</t>
  </si>
  <si>
    <t>湖南海利</t>
  </si>
  <si>
    <t>湖南海利化工股份有限公司</t>
  </si>
  <si>
    <t>600746.SH</t>
  </si>
  <si>
    <t>江苏索普</t>
  </si>
  <si>
    <t>江苏索普化工股份有限公司</t>
  </si>
  <si>
    <t>600800.SH</t>
  </si>
  <si>
    <t>渤海化学</t>
  </si>
  <si>
    <t>天津</t>
  </si>
  <si>
    <t>天津渤海化学股份有限公司</t>
  </si>
  <si>
    <t>600810.SH</t>
  </si>
  <si>
    <t>神马股份</t>
  </si>
  <si>
    <t>神马实业股份有限公司</t>
  </si>
  <si>
    <t>600844.SH</t>
  </si>
  <si>
    <t>丹化科技</t>
  </si>
  <si>
    <t>丹化化工科技股份有限公司</t>
  </si>
  <si>
    <t>600889.SH</t>
  </si>
  <si>
    <t>南京化纤</t>
  </si>
  <si>
    <t>南京化纤股份有限公司</t>
  </si>
  <si>
    <t>600935.SH</t>
  </si>
  <si>
    <t>华塑股份</t>
  </si>
  <si>
    <t>安徽华塑股份有限公司</t>
  </si>
  <si>
    <t>600955.SH</t>
  </si>
  <si>
    <t>维远股份</t>
  </si>
  <si>
    <t>利华益维远化学股份有限公司</t>
  </si>
  <si>
    <t>600987.SH</t>
  </si>
  <si>
    <t>航民股份</t>
  </si>
  <si>
    <t>浙江航民股份有限公司</t>
  </si>
  <si>
    <t>600989.SH</t>
  </si>
  <si>
    <t>宝丰能源</t>
  </si>
  <si>
    <t>宁夏宝丰能源集团股份有限公司</t>
  </si>
  <si>
    <t>601208.SH</t>
  </si>
  <si>
    <t>东材科技</t>
  </si>
  <si>
    <t>四川东材科技集团股份有限公司</t>
  </si>
  <si>
    <t>601216.SH</t>
  </si>
  <si>
    <t>君正集团</t>
  </si>
  <si>
    <t>内蒙古君正能源化工集团股份有限公司</t>
  </si>
  <si>
    <t>601233.SH</t>
  </si>
  <si>
    <t>桐昆股份</t>
  </si>
  <si>
    <t>桐昆集团股份有限公司</t>
  </si>
  <si>
    <t>601339.SH</t>
  </si>
  <si>
    <t>百隆东方</t>
  </si>
  <si>
    <t>百隆东方股份有限公司</t>
  </si>
  <si>
    <t>601568.SH</t>
  </si>
  <si>
    <t>北元集团</t>
  </si>
  <si>
    <t>陕西北元化工集团股份有限公司</t>
  </si>
  <si>
    <t>601599.SH</t>
  </si>
  <si>
    <t>浙文影业</t>
  </si>
  <si>
    <t>浙文影业集团股份有限公司</t>
  </si>
  <si>
    <t>601678.SH</t>
  </si>
  <si>
    <t>滨化股份</t>
  </si>
  <si>
    <t>滨化集团股份有限公司</t>
  </si>
  <si>
    <t>603002.SH</t>
  </si>
  <si>
    <t>宏昌电子</t>
  </si>
  <si>
    <t>宏昌电子材料股份有限公司</t>
  </si>
  <si>
    <t>603010.SH</t>
  </si>
  <si>
    <t>万盛股份</t>
  </si>
  <si>
    <t>浙江万盛股份有限公司</t>
  </si>
  <si>
    <t>603026.SH</t>
  </si>
  <si>
    <t>胜华新材</t>
  </si>
  <si>
    <t>胜华新材料集团股份有限公司</t>
  </si>
  <si>
    <t>603041.SH</t>
  </si>
  <si>
    <t>美思德</t>
  </si>
  <si>
    <t>江苏美思德化学股份有限公司</t>
  </si>
  <si>
    <t>603051.SH</t>
  </si>
  <si>
    <t>鹿山新材</t>
  </si>
  <si>
    <t>广州鹿山新材料股份有限公司</t>
  </si>
  <si>
    <t>603055.SH</t>
  </si>
  <si>
    <t>台华新材</t>
  </si>
  <si>
    <t>浙江台华新材料股份有限公司</t>
  </si>
  <si>
    <t>603067.SH</t>
  </si>
  <si>
    <t>振华股份</t>
  </si>
  <si>
    <t>湖北振华化学股份有限公司</t>
  </si>
  <si>
    <t>603077.SH</t>
  </si>
  <si>
    <t>和邦生物</t>
  </si>
  <si>
    <t>四川和邦生物科技股份有限公司</t>
  </si>
  <si>
    <t>603086.SH</t>
  </si>
  <si>
    <t>先达股份</t>
  </si>
  <si>
    <t>山东先达农化股份有限公司</t>
  </si>
  <si>
    <t>603130.SH</t>
  </si>
  <si>
    <t>云中马</t>
  </si>
  <si>
    <t>浙江云中马股份有限公司</t>
  </si>
  <si>
    <t>603150.SH</t>
  </si>
  <si>
    <t>万朗磁塑</t>
  </si>
  <si>
    <t>安徽万朗磁塑股份有限公司</t>
  </si>
  <si>
    <t>603155.SH</t>
  </si>
  <si>
    <t>新亚强</t>
  </si>
  <si>
    <t>新亚强硅化学股份有限公司</t>
  </si>
  <si>
    <t>603181.SH</t>
  </si>
  <si>
    <t>皇马科技</t>
  </si>
  <si>
    <t>浙江皇马科技股份有限公司</t>
  </si>
  <si>
    <t>603192.SH</t>
  </si>
  <si>
    <t>汇得科技</t>
  </si>
  <si>
    <t>上海汇得科技股份有限公司</t>
  </si>
  <si>
    <t>603212.SH</t>
  </si>
  <si>
    <t>赛伍技术</t>
  </si>
  <si>
    <t>苏州赛伍应用技术股份有限公司</t>
  </si>
  <si>
    <t>603213.SH</t>
  </si>
  <si>
    <t>镇洋发展</t>
  </si>
  <si>
    <t>浙江镇洋发展股份有限公司</t>
  </si>
  <si>
    <t>603217.SH</t>
  </si>
  <si>
    <t>元利科技</t>
  </si>
  <si>
    <t>元利化学集团股份有限公司</t>
  </si>
  <si>
    <t>603225.SH</t>
  </si>
  <si>
    <t>新凤鸣</t>
  </si>
  <si>
    <t>新凤鸣集团股份有限公司</t>
  </si>
  <si>
    <t>603227.SH</t>
  </si>
  <si>
    <t>雪峰科技</t>
  </si>
  <si>
    <t>新疆雪峰科技(集团)股份有限公司</t>
  </si>
  <si>
    <t>603238.SH</t>
  </si>
  <si>
    <t>诺邦股份</t>
  </si>
  <si>
    <t>杭州诺邦无纺股份有限公司</t>
  </si>
  <si>
    <t>603255.SH</t>
  </si>
  <si>
    <t>鼎际得</t>
  </si>
  <si>
    <t>辽宁鼎际得石化股份有限公司</t>
  </si>
  <si>
    <t>603260.SH</t>
  </si>
  <si>
    <t>合盛硅业</t>
  </si>
  <si>
    <t>合盛硅业股份有限公司</t>
  </si>
  <si>
    <t>603330.SH</t>
  </si>
  <si>
    <t>天洋新材</t>
  </si>
  <si>
    <t>天洋新材(上海)科技股份有限公司</t>
  </si>
  <si>
    <t>603332.SH</t>
  </si>
  <si>
    <t>苏州龙杰</t>
  </si>
  <si>
    <t>苏州龙杰特种纤维股份有限公司</t>
  </si>
  <si>
    <t>603360.SH</t>
  </si>
  <si>
    <t>百傲化学</t>
  </si>
  <si>
    <t>大连百傲化学股份有限公司</t>
  </si>
  <si>
    <t>603365.SH</t>
  </si>
  <si>
    <t>水星家纺</t>
  </si>
  <si>
    <t>上海水星家用纺织品股份有限公司</t>
  </si>
  <si>
    <t>603379.SH</t>
  </si>
  <si>
    <t>三美股份</t>
  </si>
  <si>
    <t>浙江三美化工股份有限公司</t>
  </si>
  <si>
    <t>603505.SH</t>
  </si>
  <si>
    <t>金石资源</t>
  </si>
  <si>
    <t>金石资源集团股份有限公司</t>
  </si>
  <si>
    <t>603558.SH</t>
  </si>
  <si>
    <t>健盛集团</t>
  </si>
  <si>
    <t>浙江健盛集团股份有限公司</t>
  </si>
  <si>
    <t>603580.SH</t>
  </si>
  <si>
    <t>艾艾精工</t>
  </si>
  <si>
    <t>艾艾精密工业输送系统(上海)股份有限公司</t>
  </si>
  <si>
    <t>603585.SH</t>
  </si>
  <si>
    <t>苏利股份</t>
  </si>
  <si>
    <t>江苏苏利精细化工股份有限公司</t>
  </si>
  <si>
    <t>603599.SH</t>
  </si>
  <si>
    <t>广信股份</t>
  </si>
  <si>
    <t>安徽广信农化股份有限公司</t>
  </si>
  <si>
    <t>603639.SH</t>
  </si>
  <si>
    <t>海利尔</t>
  </si>
  <si>
    <t>海利尔药业集团股份有限公司</t>
  </si>
  <si>
    <t>603650.SH</t>
  </si>
  <si>
    <t>彤程新材</t>
  </si>
  <si>
    <t>彤程新材料集团股份有限公司</t>
  </si>
  <si>
    <t>603659.SH</t>
  </si>
  <si>
    <t>璞泰来</t>
  </si>
  <si>
    <t>上海璞泰来新能源科技股份有限公司</t>
  </si>
  <si>
    <t>603665.SH</t>
  </si>
  <si>
    <t>康隆达</t>
  </si>
  <si>
    <t>浙江康隆达特种防护科技股份有限公司</t>
  </si>
  <si>
    <t>603681.SH</t>
  </si>
  <si>
    <t>永冠新材</t>
  </si>
  <si>
    <t>上海永冠众诚新材料科技(集团)股份有限公司</t>
  </si>
  <si>
    <t>603683.SH</t>
  </si>
  <si>
    <t>晶华新材</t>
  </si>
  <si>
    <t>上海晶华胶粘新材料股份有限公司</t>
  </si>
  <si>
    <t>603722.SH</t>
  </si>
  <si>
    <t>阿科力</t>
  </si>
  <si>
    <t>无锡阿科力科技股份有限公司</t>
  </si>
  <si>
    <t>603725.SH</t>
  </si>
  <si>
    <t>天安新材</t>
  </si>
  <si>
    <t>广东天安新材料股份有限公司</t>
  </si>
  <si>
    <t>603806.SH</t>
  </si>
  <si>
    <t>福斯特</t>
  </si>
  <si>
    <t>杭州福斯特应用材料股份有限公司</t>
  </si>
  <si>
    <t>603810.SH</t>
  </si>
  <si>
    <t>丰山集团</t>
  </si>
  <si>
    <t>江苏丰山集团股份有限公司</t>
  </si>
  <si>
    <t>603822.SH</t>
  </si>
  <si>
    <t>嘉澳环保</t>
  </si>
  <si>
    <t>浙江嘉澳环保科技股份有限公司</t>
  </si>
  <si>
    <t>603856.SH</t>
  </si>
  <si>
    <t>东宏股份</t>
  </si>
  <si>
    <t>山东东宏管业股份有限公司</t>
  </si>
  <si>
    <t>603867.SH</t>
  </si>
  <si>
    <t>新化股份</t>
  </si>
  <si>
    <t>浙江新化化工股份有限公司</t>
  </si>
  <si>
    <t>603879.SH</t>
  </si>
  <si>
    <t>永悦科技</t>
  </si>
  <si>
    <t>永悦科技股份有限公司</t>
  </si>
  <si>
    <t>603889.SH</t>
  </si>
  <si>
    <t>新澳股份</t>
  </si>
  <si>
    <t>浙江新澳纺织股份有限公司</t>
  </si>
  <si>
    <t>603906.SH</t>
  </si>
  <si>
    <t>龙蟠科技</t>
  </si>
  <si>
    <t>江苏龙蟠科技股份有限公司</t>
  </si>
  <si>
    <t>603908.SH</t>
  </si>
  <si>
    <t>牧高笛</t>
  </si>
  <si>
    <t>牧高笛户外用品股份有限公司</t>
  </si>
  <si>
    <t>603916.SH</t>
  </si>
  <si>
    <t>苏博特</t>
  </si>
  <si>
    <t>江苏苏博特新材料股份有限公司</t>
  </si>
  <si>
    <t>603928.SH</t>
  </si>
  <si>
    <t>兴业股份</t>
  </si>
  <si>
    <t>苏州兴业材料科技股份有限公司</t>
  </si>
  <si>
    <t>603931.SH</t>
  </si>
  <si>
    <t>格林达</t>
  </si>
  <si>
    <t>杭州格林达电子材料股份有限公司</t>
  </si>
  <si>
    <t>603938.SH</t>
  </si>
  <si>
    <t>三孚股份</t>
  </si>
  <si>
    <t>唐山三孚硅业股份有限公司</t>
  </si>
  <si>
    <t>603948.SH</t>
  </si>
  <si>
    <t>建业股份</t>
  </si>
  <si>
    <t>浙江建业化工股份有限公司</t>
  </si>
  <si>
    <t>603968.SH</t>
  </si>
  <si>
    <t>醋化股份</t>
  </si>
  <si>
    <t>南通醋酸化工股份有限公司</t>
  </si>
  <si>
    <t>603970.SH</t>
  </si>
  <si>
    <t>中农立华</t>
  </si>
  <si>
    <t>中农立华生物科技股份有限公司</t>
  </si>
  <si>
    <t>603977.SH</t>
  </si>
  <si>
    <t>国泰集团</t>
  </si>
  <si>
    <t>江西国泰集团股份有限公司</t>
  </si>
  <si>
    <t>603991.SH</t>
  </si>
  <si>
    <t>至正股份</t>
  </si>
  <si>
    <t>深圳至正高分子材料股份有限公司</t>
  </si>
  <si>
    <t>605003.SH</t>
  </si>
  <si>
    <t>众望布艺</t>
  </si>
  <si>
    <t>众望布艺股份有限公司</t>
  </si>
  <si>
    <t>605020.SH</t>
  </si>
  <si>
    <t>永和股份</t>
  </si>
  <si>
    <t>浙江永和制冷股份有限公司</t>
  </si>
  <si>
    <t>605033.SH</t>
  </si>
  <si>
    <t>美邦股份</t>
  </si>
  <si>
    <t>陕西美邦药业集团股份有限公司</t>
  </si>
  <si>
    <t>605055.SH</t>
  </si>
  <si>
    <t>迎丰股份</t>
  </si>
  <si>
    <t>浙江迎丰科技股份有限公司</t>
  </si>
  <si>
    <t>605080.SH</t>
  </si>
  <si>
    <t>浙江自然</t>
  </si>
  <si>
    <t>浙江大自然户外用品股份有限公司</t>
  </si>
  <si>
    <t>605166.SH</t>
  </si>
  <si>
    <t>聚合顺</t>
  </si>
  <si>
    <t>杭州聚合顺新材料股份有限公司</t>
  </si>
  <si>
    <t>605180.SH</t>
  </si>
  <si>
    <t>华生科技</t>
  </si>
  <si>
    <t>浙江华生科技股份有限公司</t>
  </si>
  <si>
    <t>605183.SH</t>
  </si>
  <si>
    <t>确成股份</t>
  </si>
  <si>
    <t>确成硅化学股份有限公司</t>
  </si>
  <si>
    <t>605189.SH</t>
  </si>
  <si>
    <t>富春染织</t>
  </si>
  <si>
    <t>芜湖富春染织股份有限公司</t>
  </si>
  <si>
    <t>605366.SH</t>
  </si>
  <si>
    <t>宏柏新材</t>
  </si>
  <si>
    <t>江西宏柏新材料股份有限公司</t>
  </si>
  <si>
    <t>605399.SH</t>
  </si>
  <si>
    <t>晨光新材</t>
  </si>
  <si>
    <t>江西晨光新材料股份有限公司</t>
  </si>
  <si>
    <t>605488.SH</t>
  </si>
  <si>
    <t>福莱新材</t>
  </si>
  <si>
    <t>浙江福莱新材料股份有限公司</t>
  </si>
  <si>
    <t>605589.SH</t>
  </si>
  <si>
    <t>圣泉集团</t>
  </si>
  <si>
    <t>济南圣泉集团股份有限公司</t>
  </si>
  <si>
    <t>000655.SZ</t>
  </si>
  <si>
    <t>金岭矿业</t>
  </si>
  <si>
    <t>山东金岭矿业股份有限公司</t>
  </si>
  <si>
    <t>000708.SZ</t>
  </si>
  <si>
    <t>中信特钢</t>
  </si>
  <si>
    <t>中信泰富特钢集团股份有限公司</t>
  </si>
  <si>
    <t>000709.SZ</t>
  </si>
  <si>
    <t>河钢股份</t>
  </si>
  <si>
    <t>河钢股份有限公司</t>
  </si>
  <si>
    <t>000717.SZ</t>
  </si>
  <si>
    <t>中南股份</t>
  </si>
  <si>
    <t>广东中南钢铁股份有限公司</t>
  </si>
  <si>
    <t>000761.SZ</t>
  </si>
  <si>
    <t>本钢板材</t>
  </si>
  <si>
    <t>本钢板材股份有限公司</t>
  </si>
  <si>
    <t>000778.SZ</t>
  </si>
  <si>
    <t>新兴铸管</t>
  </si>
  <si>
    <t>新兴铸管股份有限公司</t>
  </si>
  <si>
    <t>000825.SZ</t>
  </si>
  <si>
    <t>太钢不锈</t>
  </si>
  <si>
    <t>山西太钢不锈钢股份有限公司</t>
  </si>
  <si>
    <t>000890.SZ</t>
  </si>
  <si>
    <t>法尔胜</t>
  </si>
  <si>
    <t>江苏法尔胜股份有限公司</t>
  </si>
  <si>
    <t>000898.SZ</t>
  </si>
  <si>
    <t>鞍钢股份</t>
  </si>
  <si>
    <t>鞍钢股份有限公司</t>
  </si>
  <si>
    <t>000923.SZ</t>
  </si>
  <si>
    <t>河钢资源</t>
  </si>
  <si>
    <t>河钢资源股份有限公司</t>
  </si>
  <si>
    <t>000932.SZ</t>
  </si>
  <si>
    <t>华菱钢铁</t>
  </si>
  <si>
    <t>湖南华菱钢铁股份有限公司</t>
  </si>
  <si>
    <t>000959.SZ</t>
  </si>
  <si>
    <t>首钢股份</t>
  </si>
  <si>
    <t>北京首钢股份有限公司</t>
  </si>
  <si>
    <t>001203.SZ</t>
  </si>
  <si>
    <t>大中矿业</t>
  </si>
  <si>
    <t>内蒙古大中矿业股份有限公司</t>
  </si>
  <si>
    <t>600010.SH</t>
  </si>
  <si>
    <t>包钢股份</t>
  </si>
  <si>
    <t>内蒙古包钢钢联股份有限公司</t>
  </si>
  <si>
    <t>600019.SH</t>
  </si>
  <si>
    <t>宝钢股份</t>
  </si>
  <si>
    <t>宝山钢铁股份有限公司</t>
  </si>
  <si>
    <t>600022.SH</t>
  </si>
  <si>
    <t>山东钢铁</t>
  </si>
  <si>
    <t>山东钢铁股份有限公司</t>
  </si>
  <si>
    <t>600117.SH</t>
  </si>
  <si>
    <t>西宁特钢</t>
  </si>
  <si>
    <t>西宁特殊钢股份有限公司</t>
  </si>
  <si>
    <t>600126.SH</t>
  </si>
  <si>
    <t>杭钢股份</t>
  </si>
  <si>
    <t>杭州钢铁股份有限公司</t>
  </si>
  <si>
    <t>600231.SH</t>
  </si>
  <si>
    <t>凌钢股份</t>
  </si>
  <si>
    <t>凌源钢铁股份有限公司</t>
  </si>
  <si>
    <t>600282.SH</t>
  </si>
  <si>
    <t>南钢股份</t>
  </si>
  <si>
    <t>南京钢铁股份有限公司</t>
  </si>
  <si>
    <t>600295.SH</t>
  </si>
  <si>
    <t>鄂尔多斯</t>
  </si>
  <si>
    <t>内蒙古鄂尔多斯资源股份有限公司</t>
  </si>
  <si>
    <t>600307.SH</t>
  </si>
  <si>
    <t>酒钢宏兴</t>
  </si>
  <si>
    <t>甘肃酒钢集团宏兴钢铁股份有限公司</t>
  </si>
  <si>
    <t>600382.SH</t>
  </si>
  <si>
    <t>ST广珠</t>
  </si>
  <si>
    <t>广东明珠集团股份有限公司</t>
  </si>
  <si>
    <t>600399.SH</t>
  </si>
  <si>
    <t>抚顺特钢</t>
  </si>
  <si>
    <t>抚顺特殊钢股份有限公司</t>
  </si>
  <si>
    <t>600477.SH</t>
  </si>
  <si>
    <t>杭萧钢构</t>
  </si>
  <si>
    <t>杭萧钢构股份有限公司</t>
  </si>
  <si>
    <t>600496.SH</t>
  </si>
  <si>
    <t>精工钢构</t>
  </si>
  <si>
    <t>长江精工钢结构(集团)股份有限公司</t>
  </si>
  <si>
    <t>600507.SH</t>
  </si>
  <si>
    <t>方大特钢</t>
  </si>
  <si>
    <t>方大特钢科技股份有限公司</t>
  </si>
  <si>
    <t>600558.SH</t>
  </si>
  <si>
    <t>大西洋</t>
  </si>
  <si>
    <t>四川大西洋焊接材料股份有限公司</t>
  </si>
  <si>
    <t>600569.SH</t>
  </si>
  <si>
    <t>安阳钢铁</t>
  </si>
  <si>
    <t>安阳钢铁股份有限公司</t>
  </si>
  <si>
    <t>600581.SH</t>
  </si>
  <si>
    <t>八一钢铁</t>
  </si>
  <si>
    <t>新疆八一钢铁股份有限公司</t>
  </si>
  <si>
    <t>600782.SH</t>
  </si>
  <si>
    <t>新钢股份</t>
  </si>
  <si>
    <t>新余钢铁股份有限公司</t>
  </si>
  <si>
    <t>600808.SH</t>
  </si>
  <si>
    <t>马钢股份</t>
  </si>
  <si>
    <t>马鞍山钢铁股份有限公司</t>
  </si>
  <si>
    <t>600992.SH</t>
  </si>
  <si>
    <t>贵绳股份</t>
  </si>
  <si>
    <t>贵州钢绳股份有限公司</t>
  </si>
  <si>
    <t>601003.SH</t>
  </si>
  <si>
    <t>柳钢股份</t>
  </si>
  <si>
    <t>柳州钢铁股份有限公司</t>
  </si>
  <si>
    <t>601005.SH</t>
  </si>
  <si>
    <t>重庆钢铁</t>
  </si>
  <si>
    <t>重庆</t>
  </si>
  <si>
    <t>重庆钢铁股份有限公司</t>
  </si>
  <si>
    <t>601686.SH</t>
  </si>
  <si>
    <t>友发集团</t>
  </si>
  <si>
    <t>天津友发钢管集团股份有限公司</t>
  </si>
  <si>
    <t>601969.SH</t>
  </si>
  <si>
    <t>海南矿业</t>
  </si>
  <si>
    <t>海南矿业股份有限公司</t>
  </si>
  <si>
    <t>603028.SH</t>
  </si>
  <si>
    <t>赛福天</t>
  </si>
  <si>
    <t>江苏赛福天钢索股份有限公司</t>
  </si>
  <si>
    <t>603278.SH</t>
  </si>
  <si>
    <t>大业股份</t>
  </si>
  <si>
    <t>山东大业股份有限公司</t>
  </si>
  <si>
    <t>603878.SH</t>
  </si>
  <si>
    <t>武进不锈</t>
  </si>
  <si>
    <t>江苏武进不锈股份有限公司</t>
  </si>
  <si>
    <t>603995.SH</t>
  </si>
  <si>
    <t>甬金股份</t>
  </si>
  <si>
    <t>浙江甬金金属科技股份有限公司</t>
  </si>
  <si>
    <t>605158.SH</t>
  </si>
  <si>
    <t>华达新材</t>
  </si>
  <si>
    <t>浙江华达新型材料股份有限公司</t>
  </si>
  <si>
    <t>000060.SZ</t>
  </si>
  <si>
    <t>中金岭南</t>
  </si>
  <si>
    <t>深圳市中金岭南有色金属股份有限公司</t>
  </si>
  <si>
    <t>000426.SZ</t>
  </si>
  <si>
    <t>兴业矿业</t>
  </si>
  <si>
    <t>内蒙古兴业矿业股份有限公司</t>
  </si>
  <si>
    <t>000506.SZ</t>
  </si>
  <si>
    <t>中润资源</t>
  </si>
  <si>
    <t>中润资源投资股份有限公司</t>
  </si>
  <si>
    <t>000603.SZ</t>
  </si>
  <si>
    <t>盛达资源</t>
  </si>
  <si>
    <t>盛达金属资源股份有限公司</t>
  </si>
  <si>
    <t>000612.SZ</t>
  </si>
  <si>
    <t>焦作万方</t>
  </si>
  <si>
    <t>焦作万方铝业股份有限公司</t>
  </si>
  <si>
    <t>000629.SZ</t>
  </si>
  <si>
    <t>钒钛股份</t>
  </si>
  <si>
    <t>攀钢集团钒钛资源股份有限公司</t>
  </si>
  <si>
    <t>000630.SZ</t>
  </si>
  <si>
    <t>铜陵有色</t>
  </si>
  <si>
    <t>铜陵有色金属集团股份有限公司</t>
  </si>
  <si>
    <t>000633.SZ</t>
  </si>
  <si>
    <t>合金投资</t>
  </si>
  <si>
    <t>新疆合金投资股份有限公司</t>
  </si>
  <si>
    <t>000657.SZ</t>
  </si>
  <si>
    <t>中钨高新</t>
  </si>
  <si>
    <t>中钨高新材料股份有限公司</t>
  </si>
  <si>
    <t>000688.SZ</t>
  </si>
  <si>
    <t>国城矿业</t>
  </si>
  <si>
    <t>国城矿业股份有限公司</t>
  </si>
  <si>
    <t>000737.SZ</t>
  </si>
  <si>
    <t>北方铜业</t>
  </si>
  <si>
    <t>北方铜业股份有限公司</t>
  </si>
  <si>
    <t>000751.SZ</t>
  </si>
  <si>
    <t>锌业股份</t>
  </si>
  <si>
    <t>葫芦岛锌业股份有限公司</t>
  </si>
  <si>
    <t>000758.SZ</t>
  </si>
  <si>
    <t>中色股份</t>
  </si>
  <si>
    <t>中国有色金属建设股份有限公司</t>
  </si>
  <si>
    <t>000762.SZ</t>
  </si>
  <si>
    <t>西藏矿业</t>
  </si>
  <si>
    <t>西藏</t>
  </si>
  <si>
    <t>西藏矿业发展股份有限公司</t>
  </si>
  <si>
    <t>000795.SZ</t>
  </si>
  <si>
    <t>英洛华</t>
  </si>
  <si>
    <t>英洛华科技股份有限公司</t>
  </si>
  <si>
    <t>000807.SZ</t>
  </si>
  <si>
    <t>云铝股份</t>
  </si>
  <si>
    <t>云南铝业股份有限公司</t>
  </si>
  <si>
    <t>000831.SZ</t>
  </si>
  <si>
    <t>中国稀土</t>
  </si>
  <si>
    <t>中国稀土集团资源科技股份有限公司</t>
  </si>
  <si>
    <t>000878.SZ</t>
  </si>
  <si>
    <t>云南铜业</t>
  </si>
  <si>
    <t>云南铜业股份有限公司</t>
  </si>
  <si>
    <t>000933.SZ</t>
  </si>
  <si>
    <t>神火股份</t>
  </si>
  <si>
    <t>河南神火煤电股份有限公司</t>
  </si>
  <si>
    <t>000960.SZ</t>
  </si>
  <si>
    <t>锡业股份</t>
  </si>
  <si>
    <t>云南锡业股份有限公司</t>
  </si>
  <si>
    <t>000962.SZ</t>
  </si>
  <si>
    <t>东方钽业</t>
  </si>
  <si>
    <t>宁夏东方钽业股份有限公司</t>
  </si>
  <si>
    <t>000969.SZ</t>
  </si>
  <si>
    <t>安泰科技</t>
  </si>
  <si>
    <t>安泰科技股份有限公司</t>
  </si>
  <si>
    <t>000970.SZ</t>
  </si>
  <si>
    <t>中科三环</t>
  </si>
  <si>
    <t>北京中科三环高技术股份有限公司</t>
  </si>
  <si>
    <t>000975.SZ</t>
  </si>
  <si>
    <t>银泰黄金</t>
  </si>
  <si>
    <t>银泰黄金股份有限公司</t>
  </si>
  <si>
    <t>001269.SZ</t>
  </si>
  <si>
    <t>欧晶科技</t>
  </si>
  <si>
    <t>内蒙古欧晶科技股份有限公司</t>
  </si>
  <si>
    <t>600110.SH</t>
  </si>
  <si>
    <t>诺德股份</t>
  </si>
  <si>
    <t>诺德新材料股份有限公司</t>
  </si>
  <si>
    <t>600111.SH</t>
  </si>
  <si>
    <t>北方稀土</t>
  </si>
  <si>
    <t>中国北方稀土(集团)高科技股份有限公司</t>
  </si>
  <si>
    <t>600172.SH</t>
  </si>
  <si>
    <t>黄河旋风</t>
  </si>
  <si>
    <t>河南黄河旋风股份有限公司</t>
  </si>
  <si>
    <t>600219.SH</t>
  </si>
  <si>
    <t>南山铝业</t>
  </si>
  <si>
    <t>山东南山铝业股份有限公司</t>
  </si>
  <si>
    <t>600255.SH</t>
  </si>
  <si>
    <t>鑫科材料</t>
  </si>
  <si>
    <t>安徽鑫科新材料股份有限公司</t>
  </si>
  <si>
    <t>600259.SH</t>
  </si>
  <si>
    <t>广晟有色</t>
  </si>
  <si>
    <t>广晟有色金属股份有限公司</t>
  </si>
  <si>
    <t>600281.SH</t>
  </si>
  <si>
    <t>华阳新材</t>
  </si>
  <si>
    <t>山西华阳新材料股份有限公司</t>
  </si>
  <si>
    <t>600311.SH</t>
  </si>
  <si>
    <t>*ST荣华</t>
  </si>
  <si>
    <t>甘肃荣华实业(集团)股份有限公司</t>
  </si>
  <si>
    <t>600331.SH</t>
  </si>
  <si>
    <t>宏达股份</t>
  </si>
  <si>
    <t>四川宏达股份有限公司</t>
  </si>
  <si>
    <t>600338.SH</t>
  </si>
  <si>
    <t>西藏珠峰</t>
  </si>
  <si>
    <t>西藏珠峰资源股份有限公司</t>
  </si>
  <si>
    <t>600362.SH</t>
  </si>
  <si>
    <t>江西铜业</t>
  </si>
  <si>
    <t>江西铜业股份有限公司</t>
  </si>
  <si>
    <t>600366.SH</t>
  </si>
  <si>
    <t>宁波韵升</t>
  </si>
  <si>
    <t>宁波韵升股份有限公司</t>
  </si>
  <si>
    <t>600392.SH</t>
  </si>
  <si>
    <t>盛和资源</t>
  </si>
  <si>
    <t>盛和资源控股股份有限公司</t>
  </si>
  <si>
    <t>600456.SH</t>
  </si>
  <si>
    <t>宝钛股份</t>
  </si>
  <si>
    <t>宝鸡钛业股份有限公司</t>
  </si>
  <si>
    <t>600459.SH</t>
  </si>
  <si>
    <t>贵研铂业</t>
  </si>
  <si>
    <t>贵研铂业股份有限公司</t>
  </si>
  <si>
    <t>600489.SH</t>
  </si>
  <si>
    <t>中金黄金</t>
  </si>
  <si>
    <t>中金黄金股份有限公司</t>
  </si>
  <si>
    <t>600490.SH</t>
  </si>
  <si>
    <t>鹏欣资源</t>
  </si>
  <si>
    <t>鹏欣环球资源股份有限公司</t>
  </si>
  <si>
    <t>600497.SH</t>
  </si>
  <si>
    <t>驰宏锌锗</t>
  </si>
  <si>
    <t>云南驰宏锌锗股份有限公司</t>
  </si>
  <si>
    <t>600516.SH</t>
  </si>
  <si>
    <t>方大炭素</t>
  </si>
  <si>
    <t>方大炭素新材料科技股份有限公司</t>
  </si>
  <si>
    <t>600531.SH</t>
  </si>
  <si>
    <t>豫光金铅</t>
  </si>
  <si>
    <t>河南豫光金铅股份有限公司</t>
  </si>
  <si>
    <t>600547.SH</t>
  </si>
  <si>
    <t>山东黄金</t>
  </si>
  <si>
    <t>山东黄金矿业股份有限公司</t>
  </si>
  <si>
    <t>600549.SH</t>
  </si>
  <si>
    <t>厦门钨业</t>
  </si>
  <si>
    <t>厦门钨业股份有限公司</t>
  </si>
  <si>
    <t>600595.SH</t>
  </si>
  <si>
    <t>中孚实业</t>
  </si>
  <si>
    <t>河南中孚实业股份有限公司</t>
  </si>
  <si>
    <t>600615.SH</t>
  </si>
  <si>
    <t>丰华股份</t>
  </si>
  <si>
    <t>重庆丰华(集团)股份有限公司</t>
  </si>
  <si>
    <t>600673.SH</t>
  </si>
  <si>
    <t>东阳光</t>
  </si>
  <si>
    <t>广东东阳光科技控股股份有限公司</t>
  </si>
  <si>
    <t xml:space="preserve"> </t>
  </si>
  <si>
    <t>盛屯矿业</t>
  </si>
  <si>
    <t>盛屯矿业集团股份有限公司</t>
  </si>
  <si>
    <t>600766.SH</t>
  </si>
  <si>
    <t>园城黄金</t>
  </si>
  <si>
    <t>烟台园城黄金股份有限公司</t>
  </si>
  <si>
    <t>600768.SH</t>
  </si>
  <si>
    <t>宁波富邦</t>
  </si>
  <si>
    <t>宁波富邦精业集团股份有限公司</t>
  </si>
  <si>
    <t>600807.SH</t>
  </si>
  <si>
    <t>济南高新</t>
  </si>
  <si>
    <t>济南高新发展股份有限公司</t>
  </si>
  <si>
    <t>600888.SH</t>
  </si>
  <si>
    <t>新疆众和</t>
  </si>
  <si>
    <t>新疆众和股份有限公司</t>
  </si>
  <si>
    <t>600916.SH</t>
  </si>
  <si>
    <t>中国黄金</t>
  </si>
  <si>
    <t>中国黄金集团黄金珠宝股份有限公司</t>
  </si>
  <si>
    <t>600961.SH</t>
  </si>
  <si>
    <t>株冶集团</t>
  </si>
  <si>
    <t>株洲冶炼集团股份有限公司</t>
  </si>
  <si>
    <t>600980.SH</t>
  </si>
  <si>
    <t>北矿科技</t>
  </si>
  <si>
    <t>北矿科技股份有限公司</t>
  </si>
  <si>
    <t>600988.SH</t>
  </si>
  <si>
    <t>赤峰黄金</t>
  </si>
  <si>
    <t>赤峰吉隆黄金矿业股份有限公司</t>
  </si>
  <si>
    <t>601020.SH</t>
  </si>
  <si>
    <t>华钰矿业</t>
  </si>
  <si>
    <t>西藏华钰矿业股份有限公司</t>
  </si>
  <si>
    <t>601069.SH</t>
  </si>
  <si>
    <t>西部黄金</t>
  </si>
  <si>
    <t>西部黄金股份有限公司</t>
  </si>
  <si>
    <t>601137.SH</t>
  </si>
  <si>
    <t>博威合金</t>
  </si>
  <si>
    <t>宁波博威合金材料股份有限公司</t>
  </si>
  <si>
    <t>601168.SH</t>
  </si>
  <si>
    <t>西部矿业</t>
  </si>
  <si>
    <t>西部矿业股份有限公司</t>
  </si>
  <si>
    <t>601212.SH</t>
  </si>
  <si>
    <t>白银有色</t>
  </si>
  <si>
    <t>白银有色集团股份有限公司</t>
  </si>
  <si>
    <t>601388.SH</t>
  </si>
  <si>
    <t>怡球资源</t>
  </si>
  <si>
    <t>怡球金属资源再生(中国)股份有限公司</t>
  </si>
  <si>
    <t>601600.SH</t>
  </si>
  <si>
    <t>中国铝业</t>
  </si>
  <si>
    <t>中国铝业股份有限公司</t>
  </si>
  <si>
    <t>601609.SH</t>
  </si>
  <si>
    <t>金田股份</t>
  </si>
  <si>
    <t>宁波金田铜业(集团)股份有限公司</t>
  </si>
  <si>
    <t>601677.SH</t>
  </si>
  <si>
    <t>明泰铝业</t>
  </si>
  <si>
    <t>河南明泰铝业股份有限公司</t>
  </si>
  <si>
    <t>601702.SH</t>
  </si>
  <si>
    <t>华峰铝业</t>
  </si>
  <si>
    <t>上海华峰铝业股份有限公司</t>
  </si>
  <si>
    <t>601899.SH</t>
  </si>
  <si>
    <t>紫金矿业</t>
  </si>
  <si>
    <t>紫金矿业集团股份有限公司</t>
  </si>
  <si>
    <t>601958.SH</t>
  </si>
  <si>
    <t>金钼股份</t>
  </si>
  <si>
    <t>金堆城钼业股份有限公司</t>
  </si>
  <si>
    <t>603115.SH</t>
  </si>
  <si>
    <t>海星股份</t>
  </si>
  <si>
    <t>南通海星电子股份有限公司</t>
  </si>
  <si>
    <t>603132.SH</t>
  </si>
  <si>
    <t>金徽股份</t>
  </si>
  <si>
    <t>金徽矿业股份有限公司</t>
  </si>
  <si>
    <t>603399.SH</t>
  </si>
  <si>
    <t>吉翔股份</t>
  </si>
  <si>
    <t>锦州吉翔钼业股份有限公司</t>
  </si>
  <si>
    <t>603527.SH</t>
  </si>
  <si>
    <t>众源新材</t>
  </si>
  <si>
    <t>安徽众源新材料股份有限公司</t>
  </si>
  <si>
    <t>603612.SH</t>
  </si>
  <si>
    <t>索通发展</t>
  </si>
  <si>
    <t>索通发展股份有限公司</t>
  </si>
  <si>
    <t>603663.SH</t>
  </si>
  <si>
    <t>三祥新材</t>
  </si>
  <si>
    <t>三祥新材股份有限公司</t>
  </si>
  <si>
    <t>603688.SH</t>
  </si>
  <si>
    <t>石英股份</t>
  </si>
  <si>
    <t>江苏太平洋石英股份有限公司</t>
  </si>
  <si>
    <t>603799.SH</t>
  </si>
  <si>
    <t>华友钴业</t>
  </si>
  <si>
    <t>浙江华友钴业股份有限公司</t>
  </si>
  <si>
    <t>603876.SH</t>
  </si>
  <si>
    <t>鼎胜新材</t>
  </si>
  <si>
    <t>江苏鼎胜新能源材料股份有限公司</t>
  </si>
  <si>
    <t>603937.SH</t>
  </si>
  <si>
    <t>丽岛新材</t>
  </si>
  <si>
    <t>江苏丽岛新材料股份有限公司</t>
  </si>
  <si>
    <t>603978.SH</t>
  </si>
  <si>
    <t>深圳新星</t>
  </si>
  <si>
    <t>深圳市新星轻合金材料股份有限公司</t>
  </si>
  <si>
    <t>603993.SH</t>
  </si>
  <si>
    <t>洛阳钼业</t>
  </si>
  <si>
    <t>洛阳栾川钼业集团股份有限公司</t>
  </si>
  <si>
    <t>605086.SH</t>
  </si>
  <si>
    <t>龙高股份</t>
  </si>
  <si>
    <t>龙岩高岭土股份有限公司</t>
  </si>
  <si>
    <t>605208.SH</t>
  </si>
  <si>
    <t>永茂泰</t>
  </si>
  <si>
    <t>上海永茂泰汽车科技股份有限公司</t>
  </si>
  <si>
    <t>605376.SH</t>
  </si>
  <si>
    <t>博迁新材</t>
  </si>
  <si>
    <t>江苏博迁新材料股份有限公司</t>
  </si>
  <si>
    <t>605599.SH</t>
  </si>
  <si>
    <t>菜百股份</t>
  </si>
  <si>
    <t>北京菜市口百货股份有限公司</t>
  </si>
  <si>
    <t>000009.SZ</t>
  </si>
  <si>
    <t>中国宝安</t>
  </si>
  <si>
    <t>中国宝安集团股份有限公司</t>
  </si>
  <si>
    <t>000020.SZ</t>
  </si>
  <si>
    <t>深华发A</t>
  </si>
  <si>
    <t>深圳中恒华发股份有限公司</t>
  </si>
  <si>
    <t>000021.SZ</t>
  </si>
  <si>
    <t>深科技</t>
  </si>
  <si>
    <t>深圳长城开发科技股份有限公司</t>
  </si>
  <si>
    <t>000045.SZ</t>
  </si>
  <si>
    <t>深纺织A</t>
  </si>
  <si>
    <t>深圳市纺织(集团)股份有限公司</t>
  </si>
  <si>
    <t>000049.SZ</t>
  </si>
  <si>
    <t>德赛电池</t>
  </si>
  <si>
    <t>深圳市德赛电池科技股份有限公司</t>
  </si>
  <si>
    <t>000050.SZ</t>
  </si>
  <si>
    <t>深天马A</t>
  </si>
  <si>
    <t>天马微电子股份有限公司</t>
  </si>
  <si>
    <t>000062.SZ</t>
  </si>
  <si>
    <t>深圳华强</t>
  </si>
  <si>
    <t>深圳华强实业股份有限公司</t>
  </si>
  <si>
    <t>000066.SZ</t>
  </si>
  <si>
    <t>中国长城</t>
  </si>
  <si>
    <t>中国长城科技集团股份有限公司</t>
  </si>
  <si>
    <t>000100.SZ</t>
  </si>
  <si>
    <t>TCL科技</t>
  </si>
  <si>
    <t>TCL科技集团股份有限公司</t>
  </si>
  <si>
    <t>000400.SZ</t>
  </si>
  <si>
    <t>许继电气</t>
  </si>
  <si>
    <t>许继电气股份有限公司</t>
  </si>
  <si>
    <t>000413.SZ</t>
  </si>
  <si>
    <t>东旭光电</t>
  </si>
  <si>
    <t>东旭光电科技股份有限公司</t>
  </si>
  <si>
    <t>000509.SZ</t>
  </si>
  <si>
    <t>华塑控股</t>
  </si>
  <si>
    <t>华塑控股股份有限公司</t>
  </si>
  <si>
    <t>000533.SZ</t>
  </si>
  <si>
    <t>顺钠股份</t>
  </si>
  <si>
    <t>广东顺钠电气股份有限公司</t>
  </si>
  <si>
    <t>000536.SZ</t>
  </si>
  <si>
    <t>华映科技</t>
  </si>
  <si>
    <t>华映科技(集团)股份有限公司</t>
  </si>
  <si>
    <t>000636.SZ</t>
  </si>
  <si>
    <t>风华高科</t>
  </si>
  <si>
    <t>广东风华高新科技股份有限公司</t>
  </si>
  <si>
    <t>000670.SZ</t>
  </si>
  <si>
    <t>盈方微</t>
  </si>
  <si>
    <t>盈方微电子股份有限公司</t>
  </si>
  <si>
    <t>000682.SZ</t>
  </si>
  <si>
    <t>东方电子</t>
  </si>
  <si>
    <t>东方电子股份有限公司</t>
  </si>
  <si>
    <t>000725.SZ</t>
  </si>
  <si>
    <t>京东方A</t>
  </si>
  <si>
    <t>京东方科技集团股份有限公司</t>
  </si>
  <si>
    <t>000727.SZ</t>
  </si>
  <si>
    <t>冠捷科技</t>
  </si>
  <si>
    <t>冠捷电子科技股份有限公司</t>
  </si>
  <si>
    <t>000733.SZ</t>
  </si>
  <si>
    <t>振华科技</t>
  </si>
  <si>
    <t>中国振华(集团)科技股份有限公司</t>
  </si>
  <si>
    <t>000806.SZ</t>
  </si>
  <si>
    <t>*ST银河</t>
  </si>
  <si>
    <t>北海银河生物产业投资股份有限公司</t>
  </si>
  <si>
    <t>000821.SZ</t>
  </si>
  <si>
    <t>京山轻机</t>
  </si>
  <si>
    <t>湖北京山轻工机械股份有限公司</t>
  </si>
  <si>
    <t>000823.SZ</t>
  </si>
  <si>
    <t>超声电子</t>
  </si>
  <si>
    <t>广东汕头超声电子股份有限公司</t>
  </si>
  <si>
    <t>000922.SZ</t>
  </si>
  <si>
    <t>佳电股份</t>
  </si>
  <si>
    <t>哈尔滨电气集团佳木斯电机股份有限公司</t>
  </si>
  <si>
    <t>000977.SZ</t>
  </si>
  <si>
    <t>浪潮信息</t>
  </si>
  <si>
    <t>浪潮电子信息产业股份有限公司</t>
  </si>
  <si>
    <t>001208.SZ</t>
  </si>
  <si>
    <t>华菱线缆</t>
  </si>
  <si>
    <t>湖南华菱线缆股份有限公司</t>
  </si>
  <si>
    <t>001229.SZ</t>
  </si>
  <si>
    <t>魅视科技</t>
  </si>
  <si>
    <t>广东魅视科技股份有限公司</t>
  </si>
  <si>
    <t>001266.SZ</t>
  </si>
  <si>
    <t>宏英智能</t>
  </si>
  <si>
    <t>上海宏英智能科技股份有限公司</t>
  </si>
  <si>
    <t>001270.SZ</t>
  </si>
  <si>
    <t>铖昌科技</t>
  </si>
  <si>
    <t>浙江铖昌科技股份有限公司</t>
  </si>
  <si>
    <t>001283.SZ</t>
  </si>
  <si>
    <t>豪鹏科技</t>
  </si>
  <si>
    <t>深圳市豪鹏科技股份有限公司</t>
  </si>
  <si>
    <t>001301.SZ</t>
  </si>
  <si>
    <t>尚太科技</t>
  </si>
  <si>
    <t>石家庄尚太科技股份有限公司</t>
  </si>
  <si>
    <t>001308.SZ</t>
  </si>
  <si>
    <t>康冠科技</t>
  </si>
  <si>
    <t>深圳市康冠科技股份有限公司</t>
  </si>
  <si>
    <t>001309.SZ</t>
  </si>
  <si>
    <t>德明利</t>
  </si>
  <si>
    <t>深圳市德明利技术股份有限公司</t>
  </si>
  <si>
    <t>001339.SZ</t>
  </si>
  <si>
    <t>智微智能</t>
  </si>
  <si>
    <t>深圳市智微智能科技股份有限公司</t>
  </si>
  <si>
    <t>600067.SH</t>
  </si>
  <si>
    <t>冠城大通</t>
  </si>
  <si>
    <t>冠城大通股份有限公司</t>
  </si>
  <si>
    <t>600071.SH</t>
  </si>
  <si>
    <t>凤凰光学</t>
  </si>
  <si>
    <t>凤凰光学股份有限公司</t>
  </si>
  <si>
    <t>600089.SH</t>
  </si>
  <si>
    <t>特变电工</t>
  </si>
  <si>
    <t>特变电工股份有限公司</t>
  </si>
  <si>
    <t>600100.SH</t>
  </si>
  <si>
    <t>同方股份</t>
  </si>
  <si>
    <t>同方股份有限公司</t>
  </si>
  <si>
    <t>600112.SH</t>
  </si>
  <si>
    <t>ST天成</t>
  </si>
  <si>
    <t>贵州长征天成控股股份有限公司</t>
  </si>
  <si>
    <t>600152.SH</t>
  </si>
  <si>
    <t>维科技术</t>
  </si>
  <si>
    <t>维科技术股份有限公司</t>
  </si>
  <si>
    <t>600171.SH</t>
  </si>
  <si>
    <t>上海贝岭</t>
  </si>
  <si>
    <t>上海贝岭股份有限公司</t>
  </si>
  <si>
    <t>600183.SH</t>
  </si>
  <si>
    <t>生益科技</t>
  </si>
  <si>
    <t>广东生益科技股份有限公司</t>
  </si>
  <si>
    <t>600192.SH</t>
  </si>
  <si>
    <t>长城电工</t>
  </si>
  <si>
    <t>兰州长城电工股份有限公司</t>
  </si>
  <si>
    <t>600203.SH</t>
  </si>
  <si>
    <t>福日电子</t>
  </si>
  <si>
    <t>福建福日电子股份有限公司</t>
  </si>
  <si>
    <t>600206.SH</t>
  </si>
  <si>
    <t>有研新材</t>
  </si>
  <si>
    <t>有研新材料股份有限公司</t>
  </si>
  <si>
    <t>600207.SH</t>
  </si>
  <si>
    <t>安彩高科</t>
  </si>
  <si>
    <t>河南安彩高科股份有限公司</t>
  </si>
  <si>
    <t>600237.SH</t>
  </si>
  <si>
    <t>铜峰电子</t>
  </si>
  <si>
    <t>安徽铜峰电子股份有限公司</t>
  </si>
  <si>
    <t>600241.SH</t>
  </si>
  <si>
    <t>ST时万</t>
  </si>
  <si>
    <t>辽宁时代万恒股份有限公司</t>
  </si>
  <si>
    <t>600268.SH</t>
  </si>
  <si>
    <t>国电南自</t>
  </si>
  <si>
    <t>国电南京自动化股份有限公司</t>
  </si>
  <si>
    <t>600288.SH</t>
  </si>
  <si>
    <t>大恒科技</t>
  </si>
  <si>
    <t>大恒新纪元科技股份有限公司</t>
  </si>
  <si>
    <t>600290.SH</t>
  </si>
  <si>
    <t>ST华仪</t>
  </si>
  <si>
    <t>华仪电气股份有限公司</t>
  </si>
  <si>
    <t>600312.SH</t>
  </si>
  <si>
    <t>平高电气</t>
  </si>
  <si>
    <t>河南平高电气股份有限公司</t>
  </si>
  <si>
    <t>600330.SH</t>
  </si>
  <si>
    <t>天通股份</t>
  </si>
  <si>
    <t>天通控股股份有限公司</t>
  </si>
  <si>
    <t>600353.SH</t>
  </si>
  <si>
    <t>旭光电子</t>
  </si>
  <si>
    <t>成都旭光电子股份有限公司</t>
  </si>
  <si>
    <t>600355.SH</t>
  </si>
  <si>
    <t>精伦电子</t>
  </si>
  <si>
    <t>精伦电子股份有限公司</t>
  </si>
  <si>
    <t>600360.SH</t>
  </si>
  <si>
    <t>华微电子</t>
  </si>
  <si>
    <t>吉林华微电子股份有限公司</t>
  </si>
  <si>
    <t>600363.SH</t>
  </si>
  <si>
    <t>联创光电</t>
  </si>
  <si>
    <t>江西联创光电科技股份有限公司</t>
  </si>
  <si>
    <t>600379.SH</t>
  </si>
  <si>
    <t>宝光股份</t>
  </si>
  <si>
    <t>陕西宝光真空电器股份有限公司</t>
  </si>
  <si>
    <t>600405.SH</t>
  </si>
  <si>
    <t>动力源</t>
  </si>
  <si>
    <t>北京动力源科技股份有限公司</t>
  </si>
  <si>
    <t>600406.SH</t>
  </si>
  <si>
    <t>国电南瑞</t>
  </si>
  <si>
    <t>国电南瑞科技股份有限公司</t>
  </si>
  <si>
    <t>600416.SH</t>
  </si>
  <si>
    <t>湘电股份</t>
  </si>
  <si>
    <t>湘潭电机股份有限公司</t>
  </si>
  <si>
    <t>600438.SH</t>
  </si>
  <si>
    <t>通威股份</t>
  </si>
  <si>
    <t>通威股份有限公司</t>
  </si>
  <si>
    <t>600460.SH</t>
  </si>
  <si>
    <t>士兰微</t>
  </si>
  <si>
    <t>杭州士兰微电子股份有限公司</t>
  </si>
  <si>
    <t>600468.SH</t>
  </si>
  <si>
    <t>百利电气</t>
  </si>
  <si>
    <t>天津百利特精电气股份有限公司</t>
  </si>
  <si>
    <t>600478.SH</t>
  </si>
  <si>
    <t>科力远</t>
  </si>
  <si>
    <t>湖南科力远新能源股份有限公司</t>
  </si>
  <si>
    <t>600520.SH</t>
  </si>
  <si>
    <t>文一科技</t>
  </si>
  <si>
    <t>文一三佳科技股份有限公司</t>
  </si>
  <si>
    <t>600525.SH</t>
  </si>
  <si>
    <t>长园集团</t>
  </si>
  <si>
    <t>长园科技集团股份有限公司</t>
  </si>
  <si>
    <t>600537.SH</t>
  </si>
  <si>
    <t>亿晶光电</t>
  </si>
  <si>
    <t>亿晶光电科技股份有限公司</t>
  </si>
  <si>
    <t>600550.SH</t>
  </si>
  <si>
    <t>保变电气</t>
  </si>
  <si>
    <t>保定天威保变电气股份有限公司</t>
  </si>
  <si>
    <t>600552.SH</t>
  </si>
  <si>
    <t>凯盛科技</t>
  </si>
  <si>
    <t>凯盛科技股份有限公司</t>
  </si>
  <si>
    <t>600560.SH</t>
  </si>
  <si>
    <t>金自天正</t>
  </si>
  <si>
    <t>北京金自天正智能控制股份有限公司</t>
  </si>
  <si>
    <t>600563.SH</t>
  </si>
  <si>
    <t>法拉电子</t>
  </si>
  <si>
    <t>厦门法拉电子股份有限公司</t>
  </si>
  <si>
    <t>600577.SH</t>
  </si>
  <si>
    <t>精达股份</t>
  </si>
  <si>
    <t>铜陵精达特种电磁线股份有限公司</t>
  </si>
  <si>
    <t>600580.SH</t>
  </si>
  <si>
    <t>卧龙电驱</t>
  </si>
  <si>
    <t>卧龙电气驱动集团股份有限公司</t>
  </si>
  <si>
    <t>600584.SH</t>
  </si>
  <si>
    <t>长电科技</t>
  </si>
  <si>
    <t>江苏长电科技股份有限公司</t>
  </si>
  <si>
    <t>600590.SH</t>
  </si>
  <si>
    <t>泰豪科技</t>
  </si>
  <si>
    <t>泰豪科技股份有限公司</t>
  </si>
  <si>
    <t>600601.SH</t>
  </si>
  <si>
    <t>*ST方科</t>
  </si>
  <si>
    <t>方正科技集团股份有限公司</t>
  </si>
  <si>
    <t>600651.SH</t>
  </si>
  <si>
    <t>飞乐音响</t>
  </si>
  <si>
    <t>上海飞乐音响股份有限公司</t>
  </si>
  <si>
    <t>600666.SH</t>
  </si>
  <si>
    <t>*ST瑞德</t>
  </si>
  <si>
    <t>奥瑞德光电股份有限公司</t>
  </si>
  <si>
    <t>600667.SH</t>
  </si>
  <si>
    <t>太极实业</t>
  </si>
  <si>
    <t>无锡市太极实业股份有限公司</t>
  </si>
  <si>
    <t>600703.SH</t>
  </si>
  <si>
    <t>三安光电</t>
  </si>
  <si>
    <t>三安光电股份有限公司</t>
  </si>
  <si>
    <t>600707.SH</t>
  </si>
  <si>
    <t>彩虹股份</t>
  </si>
  <si>
    <t>彩虹显示器件股份有限公司</t>
  </si>
  <si>
    <t>600732.SH</t>
  </si>
  <si>
    <t>爱旭股份</t>
  </si>
  <si>
    <t>上海爱旭新能源股份有限公司</t>
  </si>
  <si>
    <t>600734.SH</t>
  </si>
  <si>
    <t>ST实达</t>
  </si>
  <si>
    <t>福建实达集团股份有限公司</t>
  </si>
  <si>
    <t>600745.SH</t>
  </si>
  <si>
    <t>闻泰科技</t>
  </si>
  <si>
    <t>闻泰科技股份有限公司</t>
  </si>
  <si>
    <t>600751.SH</t>
  </si>
  <si>
    <t>海航科技</t>
  </si>
  <si>
    <t>海航科技股份有限公司</t>
  </si>
  <si>
    <t>600847.SH</t>
  </si>
  <si>
    <t>万里股份</t>
  </si>
  <si>
    <t>重庆万里新能源股份有限公司</t>
  </si>
  <si>
    <t>600869.SH</t>
  </si>
  <si>
    <t>远东股份</t>
  </si>
  <si>
    <t>远东智慧能源股份有限公司</t>
  </si>
  <si>
    <t>600875.SH</t>
  </si>
  <si>
    <t>东方电气</t>
  </si>
  <si>
    <t>东方电气股份有限公司</t>
  </si>
  <si>
    <t>600877.SH</t>
  </si>
  <si>
    <t>声光电科</t>
  </si>
  <si>
    <t>中电科声光电科技股份有限公司</t>
  </si>
  <si>
    <t>600884.SH</t>
  </si>
  <si>
    <t>杉杉股份</t>
  </si>
  <si>
    <t>宁波杉杉股份有限公司</t>
  </si>
  <si>
    <t>600885.SH</t>
  </si>
  <si>
    <t>宏发股份</t>
  </si>
  <si>
    <t>宏发科技股份有限公司</t>
  </si>
  <si>
    <t>600973.SH</t>
  </si>
  <si>
    <t>宝胜股份</t>
  </si>
  <si>
    <t>宝胜科技创新股份有限公司</t>
  </si>
  <si>
    <t>601012.SH</t>
  </si>
  <si>
    <t>隆基绿能</t>
  </si>
  <si>
    <t>隆基绿能科技股份有限公司</t>
  </si>
  <si>
    <t>601126.SH</t>
  </si>
  <si>
    <t>四方股份</t>
  </si>
  <si>
    <t>北京四方继保自动化股份有限公司</t>
  </si>
  <si>
    <t>601179.SH</t>
  </si>
  <si>
    <t>中国西电</t>
  </si>
  <si>
    <t>中国西电电气股份有限公司</t>
  </si>
  <si>
    <t>601218.SH</t>
  </si>
  <si>
    <t>吉鑫科技</t>
  </si>
  <si>
    <t>江苏吉鑫风能科技股份有限公司</t>
  </si>
  <si>
    <t>601222.SH</t>
  </si>
  <si>
    <t>林洋能源</t>
  </si>
  <si>
    <t>江苏林洋能源股份有限公司</t>
  </si>
  <si>
    <t>601231.SH</t>
  </si>
  <si>
    <t>环旭电子</t>
  </si>
  <si>
    <t>环旭电子股份有限公司</t>
  </si>
  <si>
    <t>601311.SH</t>
  </si>
  <si>
    <t>骆驼股份</t>
  </si>
  <si>
    <t>骆驼集团股份有限公司</t>
  </si>
  <si>
    <t>601567.SH</t>
  </si>
  <si>
    <t>三星医疗</t>
  </si>
  <si>
    <t>宁波三星医疗电气股份有限公司</t>
  </si>
  <si>
    <t>601615.SH</t>
  </si>
  <si>
    <t>明阳智能</t>
  </si>
  <si>
    <t>明阳智慧能源集团股份公司</t>
  </si>
  <si>
    <t>601616.SH</t>
  </si>
  <si>
    <t>广电电气</t>
  </si>
  <si>
    <t>上海广电电气(集团)股份有限公司</t>
  </si>
  <si>
    <t>601700.SH</t>
  </si>
  <si>
    <t>风范股份</t>
  </si>
  <si>
    <t>常熟风范电力设备股份有限公司</t>
  </si>
  <si>
    <t>601727.SH</t>
  </si>
  <si>
    <t>上海电气</t>
  </si>
  <si>
    <t>上海电气集团股份有限公司</t>
  </si>
  <si>
    <t>601877.SH</t>
  </si>
  <si>
    <t>正泰电器</t>
  </si>
  <si>
    <t>浙江正泰电器股份有限公司</t>
  </si>
  <si>
    <t>603005.SH</t>
  </si>
  <si>
    <t>晶方科技</t>
  </si>
  <si>
    <t>苏州晶方半导体科技股份有限公司</t>
  </si>
  <si>
    <t>603015.SH</t>
  </si>
  <si>
    <t>弘讯科技</t>
  </si>
  <si>
    <t>宁波弘讯科技股份有限公司</t>
  </si>
  <si>
    <t>603016.SH</t>
  </si>
  <si>
    <t>新宏泰</t>
  </si>
  <si>
    <t>无锡新宏泰电器科技股份有限公司</t>
  </si>
  <si>
    <t>603019.SH</t>
  </si>
  <si>
    <t>中科曙光</t>
  </si>
  <si>
    <t>曙光信息产业股份有限公司</t>
  </si>
  <si>
    <t>603045.SH</t>
  </si>
  <si>
    <t>福达合金</t>
  </si>
  <si>
    <t>福达合金材料股份有限公司</t>
  </si>
  <si>
    <t>603050.SH</t>
  </si>
  <si>
    <t>科林电气</t>
  </si>
  <si>
    <t>石家庄科林电气股份有限公司</t>
  </si>
  <si>
    <t>603052.SH</t>
  </si>
  <si>
    <t>可川科技</t>
  </si>
  <si>
    <t>苏州可川电子科技股份有限公司</t>
  </si>
  <si>
    <t>603063.SH</t>
  </si>
  <si>
    <t>禾望电气</t>
  </si>
  <si>
    <t>深圳市禾望电气股份有限公司</t>
  </si>
  <si>
    <t>603068.SH</t>
  </si>
  <si>
    <t>博通集成</t>
  </si>
  <si>
    <t>博通集成电路(上海)股份有限公司</t>
  </si>
  <si>
    <t>603070.SH</t>
  </si>
  <si>
    <t>万控智造</t>
  </si>
  <si>
    <t>万控智造股份有限公司</t>
  </si>
  <si>
    <t>603078.SH</t>
  </si>
  <si>
    <t>江化微</t>
  </si>
  <si>
    <t>江阴江化微电子材料股份有限公司</t>
  </si>
  <si>
    <t>603097.SH</t>
  </si>
  <si>
    <t>江苏华辰</t>
  </si>
  <si>
    <t>江苏华辰变压器股份有限公司</t>
  </si>
  <si>
    <t>603100.SH</t>
  </si>
  <si>
    <t>川仪股份</t>
  </si>
  <si>
    <t>重庆川仪自动化股份有限公司</t>
  </si>
  <si>
    <t>603105.SH</t>
  </si>
  <si>
    <t>芯能科技</t>
  </si>
  <si>
    <t>浙江芯能光伏科技股份有限公司</t>
  </si>
  <si>
    <t>603106.SH</t>
  </si>
  <si>
    <t>恒银科技</t>
  </si>
  <si>
    <t>恒银金融科技股份有限公司</t>
  </si>
  <si>
    <t>603109.SH</t>
  </si>
  <si>
    <t>神驰机电</t>
  </si>
  <si>
    <t>神驰机电股份有限公司</t>
  </si>
  <si>
    <t>603133.SH</t>
  </si>
  <si>
    <t>碳元科技</t>
  </si>
  <si>
    <t>碳元科技股份有限公司</t>
  </si>
  <si>
    <t>603160.SH</t>
  </si>
  <si>
    <t>汇顶科技</t>
  </si>
  <si>
    <t>深圳市汇顶科技股份有限公司</t>
  </si>
  <si>
    <t>603185.SH</t>
  </si>
  <si>
    <t>上机数控</t>
  </si>
  <si>
    <t>无锡上机数控股份有限公司</t>
  </si>
  <si>
    <t>603186.SH</t>
  </si>
  <si>
    <t>华正新材</t>
  </si>
  <si>
    <t>浙江华正新材料股份有限公司</t>
  </si>
  <si>
    <t>603191.SH</t>
  </si>
  <si>
    <t>望变电气</t>
  </si>
  <si>
    <t>重庆望变电气(集团)股份有限公司</t>
  </si>
  <si>
    <t>603218.SH</t>
  </si>
  <si>
    <t>日月股份</t>
  </si>
  <si>
    <t>日月重工股份有限公司</t>
  </si>
  <si>
    <t>603228.SH</t>
  </si>
  <si>
    <t>景旺电子</t>
  </si>
  <si>
    <t>深圳市景旺电子股份有限公司</t>
  </si>
  <si>
    <t>603267.SH</t>
  </si>
  <si>
    <t>鸿远电子</t>
  </si>
  <si>
    <t>北京元六鸿远电子科技股份有限公司</t>
  </si>
  <si>
    <t>603290.SH</t>
  </si>
  <si>
    <t>斯达半导</t>
  </si>
  <si>
    <t>嘉兴斯达半导体股份有限公司</t>
  </si>
  <si>
    <t>603297.SH</t>
  </si>
  <si>
    <t>永新光学</t>
  </si>
  <si>
    <t>宁波永新光学股份有限公司</t>
  </si>
  <si>
    <t>603320.SH</t>
  </si>
  <si>
    <t>迪贝电气</t>
  </si>
  <si>
    <t>浙江迪贝电气股份有限公司</t>
  </si>
  <si>
    <t>603327.SH</t>
  </si>
  <si>
    <t>福蓉科技</t>
  </si>
  <si>
    <t>四川福蓉科技股份公司</t>
  </si>
  <si>
    <t>603328.SH</t>
  </si>
  <si>
    <t>依顿电子</t>
  </si>
  <si>
    <t>广东依顿电子科技股份有限公司</t>
  </si>
  <si>
    <t>603333.SH</t>
  </si>
  <si>
    <t>尚纬股份</t>
  </si>
  <si>
    <t>尚纬股份有限公司</t>
  </si>
  <si>
    <t>603380.SH</t>
  </si>
  <si>
    <t>易德龙</t>
  </si>
  <si>
    <t>苏州易德龙科技股份有限公司</t>
  </si>
  <si>
    <t>603386.SH</t>
  </si>
  <si>
    <t>骏亚科技</t>
  </si>
  <si>
    <t>广东骏亚电子科技股份有限公司</t>
  </si>
  <si>
    <t>603416.SH</t>
  </si>
  <si>
    <t>信捷电气</t>
  </si>
  <si>
    <t>无锡信捷电气股份有限公司</t>
  </si>
  <si>
    <t>603489.SH</t>
  </si>
  <si>
    <t>八方股份</t>
  </si>
  <si>
    <t>八方电气(苏州)股份有限公司</t>
  </si>
  <si>
    <t>603496.SH</t>
  </si>
  <si>
    <t>恒为科技</t>
  </si>
  <si>
    <t>恒为科技(上海)股份有限公司</t>
  </si>
  <si>
    <t>603501.SH</t>
  </si>
  <si>
    <t>韦尔股份</t>
  </si>
  <si>
    <t>上海韦尔半导体股份有限公司</t>
  </si>
  <si>
    <t>603507.SH</t>
  </si>
  <si>
    <t>振江股份</t>
  </si>
  <si>
    <t>江苏振江新能源装备股份有限公司</t>
  </si>
  <si>
    <t>603530.SH</t>
  </si>
  <si>
    <t>神马电力</t>
  </si>
  <si>
    <t>江苏神马电力股份有限公司</t>
  </si>
  <si>
    <t>603556.SH</t>
  </si>
  <si>
    <t>海兴电力</t>
  </si>
  <si>
    <t>杭州海兴电力科技股份有限公司</t>
  </si>
  <si>
    <t>603577.SH</t>
  </si>
  <si>
    <t>汇金通</t>
  </si>
  <si>
    <t>青岛汇金通电力设备股份有限公司</t>
  </si>
  <si>
    <t>603583.SH</t>
  </si>
  <si>
    <t>捷昌驱动</t>
  </si>
  <si>
    <t>浙江捷昌线性驱动科技股份有限公司</t>
  </si>
  <si>
    <t>603595.SH</t>
  </si>
  <si>
    <t>东尼电子</t>
  </si>
  <si>
    <t>浙江东尼电子股份有限公司</t>
  </si>
  <si>
    <t>603606.SH</t>
  </si>
  <si>
    <t>东方电缆</t>
  </si>
  <si>
    <t>宁波东方电缆股份有限公司</t>
  </si>
  <si>
    <t>603618.SH</t>
  </si>
  <si>
    <t>杭电股份</t>
  </si>
  <si>
    <t>杭州电缆股份有限公司</t>
  </si>
  <si>
    <t>603626.SH</t>
  </si>
  <si>
    <t>科森科技</t>
  </si>
  <si>
    <t>昆山科森科技股份有限公司</t>
  </si>
  <si>
    <t>603628.SH</t>
  </si>
  <si>
    <t>清源股份</t>
  </si>
  <si>
    <t>清源科技股份有限公司</t>
  </si>
  <si>
    <t>603629.SH</t>
  </si>
  <si>
    <t>利通电子</t>
  </si>
  <si>
    <t>江苏利通电子股份有限公司</t>
  </si>
  <si>
    <t>603633.SH</t>
  </si>
  <si>
    <t>徕木股份</t>
  </si>
  <si>
    <t>上海徕木电子股份有限公司</t>
  </si>
  <si>
    <t>603662.SH</t>
  </si>
  <si>
    <t>柯力传感</t>
  </si>
  <si>
    <t>宁波柯力传感科技股份有限公司</t>
  </si>
  <si>
    <t>603678.SH</t>
  </si>
  <si>
    <t>火炬电子</t>
  </si>
  <si>
    <t>福建火炬电子科技股份有限公司</t>
  </si>
  <si>
    <t>603679.SH</t>
  </si>
  <si>
    <t>华体科技</t>
  </si>
  <si>
    <t>四川华体照明科技股份有限公司</t>
  </si>
  <si>
    <t>603685.SH</t>
  </si>
  <si>
    <t>晨丰科技</t>
  </si>
  <si>
    <t>浙江晨丰科技股份有限公司</t>
  </si>
  <si>
    <t>603690.SH</t>
  </si>
  <si>
    <t>至纯科技</t>
  </si>
  <si>
    <t>上海至纯洁净系统科技股份有限公司</t>
  </si>
  <si>
    <t>603700.SH</t>
  </si>
  <si>
    <t>宁水集团</t>
  </si>
  <si>
    <t>宁波水表(集团)股份有限公司</t>
  </si>
  <si>
    <t>603728.SH</t>
  </si>
  <si>
    <t>鸣志电器</t>
  </si>
  <si>
    <t>上海鸣志电器股份有限公司</t>
  </si>
  <si>
    <t>603738.SH</t>
  </si>
  <si>
    <t>泰晶科技</t>
  </si>
  <si>
    <t>泰晶科技股份有限公司</t>
  </si>
  <si>
    <t>603773.SH</t>
  </si>
  <si>
    <t>沃格光电</t>
  </si>
  <si>
    <t>江西沃格光电股份有限公司</t>
  </si>
  <si>
    <t>603819.SH</t>
  </si>
  <si>
    <t>神力股份</t>
  </si>
  <si>
    <t>常州神力电机股份有限公司</t>
  </si>
  <si>
    <t>603829.SH</t>
  </si>
  <si>
    <t>洛凯股份</t>
  </si>
  <si>
    <t>江苏洛凯机电股份有限公司</t>
  </si>
  <si>
    <t>603861.SH</t>
  </si>
  <si>
    <t>白云电器</t>
  </si>
  <si>
    <t>广州白云电器设备股份有限公司</t>
  </si>
  <si>
    <t>603890.SH</t>
  </si>
  <si>
    <t>春秋电子</t>
  </si>
  <si>
    <t>苏州春秋电子科技股份有限公司</t>
  </si>
  <si>
    <t>603893.SH</t>
  </si>
  <si>
    <t>瑞芯微</t>
  </si>
  <si>
    <t>瑞芯微电子股份有限公司</t>
  </si>
  <si>
    <t>603897.SH</t>
  </si>
  <si>
    <t>长城科技</t>
  </si>
  <si>
    <t>浙江长城电工科技股份有限公司</t>
  </si>
  <si>
    <t>603920.SH</t>
  </si>
  <si>
    <t>世运电路</t>
  </si>
  <si>
    <t>广东世运电路科技股份有限公司</t>
  </si>
  <si>
    <t>603933.SH</t>
  </si>
  <si>
    <t>睿能科技</t>
  </si>
  <si>
    <t>福建睿能科技股份有限公司</t>
  </si>
  <si>
    <t>603936.SH</t>
  </si>
  <si>
    <t>博敏电子</t>
  </si>
  <si>
    <t>博敏电子股份有限公司</t>
  </si>
  <si>
    <t>603986.SH</t>
  </si>
  <si>
    <t>兆易创新</t>
  </si>
  <si>
    <t>兆易创新科技集团股份有限公司</t>
  </si>
  <si>
    <t>603988.SH</t>
  </si>
  <si>
    <t>中电电机</t>
  </si>
  <si>
    <t>中电电机股份有限公司</t>
  </si>
  <si>
    <t>603989.SH</t>
  </si>
  <si>
    <t>艾华集团</t>
  </si>
  <si>
    <t>湖南艾华集团股份有限公司</t>
  </si>
  <si>
    <t>605056.SH</t>
  </si>
  <si>
    <t>咸亨国际</t>
  </si>
  <si>
    <t>咸亨国际科技股份有限公司</t>
  </si>
  <si>
    <t>605058.SH</t>
  </si>
  <si>
    <t>澳弘电子</t>
  </si>
  <si>
    <t>常州澳弘电子股份有限公司</t>
  </si>
  <si>
    <t>605066.SH</t>
  </si>
  <si>
    <t>天正电气</t>
  </si>
  <si>
    <t>浙江天正电气股份有限公司</t>
  </si>
  <si>
    <t>605111.SH</t>
  </si>
  <si>
    <t>新洁能</t>
  </si>
  <si>
    <t>无锡新洁能股份有限公司</t>
  </si>
  <si>
    <t>605118.SH</t>
  </si>
  <si>
    <t>力鼎光电</t>
  </si>
  <si>
    <t>厦门力鼎光电股份有限公司</t>
  </si>
  <si>
    <t>605196.SH</t>
  </si>
  <si>
    <t>华通线缆</t>
  </si>
  <si>
    <t>河北华通线缆集团股份有限公司</t>
  </si>
  <si>
    <t>605218.SH</t>
  </si>
  <si>
    <t>伟时电子</t>
  </si>
  <si>
    <t>伟时电子股份有限公司</t>
  </si>
  <si>
    <t>605222.SH</t>
  </si>
  <si>
    <t>起帆电缆</t>
  </si>
  <si>
    <t>上海起帆电缆股份有限公司</t>
  </si>
  <si>
    <t>605258.SH</t>
  </si>
  <si>
    <t>协和电子</t>
  </si>
  <si>
    <t>江苏协和电子股份有限公司</t>
  </si>
  <si>
    <t>605277.SH</t>
  </si>
  <si>
    <t>新亚电子</t>
  </si>
  <si>
    <t>新亚电子股份有限公司</t>
  </si>
  <si>
    <t>605288.SH</t>
  </si>
  <si>
    <t>凯迪股份</t>
  </si>
  <si>
    <t>常州市凯迪电器股份有限公司</t>
  </si>
  <si>
    <t>605358.SH</t>
  </si>
  <si>
    <t>立昂微</t>
  </si>
  <si>
    <t>杭州立昂微电子股份有限公司</t>
  </si>
  <si>
    <t>605378.SH</t>
  </si>
  <si>
    <t>野马电池</t>
  </si>
  <si>
    <t>浙江野马电池股份有限公司</t>
  </si>
  <si>
    <t>605588.SH</t>
  </si>
  <si>
    <t>冠石科技</t>
  </si>
  <si>
    <t>南京冠石科技股份有限公司</t>
  </si>
  <si>
    <t>000025.SZ</t>
  </si>
  <si>
    <t>特力A</t>
  </si>
  <si>
    <t>深圳市特力(集团)股份有限公司</t>
  </si>
  <si>
    <t>000030.SZ</t>
  </si>
  <si>
    <t>富奥股份</t>
  </si>
  <si>
    <t>富奥汽车零部件股份有限公司</t>
  </si>
  <si>
    <t>000338.SZ</t>
  </si>
  <si>
    <t>潍柴动力</t>
  </si>
  <si>
    <t>潍柴动力股份有限公司</t>
  </si>
  <si>
    <t>000550.SZ</t>
  </si>
  <si>
    <t>江铃汽车</t>
  </si>
  <si>
    <t>江铃汽车股份有限公司</t>
  </si>
  <si>
    <t>000559.SZ</t>
  </si>
  <si>
    <t>万向钱潮</t>
  </si>
  <si>
    <t>万向钱潮股份公司</t>
  </si>
  <si>
    <t>000572.SZ</t>
  </si>
  <si>
    <t>海马汽车</t>
  </si>
  <si>
    <t>海马汽车股份有限公司</t>
  </si>
  <si>
    <t>000581.SZ</t>
  </si>
  <si>
    <t>威孚高科</t>
  </si>
  <si>
    <t>无锡威孚高科技集团股份有限公司</t>
  </si>
  <si>
    <t>000589.SZ</t>
  </si>
  <si>
    <t>贵州轮胎</t>
  </si>
  <si>
    <t>贵州轮胎股份有限公司</t>
  </si>
  <si>
    <t>000599.SZ</t>
  </si>
  <si>
    <t>青岛双星</t>
  </si>
  <si>
    <t>青岛双星股份有限公司</t>
  </si>
  <si>
    <t>000625.SZ</t>
  </si>
  <si>
    <t>长安汽车</t>
  </si>
  <si>
    <t>重庆长安汽车股份有限公司</t>
  </si>
  <si>
    <t>000678.SZ</t>
  </si>
  <si>
    <t>襄阳轴承</t>
  </si>
  <si>
    <t>襄阳汽车轴承股份有限公司</t>
  </si>
  <si>
    <t>000700.SZ</t>
  </si>
  <si>
    <t>模塑科技</t>
  </si>
  <si>
    <t>江南模塑科技股份有限公司</t>
  </si>
  <si>
    <t>000753.SZ</t>
  </si>
  <si>
    <t>漳州发展</t>
  </si>
  <si>
    <t>福建漳州发展股份有限公司</t>
  </si>
  <si>
    <t>000757.SZ</t>
  </si>
  <si>
    <t>浩物股份</t>
  </si>
  <si>
    <t>四川浩物机电股份有限公司</t>
  </si>
  <si>
    <t>000800.SZ</t>
  </si>
  <si>
    <t>一汽解放</t>
  </si>
  <si>
    <t>一汽解放集团股份有限公司</t>
  </si>
  <si>
    <t>000868.SZ</t>
  </si>
  <si>
    <t>安凯客车</t>
  </si>
  <si>
    <t>安徽安凯汽车股份有限公司</t>
  </si>
  <si>
    <t>000887.SZ</t>
  </si>
  <si>
    <t>中鼎股份</t>
  </si>
  <si>
    <t>安徽中鼎密封件股份有限公司</t>
  </si>
  <si>
    <t>000901.SZ</t>
  </si>
  <si>
    <t>航天科技</t>
  </si>
  <si>
    <t>航天科技控股集团股份有限公司</t>
  </si>
  <si>
    <t>000903.SZ</t>
  </si>
  <si>
    <t>云内动力</t>
  </si>
  <si>
    <t>昆明云内动力股份有限公司</t>
  </si>
  <si>
    <t>000913.SZ</t>
  </si>
  <si>
    <t>钱江摩托</t>
  </si>
  <si>
    <t>浙江钱江摩托股份有限公司</t>
  </si>
  <si>
    <t>000951.SZ</t>
  </si>
  <si>
    <t>中国重汽</t>
  </si>
  <si>
    <t>中国重汽集团济南卡车股份有限公司</t>
  </si>
  <si>
    <t>000957.SZ</t>
  </si>
  <si>
    <t>中通客车</t>
  </si>
  <si>
    <t>中通客车股份有限公司</t>
  </si>
  <si>
    <t>000980.SZ</t>
  </si>
  <si>
    <t>众泰汽车</t>
  </si>
  <si>
    <t>众泰汽车股份有限公司</t>
  </si>
  <si>
    <t>000981.SZ</t>
  </si>
  <si>
    <t>山子股份</t>
  </si>
  <si>
    <t>山子高科技股份有限公司</t>
  </si>
  <si>
    <t>000996.SZ</t>
  </si>
  <si>
    <t>中国中期</t>
  </si>
  <si>
    <t>中国中期投资股份有限公司</t>
  </si>
  <si>
    <t>001319.SZ</t>
  </si>
  <si>
    <t>铭科精技</t>
  </si>
  <si>
    <t>铭科精技控股股份有限公司</t>
  </si>
  <si>
    <t>001696.SZ</t>
  </si>
  <si>
    <t>宗申动力</t>
  </si>
  <si>
    <t>重庆宗申动力机械股份有限公司</t>
  </si>
  <si>
    <t>600006.SH</t>
  </si>
  <si>
    <t>东风汽车</t>
  </si>
  <si>
    <t>东风汽车股份有限公司</t>
  </si>
  <si>
    <t>600066.SH</t>
  </si>
  <si>
    <t>宇通客车</t>
  </si>
  <si>
    <t>宇通客车股份有限公司</t>
  </si>
  <si>
    <t>600081.SH</t>
  </si>
  <si>
    <t>东风科技</t>
  </si>
  <si>
    <t>东风电子科技股份有限公司</t>
  </si>
  <si>
    <t>600099.SH</t>
  </si>
  <si>
    <t>林海股份</t>
  </si>
  <si>
    <t>林海股份有限公司</t>
  </si>
  <si>
    <t>600104.SH</t>
  </si>
  <si>
    <t>上汽集团</t>
  </si>
  <si>
    <t>上海汽车集团股份有限公司</t>
  </si>
  <si>
    <t>600148.SH</t>
  </si>
  <si>
    <t>长春一东</t>
  </si>
  <si>
    <t>长春一东离合器股份有限公司</t>
  </si>
  <si>
    <t>600151.SH</t>
  </si>
  <si>
    <t>航天机电</t>
  </si>
  <si>
    <t>上海航天汽车机电股份有限公司</t>
  </si>
  <si>
    <t>600166.SH</t>
  </si>
  <si>
    <t>福田汽车</t>
  </si>
  <si>
    <t>北汽福田汽车股份有限公司</t>
  </si>
  <si>
    <t>600178.SH</t>
  </si>
  <si>
    <t>东安动力</t>
  </si>
  <si>
    <t>哈尔滨东安汽车动力股份有限公司</t>
  </si>
  <si>
    <t>600182.SH</t>
  </si>
  <si>
    <t>S*ST佳通</t>
  </si>
  <si>
    <t>佳通轮胎股份有限公司</t>
  </si>
  <si>
    <t>600213.SH</t>
  </si>
  <si>
    <t>亚星客车</t>
  </si>
  <si>
    <t>扬州亚星客车股份有限公司</t>
  </si>
  <si>
    <t>600218.SH</t>
  </si>
  <si>
    <t>全柴动力</t>
  </si>
  <si>
    <t>安徽全柴动力股份有限公司</t>
  </si>
  <si>
    <t>600297.SH</t>
  </si>
  <si>
    <t>广汇汽车</t>
  </si>
  <si>
    <t>广汇汽车服务集团股份公司</t>
  </si>
  <si>
    <t>600303.SH</t>
  </si>
  <si>
    <t>ST曙光</t>
  </si>
  <si>
    <t>辽宁曙光汽车集团股份有限公司</t>
  </si>
  <si>
    <t>600335.SH</t>
  </si>
  <si>
    <t>国机汽车</t>
  </si>
  <si>
    <t>国机汽车股份有限公司</t>
  </si>
  <si>
    <t>600375.SH</t>
  </si>
  <si>
    <t>汉马科技</t>
  </si>
  <si>
    <t>汉马科技集团股份有限公司</t>
  </si>
  <si>
    <t>600386.SH</t>
  </si>
  <si>
    <t>北巴传媒</t>
  </si>
  <si>
    <t>北京巴士传媒股份有限公司</t>
  </si>
  <si>
    <t>600418.SH</t>
  </si>
  <si>
    <t>江淮汽车</t>
  </si>
  <si>
    <t>安徽江淮汽车集团股份有限公司</t>
  </si>
  <si>
    <t>600469.SH</t>
  </si>
  <si>
    <t>风神股份</t>
  </si>
  <si>
    <t>风神轮胎股份有限公司</t>
  </si>
  <si>
    <t>600480.SH</t>
  </si>
  <si>
    <t>凌云股份</t>
  </si>
  <si>
    <t>凌云工业股份有限公司</t>
  </si>
  <si>
    <t>600501.SH</t>
  </si>
  <si>
    <t>航天晨光</t>
  </si>
  <si>
    <t>航天晨光股份有限公司</t>
  </si>
  <si>
    <t>600523.SH</t>
  </si>
  <si>
    <t>贵航股份</t>
  </si>
  <si>
    <t>贵州贵航汽车零部件股份有限公司</t>
  </si>
  <si>
    <t>600609.SH</t>
  </si>
  <si>
    <t>金杯汽车</t>
  </si>
  <si>
    <t>金杯汽车股份有限公司</t>
  </si>
  <si>
    <t>600626.SH</t>
  </si>
  <si>
    <t>申达股份</t>
  </si>
  <si>
    <t>上海申达股份有限公司</t>
  </si>
  <si>
    <t>600653.SH</t>
  </si>
  <si>
    <t>申华控股</t>
  </si>
  <si>
    <t>辽宁申华控股股份有限公司</t>
  </si>
  <si>
    <t>600660.SH</t>
  </si>
  <si>
    <t>福耀玻璃</t>
  </si>
  <si>
    <t>福耀玻璃工业集团股份有限公司</t>
  </si>
  <si>
    <t>600676.SH</t>
  </si>
  <si>
    <t>交运股份</t>
  </si>
  <si>
    <t>上海交运集团股份有限公司</t>
  </si>
  <si>
    <t>600686.SH</t>
  </si>
  <si>
    <t>金龙汽车</t>
  </si>
  <si>
    <t>厦门金龙汽车集团股份有限公司</t>
  </si>
  <si>
    <t>600698.SH</t>
  </si>
  <si>
    <t>湖南天雁</t>
  </si>
  <si>
    <t>湖南天雁机械股份有限公司</t>
  </si>
  <si>
    <t>600699.SH</t>
  </si>
  <si>
    <t>均胜电子</t>
  </si>
  <si>
    <t>宁波均胜电子股份有限公司</t>
  </si>
  <si>
    <t>600733.SH</t>
  </si>
  <si>
    <t>北汽蓝谷</t>
  </si>
  <si>
    <t>北汽蓝谷新能源科技股份有限公司</t>
  </si>
  <si>
    <t>600741.SH</t>
  </si>
  <si>
    <t>华域汽车</t>
  </si>
  <si>
    <t>华域汽车系统股份有限公司</t>
  </si>
  <si>
    <t>600742.SH</t>
  </si>
  <si>
    <t>一汽富维</t>
  </si>
  <si>
    <t>长春一汽富维汽车零部件股份有限公司</t>
  </si>
  <si>
    <t>600841.SH</t>
  </si>
  <si>
    <t>动力新科</t>
  </si>
  <si>
    <t>上海新动力汽车科技股份有限公司</t>
  </si>
  <si>
    <t>600933.SH</t>
  </si>
  <si>
    <t>爱柯迪</t>
  </si>
  <si>
    <t>爱柯迪股份有限公司</t>
  </si>
  <si>
    <t>600960.SH</t>
  </si>
  <si>
    <t>渤海汽车</t>
  </si>
  <si>
    <t>渤海汽车系统股份有限公司</t>
  </si>
  <si>
    <t>601058.SH</t>
  </si>
  <si>
    <t>赛轮轮胎</t>
  </si>
  <si>
    <t>赛轮集团股份有限公司</t>
  </si>
  <si>
    <t>601127.SH</t>
  </si>
  <si>
    <t>赛力斯</t>
  </si>
  <si>
    <t>赛力斯集团股份有限公司</t>
  </si>
  <si>
    <t>601163.SH</t>
  </si>
  <si>
    <t>三角轮胎</t>
  </si>
  <si>
    <t>三角轮胎股份有限公司</t>
  </si>
  <si>
    <t>601238.SH</t>
  </si>
  <si>
    <t>广汽集团</t>
  </si>
  <si>
    <t>广州汽车集团股份有限公司</t>
  </si>
  <si>
    <t>601258.SH</t>
  </si>
  <si>
    <t>庞大集团</t>
  </si>
  <si>
    <t>庞大汽贸集团股份有限公司</t>
  </si>
  <si>
    <t>601279.SH</t>
  </si>
  <si>
    <t>英利汽车</t>
  </si>
  <si>
    <t>长春英利汽车工业股份有限公司</t>
  </si>
  <si>
    <t>601500.SH</t>
  </si>
  <si>
    <t>通用股份</t>
  </si>
  <si>
    <t>江苏通用科技股份有限公司</t>
  </si>
  <si>
    <t>601633.SH</t>
  </si>
  <si>
    <t>长城汽车</t>
  </si>
  <si>
    <t>长城汽车股份有限公司</t>
  </si>
  <si>
    <t>601689.SH</t>
  </si>
  <si>
    <t>拓普集团</t>
  </si>
  <si>
    <t>宁波拓普集团股份有限公司</t>
  </si>
  <si>
    <t>601717.SH</t>
  </si>
  <si>
    <t>郑煤机</t>
  </si>
  <si>
    <t>郑州煤矿机械集团股份有限公司</t>
  </si>
  <si>
    <t>601777.SH</t>
  </si>
  <si>
    <t>力帆科技</t>
  </si>
  <si>
    <t>力帆科技(集团)股份有限公司</t>
  </si>
  <si>
    <t>601799.SH</t>
  </si>
  <si>
    <t>星宇股份</t>
  </si>
  <si>
    <t>常州星宇车灯股份有限公司</t>
  </si>
  <si>
    <t>601965.SH</t>
  </si>
  <si>
    <t>中国汽研</t>
  </si>
  <si>
    <t>中国汽车工程研究院股份有限公司</t>
  </si>
  <si>
    <t>601966.SH</t>
  </si>
  <si>
    <t>玲珑轮胎</t>
  </si>
  <si>
    <t>山东玲珑轮胎股份有限公司</t>
  </si>
  <si>
    <t>603006.SH</t>
  </si>
  <si>
    <t>联明股份</t>
  </si>
  <si>
    <t>上海联明机械股份有限公司</t>
  </si>
  <si>
    <t>603009.SH</t>
  </si>
  <si>
    <t>北特科技</t>
  </si>
  <si>
    <t>上海北特科技股份有限公司</t>
  </si>
  <si>
    <t>603013.SH</t>
  </si>
  <si>
    <t>亚普股份</t>
  </si>
  <si>
    <t>亚普汽车部件股份有限公司</t>
  </si>
  <si>
    <t>603023.SH</t>
  </si>
  <si>
    <t>威帝股份</t>
  </si>
  <si>
    <t>哈尔滨威帝电子股份有限公司</t>
  </si>
  <si>
    <t>603035.SH</t>
  </si>
  <si>
    <t>常熟汽饰</t>
  </si>
  <si>
    <t>江苏常熟汽饰集团股份有限公司</t>
  </si>
  <si>
    <t>603037.SH</t>
  </si>
  <si>
    <t>凯众股份</t>
  </si>
  <si>
    <t>上海凯众材料科技股份有限公司</t>
  </si>
  <si>
    <t>603040.SH</t>
  </si>
  <si>
    <t>新坐标</t>
  </si>
  <si>
    <t>杭州新坐标科技股份有限公司</t>
  </si>
  <si>
    <t>603048.SH</t>
  </si>
  <si>
    <t>浙江黎明</t>
  </si>
  <si>
    <t>浙江黎明智造股份有限公司</t>
  </si>
  <si>
    <t>603085.SH</t>
  </si>
  <si>
    <t>天成自控</t>
  </si>
  <si>
    <t>浙江天成自控股份有限公司</t>
  </si>
  <si>
    <t>603089.SH</t>
  </si>
  <si>
    <t>正裕工业</t>
  </si>
  <si>
    <t>浙江正裕工业股份有限公司</t>
  </si>
  <si>
    <t>603121.SH</t>
  </si>
  <si>
    <t>华培动力</t>
  </si>
  <si>
    <t>上海华培动力科技(集团)股份有限公司</t>
  </si>
  <si>
    <t>603129.SH</t>
  </si>
  <si>
    <t>春风动力</t>
  </si>
  <si>
    <t>浙江春风动力股份有限公司</t>
  </si>
  <si>
    <t>603158.SH</t>
  </si>
  <si>
    <t>腾龙股份</t>
  </si>
  <si>
    <t>常州腾龙汽车零部件股份有限公司</t>
  </si>
  <si>
    <t>603161.SH</t>
  </si>
  <si>
    <t>科华控股</t>
  </si>
  <si>
    <t>科华控股股份有限公司</t>
  </si>
  <si>
    <t>603166.SH</t>
  </si>
  <si>
    <t>福达股份</t>
  </si>
  <si>
    <t>桂林福达股份有限公司</t>
  </si>
  <si>
    <t>603178.SH</t>
  </si>
  <si>
    <t>圣龙股份</t>
  </si>
  <si>
    <t>宁波圣龙汽车动力系统股份有限公司</t>
  </si>
  <si>
    <t>603179.SH</t>
  </si>
  <si>
    <t>新泉股份</t>
  </si>
  <si>
    <t>江苏新泉汽车饰件股份有限公司</t>
  </si>
  <si>
    <t>603197.SH</t>
  </si>
  <si>
    <t>保隆科技</t>
  </si>
  <si>
    <t>上海保隆汽车科技股份有限公司</t>
  </si>
  <si>
    <t>603201.SH</t>
  </si>
  <si>
    <t>常润股份</t>
  </si>
  <si>
    <t>常熟通润汽车零部件股份有限公司</t>
  </si>
  <si>
    <t>603211.SH</t>
  </si>
  <si>
    <t>晋拓股份</t>
  </si>
  <si>
    <t>晋拓科技股份有限公司</t>
  </si>
  <si>
    <t>603239.SH</t>
  </si>
  <si>
    <t>浙江仙通</t>
  </si>
  <si>
    <t>浙江仙通橡塑股份有限公司</t>
  </si>
  <si>
    <t>603266.SH</t>
  </si>
  <si>
    <t>天龙股份</t>
  </si>
  <si>
    <t>宁波天龙电子股份有限公司</t>
  </si>
  <si>
    <t>603286.SH</t>
  </si>
  <si>
    <t>日盈电子</t>
  </si>
  <si>
    <t>江苏日盈电子股份有限公司</t>
  </si>
  <si>
    <t>603305.SH</t>
  </si>
  <si>
    <t>旭升集团</t>
  </si>
  <si>
    <t>宁波旭升集团股份有限公司</t>
  </si>
  <si>
    <t>603306.SH</t>
  </si>
  <si>
    <t>华懋科技</t>
  </si>
  <si>
    <t>华懋(厦门)新材料科技股份有限公司</t>
  </si>
  <si>
    <t>603319.SH</t>
  </si>
  <si>
    <t>湘油泵</t>
  </si>
  <si>
    <t>湖南机油泵股份有限公司</t>
  </si>
  <si>
    <t>603335.SH</t>
  </si>
  <si>
    <t>迪生力</t>
  </si>
  <si>
    <t>广东迪生力汽配股份有限公司</t>
  </si>
  <si>
    <t>603348.SH</t>
  </si>
  <si>
    <t>文灿股份</t>
  </si>
  <si>
    <t>文灿集团股份有限公司</t>
  </si>
  <si>
    <t>603358.SH</t>
  </si>
  <si>
    <t>华达科技</t>
  </si>
  <si>
    <t>华达汽车科技股份有限公司</t>
  </si>
  <si>
    <t>603377.SH</t>
  </si>
  <si>
    <t>东方时尚</t>
  </si>
  <si>
    <t>东方时尚驾驶学校股份有限公司</t>
  </si>
  <si>
    <t>603390.SH</t>
  </si>
  <si>
    <t>通达电气</t>
  </si>
  <si>
    <t>广州通达汽车电气股份有限公司</t>
  </si>
  <si>
    <t>603529.SH</t>
  </si>
  <si>
    <t>爱玛科技</t>
  </si>
  <si>
    <t>爱玛科技集团股份有限公司</t>
  </si>
  <si>
    <t>603586.SH</t>
  </si>
  <si>
    <t>金麒麟</t>
  </si>
  <si>
    <t>山东金麒麟股份有限公司</t>
  </si>
  <si>
    <t>603596.SH</t>
  </si>
  <si>
    <t>伯特利</t>
  </si>
  <si>
    <t>芜湖伯特利汽车安全系统股份有限公司</t>
  </si>
  <si>
    <t>603655.SH</t>
  </si>
  <si>
    <t>朗博科技</t>
  </si>
  <si>
    <t>常州朗博密封科技股份有限公司</t>
  </si>
  <si>
    <t>603701.SH</t>
  </si>
  <si>
    <t>德宏股份</t>
  </si>
  <si>
    <t>浙江德宏汽车电子电器股份有限公司</t>
  </si>
  <si>
    <t>603730.SH</t>
  </si>
  <si>
    <t>岱美股份</t>
  </si>
  <si>
    <t>上海岱美汽车内饰件股份有限公司</t>
  </si>
  <si>
    <t>603758.SH</t>
  </si>
  <si>
    <t>秦安股份</t>
  </si>
  <si>
    <t>重庆秦安机电股份有限公司</t>
  </si>
  <si>
    <t>603766.SH</t>
  </si>
  <si>
    <t>隆鑫通用</t>
  </si>
  <si>
    <t>隆鑫通用动力股份有限公司</t>
  </si>
  <si>
    <t>603767.SH</t>
  </si>
  <si>
    <t>中马传动</t>
  </si>
  <si>
    <t>浙江中马传动股份有限公司</t>
  </si>
  <si>
    <t>603768.SH</t>
  </si>
  <si>
    <t>常青股份</t>
  </si>
  <si>
    <t>合肥常青机械股份有限公司</t>
  </si>
  <si>
    <t>603786.SH</t>
  </si>
  <si>
    <t>科博达</t>
  </si>
  <si>
    <t>科博达技术股份有限公司</t>
  </si>
  <si>
    <t>603787.SH</t>
  </si>
  <si>
    <t>新日股份</t>
  </si>
  <si>
    <t>江苏新日电动车股份有限公司</t>
  </si>
  <si>
    <t>603788.SH</t>
  </si>
  <si>
    <t>宁波高发</t>
  </si>
  <si>
    <t>宁波高发汽车控制系统股份有限公司</t>
  </si>
  <si>
    <t>603809.SH</t>
  </si>
  <si>
    <t>豪能股份</t>
  </si>
  <si>
    <t>成都豪能科技股份有限公司</t>
  </si>
  <si>
    <t>603917.SH</t>
  </si>
  <si>
    <t>合力科技</t>
  </si>
  <si>
    <t>宁波合力科技股份有限公司</t>
  </si>
  <si>
    <t>603922.SH</t>
  </si>
  <si>
    <t>金鸿顺</t>
  </si>
  <si>
    <t>苏州金鸿顺汽车部件股份有限公司</t>
  </si>
  <si>
    <t>603926.SH</t>
  </si>
  <si>
    <t>铁流股份</t>
  </si>
  <si>
    <t>浙江铁流离合器股份有限公司</t>
  </si>
  <si>
    <t>603949.SH</t>
  </si>
  <si>
    <t>雪龙集团</t>
  </si>
  <si>
    <t>雪龙集团股份有限公司</t>
  </si>
  <si>
    <t>603950.SH</t>
  </si>
  <si>
    <t>长源东谷</t>
  </si>
  <si>
    <t>襄阳长源东谷实业股份有限公司</t>
  </si>
  <si>
    <t>603960.SH</t>
  </si>
  <si>
    <t>克来机电</t>
  </si>
  <si>
    <t>上海克来机电自动化工程股份有限公司</t>
  </si>
  <si>
    <t>603982.SH</t>
  </si>
  <si>
    <t>泉峰汽车</t>
  </si>
  <si>
    <t>南京泉峰汽车精密技术股份有限公司</t>
  </si>
  <si>
    <t>603997.SH</t>
  </si>
  <si>
    <t>继峰股份</t>
  </si>
  <si>
    <t>宁波继峰汽车零部件股份有限公司</t>
  </si>
  <si>
    <t>605005.SH</t>
  </si>
  <si>
    <t>合兴股份</t>
  </si>
  <si>
    <t>合兴汽车电子股份有限公司</t>
  </si>
  <si>
    <t>605018.SH</t>
  </si>
  <si>
    <t>长华集团</t>
  </si>
  <si>
    <t>长华控股集团股份有限公司</t>
  </si>
  <si>
    <t>605068.SH</t>
  </si>
  <si>
    <t>明新旭腾</t>
  </si>
  <si>
    <t>明新旭腾新材料股份有限公司</t>
  </si>
  <si>
    <t>605088.SH</t>
  </si>
  <si>
    <t>冠盛股份</t>
  </si>
  <si>
    <t>温州市冠盛汽车零部件集团股份有限公司</t>
  </si>
  <si>
    <t>605128.SH</t>
  </si>
  <si>
    <t>上海沿浦</t>
  </si>
  <si>
    <t>上海沿浦金属制品股份有限公司</t>
  </si>
  <si>
    <t>605133.SH</t>
  </si>
  <si>
    <t>嵘泰股份</t>
  </si>
  <si>
    <t>江苏嵘泰工业股份有限公司</t>
  </si>
  <si>
    <t>605151.SH</t>
  </si>
  <si>
    <t>西上海</t>
  </si>
  <si>
    <t>西上海汽车服务股份有限公司</t>
  </si>
  <si>
    <t>605228.SH</t>
  </si>
  <si>
    <t>神通科技</t>
  </si>
  <si>
    <t>神通科技集团股份有限公司</t>
  </si>
  <si>
    <t>605255.SH</t>
  </si>
  <si>
    <t>天普股份</t>
  </si>
  <si>
    <t>宁波市天普橡胶科技股份有限公司</t>
  </si>
  <si>
    <t>605319.SH</t>
  </si>
  <si>
    <t>无锡振华</t>
  </si>
  <si>
    <t>无锡市振华汽车部件股份有限公司</t>
  </si>
  <si>
    <t>605333.SH</t>
  </si>
  <si>
    <t>沪光股份</t>
  </si>
  <si>
    <t>昆山沪光汽车电器股份有限公司</t>
  </si>
  <si>
    <t>000016.SZ</t>
  </si>
  <si>
    <t>深康佳A</t>
  </si>
  <si>
    <t>康佳集团股份有限公司</t>
  </si>
  <si>
    <t>000333.SZ</t>
  </si>
  <si>
    <t>美的集团</t>
  </si>
  <si>
    <t>美的集团股份有限公司</t>
  </si>
  <si>
    <t>000404.SZ</t>
  </si>
  <si>
    <t>长虹华意</t>
  </si>
  <si>
    <t>长虹华意压缩机股份有限公司</t>
  </si>
  <si>
    <t>000521.SZ</t>
  </si>
  <si>
    <t>长虹美菱</t>
  </si>
  <si>
    <t>长虹美菱股份有限公司</t>
  </si>
  <si>
    <t>000541.SZ</t>
  </si>
  <si>
    <t>佛山照明</t>
  </si>
  <si>
    <t>佛山电器照明股份有限公司</t>
  </si>
  <si>
    <t>000651.SZ</t>
  </si>
  <si>
    <t>格力电器</t>
  </si>
  <si>
    <t>珠海格力电器股份有限公司</t>
  </si>
  <si>
    <t>000801.SZ</t>
  </si>
  <si>
    <t>四川九洲</t>
  </si>
  <si>
    <t>四川九洲电器股份有限公司</t>
  </si>
  <si>
    <t>000810.SZ</t>
  </si>
  <si>
    <t>创维数字</t>
  </si>
  <si>
    <t>创维数字股份有限公司</t>
  </si>
  <si>
    <t>000921.SZ</t>
  </si>
  <si>
    <t>海信家电</t>
  </si>
  <si>
    <t>海信家电集团股份有限公司</t>
  </si>
  <si>
    <t>001259.SZ</t>
  </si>
  <si>
    <t>利仁科技</t>
  </si>
  <si>
    <t>北京利仁科技股份有限公司</t>
  </si>
  <si>
    <t>600060.SH</t>
  </si>
  <si>
    <t>海信视像</t>
  </si>
  <si>
    <t>海信视像科技股份有限公司</t>
  </si>
  <si>
    <t>600261.SH</t>
  </si>
  <si>
    <t>阳光照明</t>
  </si>
  <si>
    <t>浙江阳光照明电器集团股份有限公司</t>
  </si>
  <si>
    <t>600336.SH</t>
  </si>
  <si>
    <t>澳柯玛</t>
  </si>
  <si>
    <t>澳柯玛股份有限公司</t>
  </si>
  <si>
    <t>600619.SH</t>
  </si>
  <si>
    <t>海立股份</t>
  </si>
  <si>
    <t>上海海立(集团)股份有限公司</t>
  </si>
  <si>
    <t>600690.SH</t>
  </si>
  <si>
    <t>海尔智家</t>
  </si>
  <si>
    <t>海尔智家股份有限公司</t>
  </si>
  <si>
    <t>600839.SH</t>
  </si>
  <si>
    <t>四川长虹</t>
  </si>
  <si>
    <t>四川长虹电器股份有限公司</t>
  </si>
  <si>
    <t>600854.SH</t>
  </si>
  <si>
    <t>春兰股份</t>
  </si>
  <si>
    <t>江苏春兰制冷设备股份有限公司</t>
  </si>
  <si>
    <t>600983.SH</t>
  </si>
  <si>
    <t>惠而浦</t>
  </si>
  <si>
    <t>惠而浦(中国)股份有限公司</t>
  </si>
  <si>
    <t>601956.SH</t>
  </si>
  <si>
    <t>东贝集团</t>
  </si>
  <si>
    <t>湖北东贝机电集团股份有限公司</t>
  </si>
  <si>
    <t>603195.SH</t>
  </si>
  <si>
    <t>公牛集团</t>
  </si>
  <si>
    <t>公牛集团股份有限公司</t>
  </si>
  <si>
    <t>603215.SH</t>
  </si>
  <si>
    <t>比依股份</t>
  </si>
  <si>
    <t>浙江比依电器股份有限公司</t>
  </si>
  <si>
    <t>603219.SH</t>
  </si>
  <si>
    <t>富佳股份</t>
  </si>
  <si>
    <t>宁波富佳实业股份有限公司</t>
  </si>
  <si>
    <t>603303.SH</t>
  </si>
  <si>
    <t>得邦照明</t>
  </si>
  <si>
    <t>横店集团得邦照明股份有限公司</t>
  </si>
  <si>
    <t>603311.SH</t>
  </si>
  <si>
    <t>金海高科</t>
  </si>
  <si>
    <t>浙江金海高科股份有限公司</t>
  </si>
  <si>
    <t>603355.SH</t>
  </si>
  <si>
    <t>莱克电气</t>
  </si>
  <si>
    <t>莱克电气股份有限公司</t>
  </si>
  <si>
    <t>603366.SH</t>
  </si>
  <si>
    <t>日出东方</t>
  </si>
  <si>
    <t>日出东方控股股份有限公司</t>
  </si>
  <si>
    <t>603486.SH</t>
  </si>
  <si>
    <t>科沃斯</t>
  </si>
  <si>
    <t>科沃斯机器人股份有限公司</t>
  </si>
  <si>
    <t>603515.SH</t>
  </si>
  <si>
    <t>欧普照明</t>
  </si>
  <si>
    <t>欧普照明股份有限公司</t>
  </si>
  <si>
    <t>603519.SH</t>
  </si>
  <si>
    <t>立霸股份</t>
  </si>
  <si>
    <t>江苏立霸实业股份有限公司</t>
  </si>
  <si>
    <t>603579.SH</t>
  </si>
  <si>
    <t>荣泰健康</t>
  </si>
  <si>
    <t>上海荣泰健康科技股份有限公司</t>
  </si>
  <si>
    <t>603657.SH</t>
  </si>
  <si>
    <t>春光科技</t>
  </si>
  <si>
    <t>金华春光橡塑科技股份有限公司</t>
  </si>
  <si>
    <t>603677.SH</t>
  </si>
  <si>
    <t>奇精机械</t>
  </si>
  <si>
    <t>奇精机械股份有限公司</t>
  </si>
  <si>
    <t>603726.SH</t>
  </si>
  <si>
    <t>朗迪集团</t>
  </si>
  <si>
    <t>浙江朗迪集团股份有限公司</t>
  </si>
  <si>
    <t>603868.SH</t>
  </si>
  <si>
    <t>飞科电器</t>
  </si>
  <si>
    <t>上海飞科电器股份有限公司</t>
  </si>
  <si>
    <t>605117.SH</t>
  </si>
  <si>
    <t>德业股份</t>
  </si>
  <si>
    <t>宁波德业科技股份有限公司</t>
  </si>
  <si>
    <t>605336.SH</t>
  </si>
  <si>
    <t>帅丰电器</t>
  </si>
  <si>
    <t>浙江帅丰电器股份有限公司</t>
  </si>
  <si>
    <t>605365.SH</t>
  </si>
  <si>
    <t>立达信</t>
  </si>
  <si>
    <t>立达信物联科技股份有限公司</t>
  </si>
  <si>
    <t>605555.SH</t>
  </si>
  <si>
    <t>德昌股份</t>
  </si>
  <si>
    <t>宁波德昌电机股份有限公司</t>
  </si>
  <si>
    <t>000505.SZ</t>
  </si>
  <si>
    <t>京粮控股</t>
  </si>
  <si>
    <t>海南京粮控股股份有限公司</t>
  </si>
  <si>
    <t>000568.SZ</t>
  </si>
  <si>
    <t>泸州老窖</t>
  </si>
  <si>
    <t>泸州老窖股份有限公司</t>
  </si>
  <si>
    <t>000576.SZ</t>
  </si>
  <si>
    <t>甘化科工</t>
  </si>
  <si>
    <t>广东甘化科工股份有限公司</t>
  </si>
  <si>
    <t>000596.SZ</t>
  </si>
  <si>
    <t>古井贡酒</t>
  </si>
  <si>
    <t>安徽古井贡酒股份有限公司</t>
  </si>
  <si>
    <t>000639.SZ</t>
  </si>
  <si>
    <t>西王食品</t>
  </si>
  <si>
    <t>西王食品股份有限公司</t>
  </si>
  <si>
    <t>000716.SZ</t>
  </si>
  <si>
    <t>黑芝麻</t>
  </si>
  <si>
    <t>南方黑芝麻集团股份有限公司</t>
  </si>
  <si>
    <t>000729.SZ</t>
  </si>
  <si>
    <t>燕京啤酒</t>
  </si>
  <si>
    <t>北京燕京啤酒股份有限公司</t>
  </si>
  <si>
    <t>000752.SZ</t>
  </si>
  <si>
    <t>*ST西发</t>
  </si>
  <si>
    <t>西藏发展股份有限公司</t>
  </si>
  <si>
    <t>000799.SZ</t>
  </si>
  <si>
    <t>酒鬼酒</t>
  </si>
  <si>
    <t>酒鬼酒股份有限公司</t>
  </si>
  <si>
    <t>000833.SZ</t>
  </si>
  <si>
    <t>粤桂股份</t>
  </si>
  <si>
    <t>广西粤桂广业控股股份有限公司</t>
  </si>
  <si>
    <t>000848.SZ</t>
  </si>
  <si>
    <t>承德露露</t>
  </si>
  <si>
    <t>承德露露股份公司</t>
  </si>
  <si>
    <t>000858.SZ</t>
  </si>
  <si>
    <t>五粮液</t>
  </si>
  <si>
    <t>宜宾五粮液股份有限公司</t>
  </si>
  <si>
    <t>000860.SZ</t>
  </si>
  <si>
    <t>顺鑫农业</t>
  </si>
  <si>
    <t>北京顺鑫农业股份有限公司</t>
  </si>
  <si>
    <t>000869.SZ</t>
  </si>
  <si>
    <t>张裕A</t>
  </si>
  <si>
    <t>烟台张裕葡萄酿酒股份有限公司</t>
  </si>
  <si>
    <t>000895.SZ</t>
  </si>
  <si>
    <t>双汇发展</t>
  </si>
  <si>
    <t>河南双汇投资发展股份有限公司</t>
  </si>
  <si>
    <t>000911.SZ</t>
  </si>
  <si>
    <t>南宁糖业</t>
  </si>
  <si>
    <t>南宁糖业股份有限公司</t>
  </si>
  <si>
    <t>000929.SZ</t>
  </si>
  <si>
    <t>兰州黄河</t>
  </si>
  <si>
    <t>兰州黄河企业股份有限公司</t>
  </si>
  <si>
    <t>000972.SZ</t>
  </si>
  <si>
    <t>ST中基</t>
  </si>
  <si>
    <t>中基健康产业股份有限公司</t>
  </si>
  <si>
    <t>000995.SZ</t>
  </si>
  <si>
    <t>*ST皇台</t>
  </si>
  <si>
    <t>甘肃皇台酒业股份有限公司</t>
  </si>
  <si>
    <t>001215.SZ</t>
  </si>
  <si>
    <t>千味央厨</t>
  </si>
  <si>
    <t>郑州千味央厨食品股份有限公司</t>
  </si>
  <si>
    <t>001219.SZ</t>
  </si>
  <si>
    <t>青岛食品</t>
  </si>
  <si>
    <t>青岛食品股份有限公司</t>
  </si>
  <si>
    <t>001318.SZ</t>
  </si>
  <si>
    <t>阳光乳业</t>
  </si>
  <si>
    <t>江西阳光乳业股份有限公司</t>
  </si>
  <si>
    <t>001338.SZ</t>
  </si>
  <si>
    <t>永顺泰</t>
  </si>
  <si>
    <t>粤海永顺泰集团股份有限公司</t>
  </si>
  <si>
    <t>600059.SH</t>
  </si>
  <si>
    <t>古越龙山</t>
  </si>
  <si>
    <t>浙江古越龙山绍兴酒股份有限公司</t>
  </si>
  <si>
    <t>600073.SH</t>
  </si>
  <si>
    <t>上海梅林</t>
  </si>
  <si>
    <t>上海梅林正广和股份有限公司</t>
  </si>
  <si>
    <t>600084.SH</t>
  </si>
  <si>
    <t>中葡股份</t>
  </si>
  <si>
    <t>中信国安葡萄酒业股份有限公司</t>
  </si>
  <si>
    <t>600132.SH</t>
  </si>
  <si>
    <t>重庆啤酒</t>
  </si>
  <si>
    <t>重庆啤酒股份有限公司</t>
  </si>
  <si>
    <t>600186.SH</t>
  </si>
  <si>
    <t>莲花健康</t>
  </si>
  <si>
    <t>莲花健康产业集团股份有限公司</t>
  </si>
  <si>
    <t>600189.SH</t>
  </si>
  <si>
    <t>泉阳泉</t>
  </si>
  <si>
    <t>吉林泉阳泉股份有限公司</t>
  </si>
  <si>
    <t>600191.SH</t>
  </si>
  <si>
    <t>华资实业</t>
  </si>
  <si>
    <t>包头华资实业股份有限公司</t>
  </si>
  <si>
    <t>600197.SH</t>
  </si>
  <si>
    <t>伊力特</t>
  </si>
  <si>
    <t>新疆伊力特实业股份有限公司</t>
  </si>
  <si>
    <t>600199.SH</t>
  </si>
  <si>
    <t>金种子酒</t>
  </si>
  <si>
    <t>安徽金种子酒业股份有限公司</t>
  </si>
  <si>
    <t>600238.SH</t>
  </si>
  <si>
    <t>海南椰岛</t>
  </si>
  <si>
    <t>海南椰岛(集团)股份有限公司</t>
  </si>
  <si>
    <t>600298.SH</t>
  </si>
  <si>
    <t>安琪酵母</t>
  </si>
  <si>
    <t>安琪酵母股份有限公司</t>
  </si>
  <si>
    <t>600300.SH</t>
  </si>
  <si>
    <t>维维股份</t>
  </si>
  <si>
    <t>维维食品饮料股份有限公司</t>
  </si>
  <si>
    <t>600305.SH</t>
  </si>
  <si>
    <t>恒顺醋业</t>
  </si>
  <si>
    <t>江苏恒顺醋业股份有限公司</t>
  </si>
  <si>
    <t>600365.SH</t>
  </si>
  <si>
    <t>ST通葡</t>
  </si>
  <si>
    <t>通化葡萄酒股份有限公司</t>
  </si>
  <si>
    <t>600419.SH</t>
  </si>
  <si>
    <t>天润乳业</t>
  </si>
  <si>
    <t>新疆天润乳业股份有限公司</t>
  </si>
  <si>
    <t>600429.SH</t>
  </si>
  <si>
    <t>三元股份</t>
  </si>
  <si>
    <t>北京三元食品股份有限公司</t>
  </si>
  <si>
    <t>600519.SH</t>
  </si>
  <si>
    <t>贵州茅台</t>
  </si>
  <si>
    <t>贵州茅台酒股份有限公司</t>
  </si>
  <si>
    <t>600543.SH</t>
  </si>
  <si>
    <t>莫高股份</t>
  </si>
  <si>
    <t>甘肃莫高实业发展股份有限公司</t>
  </si>
  <si>
    <t>600559.SH</t>
  </si>
  <si>
    <t>老白干酒</t>
  </si>
  <si>
    <t>河北衡水老白干酒业股份有限公司</t>
  </si>
  <si>
    <t>600573.SH</t>
  </si>
  <si>
    <t>惠泉啤酒</t>
  </si>
  <si>
    <t>福建省燕京惠泉啤酒股份有限公司</t>
  </si>
  <si>
    <t>600597.SH</t>
  </si>
  <si>
    <t>光明乳业</t>
  </si>
  <si>
    <t>光明乳业股份有限公司</t>
  </si>
  <si>
    <t>600600.SH</t>
  </si>
  <si>
    <t>青岛啤酒</t>
  </si>
  <si>
    <t>青岛啤酒股份有限公司</t>
  </si>
  <si>
    <t>600616.SH</t>
  </si>
  <si>
    <t>金枫酒业</t>
  </si>
  <si>
    <t>上海金枫酒业股份有限公司</t>
  </si>
  <si>
    <t>600696.SH</t>
  </si>
  <si>
    <t>岩石股份</t>
  </si>
  <si>
    <t>上海贵酒股份有限公司</t>
  </si>
  <si>
    <t>600702.SH</t>
  </si>
  <si>
    <t>舍得酒业</t>
  </si>
  <si>
    <t>舍得酒业股份有限公司</t>
  </si>
  <si>
    <t>600737.SH</t>
  </si>
  <si>
    <t>中粮糖业</t>
  </si>
  <si>
    <t>中粮糖业控股股份有限公司</t>
  </si>
  <si>
    <t>600779.SH</t>
  </si>
  <si>
    <t>水井坊</t>
  </si>
  <si>
    <t>四川水井坊股份有限公司</t>
  </si>
  <si>
    <t>600809.SH</t>
  </si>
  <si>
    <t>山西汾酒</t>
  </si>
  <si>
    <t>山西杏花村汾酒厂股份有限公司</t>
  </si>
  <si>
    <t>600866.SH</t>
  </si>
  <si>
    <t>星湖科技</t>
  </si>
  <si>
    <t>广东肇庆星湖生物科技股份有限公司</t>
  </si>
  <si>
    <t>600872.SH</t>
  </si>
  <si>
    <t>中炬高新</t>
  </si>
  <si>
    <t>中炬高新技术实业(集团)股份有限公司</t>
  </si>
  <si>
    <t>600873.SH</t>
  </si>
  <si>
    <t>梅花生物</t>
  </si>
  <si>
    <t>梅花生物科技集团股份有限公司</t>
  </si>
  <si>
    <t>600882.SH</t>
  </si>
  <si>
    <t>妙可蓝多</t>
  </si>
  <si>
    <t>上海妙可蓝多食品科技股份有限公司</t>
  </si>
  <si>
    <t>600887.SH</t>
  </si>
  <si>
    <t>伊利股份</t>
  </si>
  <si>
    <t>内蒙古伊利实业集团股份有限公司</t>
  </si>
  <si>
    <t>600929.SH</t>
  </si>
  <si>
    <t>雪天盐业</t>
  </si>
  <si>
    <t>雪天盐业集团股份有限公司</t>
  </si>
  <si>
    <t>600962.SH</t>
  </si>
  <si>
    <t>国投中鲁</t>
  </si>
  <si>
    <t>国投中鲁果汁股份有限公司</t>
  </si>
  <si>
    <t>601579.SH</t>
  </si>
  <si>
    <t>会稽山</t>
  </si>
  <si>
    <t>会稽山绍兴酒股份有限公司</t>
  </si>
  <si>
    <t>603020.SH</t>
  </si>
  <si>
    <t>爱普股份</t>
  </si>
  <si>
    <t>爱普香料集团股份有限公司</t>
  </si>
  <si>
    <t>603027.SH</t>
  </si>
  <si>
    <t>千禾味业</t>
  </si>
  <si>
    <t>千禾味业食品股份有限公司</t>
  </si>
  <si>
    <t>603043.SH</t>
  </si>
  <si>
    <t>广州酒家</t>
  </si>
  <si>
    <t>广州酒家集团股份有限公司</t>
  </si>
  <si>
    <t>603057.SH</t>
  </si>
  <si>
    <t>紫燕食品</t>
  </si>
  <si>
    <t>上海紫燕食品股份有限公司</t>
  </si>
  <si>
    <t>603079.SH</t>
  </si>
  <si>
    <t>圣达生物</t>
  </si>
  <si>
    <t>浙江圣达生物药业股份有限公司</t>
  </si>
  <si>
    <t>603156.SH</t>
  </si>
  <si>
    <t>养元饮品</t>
  </si>
  <si>
    <t>河北养元智汇饮品股份有限公司</t>
  </si>
  <si>
    <t>603170.SH</t>
  </si>
  <si>
    <t>宝立食品</t>
  </si>
  <si>
    <t>上海宝立食品科技股份有限公司</t>
  </si>
  <si>
    <t>603182.SH</t>
  </si>
  <si>
    <t>嘉华股份</t>
  </si>
  <si>
    <t>山东嘉华生物科技股份有限公司</t>
  </si>
  <si>
    <t>603198.SH</t>
  </si>
  <si>
    <t>迎驾贡酒</t>
  </si>
  <si>
    <t>安徽迎驾贡酒股份有限公司</t>
  </si>
  <si>
    <t>603237.SH</t>
  </si>
  <si>
    <t>五芳斋</t>
  </si>
  <si>
    <t>浙江五芳斋实业股份有限公司</t>
  </si>
  <si>
    <t>603288.SH</t>
  </si>
  <si>
    <t>海天味业</t>
  </si>
  <si>
    <t>佛山市海天调味食品股份有限公司</t>
  </si>
  <si>
    <t>603299.SH</t>
  </si>
  <si>
    <t>苏盐井神</t>
  </si>
  <si>
    <t>江苏苏盐井神股份有限公司</t>
  </si>
  <si>
    <t>603317.SH</t>
  </si>
  <si>
    <t>天味食品</t>
  </si>
  <si>
    <t>四川天味食品集团股份有限公司</t>
  </si>
  <si>
    <t>603345.SH</t>
  </si>
  <si>
    <t>安井食品</t>
  </si>
  <si>
    <t>安井食品集团股份有限公司</t>
  </si>
  <si>
    <t>603369.SH</t>
  </si>
  <si>
    <t>今世缘</t>
  </si>
  <si>
    <t>江苏今世缘酒业股份有限公司</t>
  </si>
  <si>
    <t>603517.SH</t>
  </si>
  <si>
    <t>绝味食品</t>
  </si>
  <si>
    <t>绝味食品股份有限公司</t>
  </si>
  <si>
    <t>603536.SH</t>
  </si>
  <si>
    <t>惠发食品</t>
  </si>
  <si>
    <t>山东惠发食品股份有限公司</t>
  </si>
  <si>
    <t>603589.SH</t>
  </si>
  <si>
    <t>口子窖</t>
  </si>
  <si>
    <t>安徽口子酒业股份有限公司</t>
  </si>
  <si>
    <t>603696.SH</t>
  </si>
  <si>
    <t>安记食品</t>
  </si>
  <si>
    <t>安记食品股份有限公司</t>
  </si>
  <si>
    <t>603697.SH</t>
  </si>
  <si>
    <t>有友食品</t>
  </si>
  <si>
    <t>有友食品股份有限公司</t>
  </si>
  <si>
    <t>603711.SH</t>
  </si>
  <si>
    <t>香飘飘</t>
  </si>
  <si>
    <t>香飘飘食品股份有限公司</t>
  </si>
  <si>
    <t>603719.SH</t>
  </si>
  <si>
    <t>良品铺子</t>
  </si>
  <si>
    <t>良品铺子股份有限公司</t>
  </si>
  <si>
    <t>603755.SH</t>
  </si>
  <si>
    <t>日辰股份</t>
  </si>
  <si>
    <t>青岛日辰食品股份有限公司</t>
  </si>
  <si>
    <t>603777.SH</t>
  </si>
  <si>
    <t>来伊份</t>
  </si>
  <si>
    <t>上海来伊份股份有限公司</t>
  </si>
  <si>
    <t>603779.SH</t>
  </si>
  <si>
    <t>威龙股份</t>
  </si>
  <si>
    <t>威龙葡萄酒股份有限公司</t>
  </si>
  <si>
    <t>603866.SH</t>
  </si>
  <si>
    <t>桃李面包</t>
  </si>
  <si>
    <t>桃李面包股份有限公司</t>
  </si>
  <si>
    <t>603886.SH</t>
  </si>
  <si>
    <t>元祖股份</t>
  </si>
  <si>
    <t>上海元祖梦果子股份有限公司</t>
  </si>
  <si>
    <t>603919.SH</t>
  </si>
  <si>
    <t>金徽酒</t>
  </si>
  <si>
    <t>金徽酒股份有限公司</t>
  </si>
  <si>
    <t>605016.SH</t>
  </si>
  <si>
    <t>百龙创园</t>
  </si>
  <si>
    <t>山东百龙创园生物科技股份有限公司</t>
  </si>
  <si>
    <t>605077.SH</t>
  </si>
  <si>
    <t>华康股份</t>
  </si>
  <si>
    <t>浙江华康药业股份有限公司</t>
  </si>
  <si>
    <t>605089.SH</t>
  </si>
  <si>
    <t>味知香</t>
  </si>
  <si>
    <t>苏州市味知香食品股份有限公司</t>
  </si>
  <si>
    <t>605179.SH</t>
  </si>
  <si>
    <t>一鸣食品</t>
  </si>
  <si>
    <t>浙江一鸣食品股份有限公司</t>
  </si>
  <si>
    <t>605198.SH</t>
  </si>
  <si>
    <t>安德利</t>
  </si>
  <si>
    <t>烟台北方安德利果汁股份有限公司</t>
  </si>
  <si>
    <t>605300.SH</t>
  </si>
  <si>
    <t>佳禾食品</t>
  </si>
  <si>
    <t>佳禾食品工业股份有限公司</t>
  </si>
  <si>
    <t>605337.SH</t>
  </si>
  <si>
    <t>李子园</t>
  </si>
  <si>
    <t>浙江李子园食品股份有限公司</t>
  </si>
  <si>
    <t>605338.SH</t>
  </si>
  <si>
    <t>巴比食品</t>
  </si>
  <si>
    <t>中饮巴比食品股份有限公司</t>
  </si>
  <si>
    <t>605339.SH</t>
  </si>
  <si>
    <t>南侨食品</t>
  </si>
  <si>
    <t>南侨食品集团(上海)股份有限公司</t>
  </si>
  <si>
    <t>605388.SH</t>
  </si>
  <si>
    <t>均瑶健康</t>
  </si>
  <si>
    <t>湖北均瑶大健康饮品股份有限公司</t>
  </si>
  <si>
    <t>605499.SH</t>
  </si>
  <si>
    <t>东鹏饮料</t>
  </si>
  <si>
    <t>东鹏饮料(集团)股份有限公司</t>
  </si>
  <si>
    <t>605567.SH</t>
  </si>
  <si>
    <t>春雪食品</t>
  </si>
  <si>
    <t>春雪食品集团股份有限公司</t>
  </si>
  <si>
    <t>000017.SZ</t>
  </si>
  <si>
    <t>深中华A</t>
  </si>
  <si>
    <t>深圳中华自行车(集团)股份有限公司</t>
  </si>
  <si>
    <t>000026.SZ</t>
  </si>
  <si>
    <t>飞亚达</t>
  </si>
  <si>
    <t>飞亚达精密科技股份有限公司</t>
  </si>
  <si>
    <t>000587.SZ</t>
  </si>
  <si>
    <t>*ST金洲</t>
  </si>
  <si>
    <t>金洲慈航集团股份有限公司</t>
  </si>
  <si>
    <t>001209.SZ</t>
  </si>
  <si>
    <t>洪兴股份</t>
  </si>
  <si>
    <t>广东洪兴实业股份有限公司</t>
  </si>
  <si>
    <t>001234.SZ</t>
  </si>
  <si>
    <t>泰慕士</t>
  </si>
  <si>
    <t>江苏泰慕士针纺科技股份有限公司</t>
  </si>
  <si>
    <t>600107.SH</t>
  </si>
  <si>
    <t>美尔雅</t>
  </si>
  <si>
    <t>湖北美尔雅股份有限公司</t>
  </si>
  <si>
    <t>600137.SH</t>
  </si>
  <si>
    <t>浪莎股份</t>
  </si>
  <si>
    <t>四川浪莎控股股份有限公司</t>
  </si>
  <si>
    <t>600177.SH</t>
  </si>
  <si>
    <t>雅戈尔</t>
  </si>
  <si>
    <t>雅戈尔集团股份有限公司</t>
  </si>
  <si>
    <t>600398.SH</t>
  </si>
  <si>
    <t>海澜之家</t>
  </si>
  <si>
    <t>海澜之家集团股份有限公司</t>
  </si>
  <si>
    <t>600400.SH</t>
  </si>
  <si>
    <t>红豆股份</t>
  </si>
  <si>
    <t>江苏红豆实业股份有限公司</t>
  </si>
  <si>
    <t>600439.SH</t>
  </si>
  <si>
    <t>瑞贝卡</t>
  </si>
  <si>
    <t>河南瑞贝卡发制品股份有限公司</t>
  </si>
  <si>
    <t>600612.SH</t>
  </si>
  <si>
    <t>老凤祥</t>
  </si>
  <si>
    <t>老凤祥股份有限公司</t>
  </si>
  <si>
    <t>600735.SH</t>
  </si>
  <si>
    <t>新华锦</t>
  </si>
  <si>
    <t>山东新华锦国际股份有限公司</t>
  </si>
  <si>
    <t>601566.SH</t>
  </si>
  <si>
    <t>九牧王</t>
  </si>
  <si>
    <t>九牧王股份有限公司</t>
  </si>
  <si>
    <t>601718.SH</t>
  </si>
  <si>
    <t>际华集团</t>
  </si>
  <si>
    <t>际华集团股份有限公司</t>
  </si>
  <si>
    <t>603001.SH</t>
  </si>
  <si>
    <t>奥康国际</t>
  </si>
  <si>
    <t>浙江奥康鞋业股份有限公司</t>
  </si>
  <si>
    <t>603116.SH</t>
  </si>
  <si>
    <t>红蜻蜓</t>
  </si>
  <si>
    <t>浙江红蜻蜓鞋业股份有限公司</t>
  </si>
  <si>
    <t>603196.SH</t>
  </si>
  <si>
    <t>日播时尚</t>
  </si>
  <si>
    <t>日播时尚集团股份有限公司</t>
  </si>
  <si>
    <t>603511.SH</t>
  </si>
  <si>
    <t>爱慕股份</t>
  </si>
  <si>
    <t>爱慕股份有限公司</t>
  </si>
  <si>
    <t>603518.SH</t>
  </si>
  <si>
    <t>锦泓集团</t>
  </si>
  <si>
    <t>锦泓时装集团股份有限公司</t>
  </si>
  <si>
    <t>603555.SH</t>
  </si>
  <si>
    <t>贵人鸟</t>
  </si>
  <si>
    <t>贵人鸟股份有限公司</t>
  </si>
  <si>
    <t>603557.SH</t>
  </si>
  <si>
    <t>ST起步</t>
  </si>
  <si>
    <t>起步股份有限公司</t>
  </si>
  <si>
    <t>603587.SH</t>
  </si>
  <si>
    <t>地素时尚</t>
  </si>
  <si>
    <t>地素时尚股份有限公司</t>
  </si>
  <si>
    <t>603608.SH</t>
  </si>
  <si>
    <t>天创时尚</t>
  </si>
  <si>
    <t>天创时尚股份有限公司</t>
  </si>
  <si>
    <t>603808.SH</t>
  </si>
  <si>
    <t>歌力思</t>
  </si>
  <si>
    <t>深圳歌力思服饰股份有限公司</t>
  </si>
  <si>
    <t>603839.SH</t>
  </si>
  <si>
    <t>安正时尚</t>
  </si>
  <si>
    <t>安正时尚集团股份有限公司</t>
  </si>
  <si>
    <t>603877.SH</t>
  </si>
  <si>
    <t>太平鸟</t>
  </si>
  <si>
    <t>宁波太平鸟时尚服饰股份有限公司</t>
  </si>
  <si>
    <t>603900.SH</t>
  </si>
  <si>
    <t>莱绅通灵</t>
  </si>
  <si>
    <t>莱绅通灵珠宝股份有限公司</t>
  </si>
  <si>
    <t>603958.SH</t>
  </si>
  <si>
    <t>哈森股份</t>
  </si>
  <si>
    <t>哈森商贸(中国)股份有限公司</t>
  </si>
  <si>
    <t>605138.SH</t>
  </si>
  <si>
    <t>盛泰集团</t>
  </si>
  <si>
    <t>浙江盛泰服装集团股份有限公司</t>
  </si>
  <si>
    <t>000488.SZ</t>
  </si>
  <si>
    <t>晨鸣纸业</t>
  </si>
  <si>
    <t>山东晨鸣纸业集团股份有限公司</t>
  </si>
  <si>
    <t>000607.SZ</t>
  </si>
  <si>
    <t>华媒控股</t>
  </si>
  <si>
    <t>浙江华媒控股股份有限公司</t>
  </si>
  <si>
    <t>000659.SZ</t>
  </si>
  <si>
    <t>珠海中富</t>
  </si>
  <si>
    <t>珠海中富实业股份有限公司</t>
  </si>
  <si>
    <t>000695.SZ</t>
  </si>
  <si>
    <t>滨海能源</t>
  </si>
  <si>
    <t>天津滨海能源发展股份有限公司</t>
  </si>
  <si>
    <t>000812.SZ</t>
  </si>
  <si>
    <t>陕西金叶</t>
  </si>
  <si>
    <t>陕西金叶科教集团股份有限公司</t>
  </si>
  <si>
    <t>000815.SZ</t>
  </si>
  <si>
    <t>美利云</t>
  </si>
  <si>
    <t>中冶美利云产业投资股份有限公司</t>
  </si>
  <si>
    <t>000910.SZ</t>
  </si>
  <si>
    <t>大亚圣象</t>
  </si>
  <si>
    <t>大亚圣象家居股份有限公司</t>
  </si>
  <si>
    <t>001206.SZ</t>
  </si>
  <si>
    <t>依依股份</t>
  </si>
  <si>
    <t>天津市依依卫生用品股份有限公司</t>
  </si>
  <si>
    <t>001211.SZ</t>
  </si>
  <si>
    <t>双枪科技</t>
  </si>
  <si>
    <t>双枪科技股份有限公司</t>
  </si>
  <si>
    <t>001216.SZ</t>
  </si>
  <si>
    <t>华瓷股份</t>
  </si>
  <si>
    <t>湖南华联瓷业股份有限公司</t>
  </si>
  <si>
    <t>001238.SZ</t>
  </si>
  <si>
    <t>浙江正特</t>
  </si>
  <si>
    <t>浙江正特股份有限公司</t>
  </si>
  <si>
    <t>001322.SZ</t>
  </si>
  <si>
    <t>箭牌家居</t>
  </si>
  <si>
    <t>箭牌家居集团股份有限公司</t>
  </si>
  <si>
    <t>001323.SZ</t>
  </si>
  <si>
    <t>慕思股份</t>
  </si>
  <si>
    <t>慕思健康睡眠股份有限公司</t>
  </si>
  <si>
    <t>600103.SH</t>
  </si>
  <si>
    <t>青山纸业</t>
  </si>
  <si>
    <t>福建省青山纸业股份有限公司</t>
  </si>
  <si>
    <t>600210.SH</t>
  </si>
  <si>
    <t>紫江企业</t>
  </si>
  <si>
    <t>上海紫江企业集团股份有限公司</t>
  </si>
  <si>
    <t>600235.SH</t>
  </si>
  <si>
    <t>民丰特纸</t>
  </si>
  <si>
    <t>民丰特种纸股份有限公司</t>
  </si>
  <si>
    <t>600308.SH</t>
  </si>
  <si>
    <t>华泰股份</t>
  </si>
  <si>
    <t>山东华泰纸业股份有限公司</t>
  </si>
  <si>
    <t>600337.SH</t>
  </si>
  <si>
    <t>美克家居</t>
  </si>
  <si>
    <t>美克国际家居用品股份有限公司</t>
  </si>
  <si>
    <t>600356.SH</t>
  </si>
  <si>
    <t>恒丰纸业</t>
  </si>
  <si>
    <t>牡丹江恒丰纸业股份有限公司</t>
  </si>
  <si>
    <t>600433.SH</t>
  </si>
  <si>
    <t>冠豪高新</t>
  </si>
  <si>
    <t>广东冠豪高新技术股份有限公司</t>
  </si>
  <si>
    <t>600462.SH</t>
  </si>
  <si>
    <t>ST九有</t>
  </si>
  <si>
    <t>湖北九有投资股份有限公司</t>
  </si>
  <si>
    <t>600567.SH</t>
  </si>
  <si>
    <t>山鹰国际</t>
  </si>
  <si>
    <t>山鹰国际控股股份公司</t>
  </si>
  <si>
    <t>600793.SH</t>
  </si>
  <si>
    <t>宜宾纸业</t>
  </si>
  <si>
    <t>宜宾纸业股份有限公司</t>
  </si>
  <si>
    <t>600836.SH</t>
  </si>
  <si>
    <t>上海易连</t>
  </si>
  <si>
    <t>上海易连实业集团股份有限公司</t>
  </si>
  <si>
    <t>600880.SH</t>
  </si>
  <si>
    <t>博瑞传播</t>
  </si>
  <si>
    <t>成都博瑞传播股份有限公司</t>
  </si>
  <si>
    <t>600963.SH</t>
  </si>
  <si>
    <t>岳阳林纸</t>
  </si>
  <si>
    <t>岳阳林纸股份有限公司</t>
  </si>
  <si>
    <t>600966.SH</t>
  </si>
  <si>
    <t>博汇纸业</t>
  </si>
  <si>
    <t>山东博汇纸业股份有限公司</t>
  </si>
  <si>
    <t>601515.SH</t>
  </si>
  <si>
    <t>东风股份</t>
  </si>
  <si>
    <t>汕头东风印刷股份有限公司</t>
  </si>
  <si>
    <t>601968.SH</t>
  </si>
  <si>
    <t>宝钢包装</t>
  </si>
  <si>
    <t>上海宝钢包装股份有限公司</t>
  </si>
  <si>
    <t>601996.SH</t>
  </si>
  <si>
    <t>丰林集团</t>
  </si>
  <si>
    <t>广西丰林木业集团股份有限公司</t>
  </si>
  <si>
    <t>603008.SH</t>
  </si>
  <si>
    <t>喜临门</t>
  </si>
  <si>
    <t>喜临门家具股份有限公司</t>
  </si>
  <si>
    <t>603021.SH</t>
  </si>
  <si>
    <t>山东华鹏</t>
  </si>
  <si>
    <t>山东华鹏玻璃股份有限公司</t>
  </si>
  <si>
    <t>603022.SH</t>
  </si>
  <si>
    <t>新通联</t>
  </si>
  <si>
    <t>上海新通联包装股份有限公司</t>
  </si>
  <si>
    <t>603038.SH</t>
  </si>
  <si>
    <t>华立股份</t>
  </si>
  <si>
    <t>东莞市华立实业股份有限公司</t>
  </si>
  <si>
    <t>603058.SH</t>
  </si>
  <si>
    <t>永吉股份</t>
  </si>
  <si>
    <t>贵州永吉印务股份有限公司</t>
  </si>
  <si>
    <t>603165.SH</t>
  </si>
  <si>
    <t>荣晟环保</t>
  </si>
  <si>
    <t>浙江荣晟环保纸业股份有限公司</t>
  </si>
  <si>
    <t>603180.SH</t>
  </si>
  <si>
    <t>金牌厨柜</t>
  </si>
  <si>
    <t>金牌厨柜家居科技股份有限公司</t>
  </si>
  <si>
    <t>603208.SH</t>
  </si>
  <si>
    <t>江山欧派</t>
  </si>
  <si>
    <t>江山欧派门业股份有限公司</t>
  </si>
  <si>
    <t>603216.SH</t>
  </si>
  <si>
    <t>梦天家居</t>
  </si>
  <si>
    <t>梦天家居集团股份有限公司</t>
  </si>
  <si>
    <t>603221.SH</t>
  </si>
  <si>
    <t>爱丽家居</t>
  </si>
  <si>
    <t>爱丽家居科技股份有限公司</t>
  </si>
  <si>
    <t>603226.SH</t>
  </si>
  <si>
    <t>菲林格尔</t>
  </si>
  <si>
    <t>菲林格尔家居科技股份有限公司</t>
  </si>
  <si>
    <t>603268.SH</t>
  </si>
  <si>
    <t>松发股份</t>
  </si>
  <si>
    <t>广东松发陶瓷股份有限公司</t>
  </si>
  <si>
    <t>603272.SH</t>
  </si>
  <si>
    <t>联翔股份</t>
  </si>
  <si>
    <t>浙江联翔智能家居股份有限公司</t>
  </si>
  <si>
    <t>603313.SH</t>
  </si>
  <si>
    <t>梦百合</t>
  </si>
  <si>
    <t>梦百合家居科技股份有限公司</t>
  </si>
  <si>
    <t>603326.SH</t>
  </si>
  <si>
    <t>我乐家居</t>
  </si>
  <si>
    <t>南京我乐家居股份有限公司</t>
  </si>
  <si>
    <t>603385.SH</t>
  </si>
  <si>
    <t>惠达卫浴</t>
  </si>
  <si>
    <t>惠达卫浴股份有限公司</t>
  </si>
  <si>
    <t>603389.SH</t>
  </si>
  <si>
    <t>亚振家居</t>
  </si>
  <si>
    <t>亚振家居股份有限公司</t>
  </si>
  <si>
    <t>603408.SH</t>
  </si>
  <si>
    <t>建霖家居</t>
  </si>
  <si>
    <t>厦门建霖健康家居股份有限公司</t>
  </si>
  <si>
    <t>603429.SH</t>
  </si>
  <si>
    <t>集友股份</t>
  </si>
  <si>
    <t>安徽集友新材料股份有限公司</t>
  </si>
  <si>
    <t>603499.SH</t>
  </si>
  <si>
    <t>翔港科技</t>
  </si>
  <si>
    <t>上海翔港包装科技股份有限公司</t>
  </si>
  <si>
    <t>603551.SH</t>
  </si>
  <si>
    <t>奥普家居</t>
  </si>
  <si>
    <t>奥普家居股份有限公司</t>
  </si>
  <si>
    <t>603600.SH</t>
  </si>
  <si>
    <t>永艺股份</t>
  </si>
  <si>
    <t>永艺家具股份有限公司</t>
  </si>
  <si>
    <t>603607.SH</t>
  </si>
  <si>
    <t>京华激光</t>
  </si>
  <si>
    <t>浙江京华激光科技股份有限公司</t>
  </si>
  <si>
    <t>603610.SH</t>
  </si>
  <si>
    <t>麒盛科技</t>
  </si>
  <si>
    <t>麒盛科技股份有限公司</t>
  </si>
  <si>
    <t>603615.SH</t>
  </si>
  <si>
    <t>茶花股份</t>
  </si>
  <si>
    <t>茶花现代家居用品股份有限公司</t>
  </si>
  <si>
    <t>603661.SH</t>
  </si>
  <si>
    <t>恒林股份</t>
  </si>
  <si>
    <t>恒林家居股份有限公司</t>
  </si>
  <si>
    <t>603687.SH</t>
  </si>
  <si>
    <t>大胜达</t>
  </si>
  <si>
    <t>浙江大胜达包装股份有限公司</t>
  </si>
  <si>
    <t>603709.SH</t>
  </si>
  <si>
    <t>中源家居</t>
  </si>
  <si>
    <t>中源家居股份有限公司</t>
  </si>
  <si>
    <t>603729.SH</t>
  </si>
  <si>
    <t>龙韵股份</t>
  </si>
  <si>
    <t>上海龙韵文创科技集团股份有限公司</t>
  </si>
  <si>
    <t>603733.SH</t>
  </si>
  <si>
    <t>仙鹤股份</t>
  </si>
  <si>
    <t>仙鹤股份有限公司</t>
  </si>
  <si>
    <t>603801.SH</t>
  </si>
  <si>
    <t>志邦家居</t>
  </si>
  <si>
    <t>志邦家居股份有限公司</t>
  </si>
  <si>
    <t>603816.SH</t>
  </si>
  <si>
    <t>顾家家居</t>
  </si>
  <si>
    <t>顾家家居股份有限公司</t>
  </si>
  <si>
    <t>603818.SH</t>
  </si>
  <si>
    <t>曲美家居</t>
  </si>
  <si>
    <t>曲美家居集团股份有限公司</t>
  </si>
  <si>
    <t>603833.SH</t>
  </si>
  <si>
    <t>欧派家居</t>
  </si>
  <si>
    <t>欧派家居集团股份有限公司</t>
  </si>
  <si>
    <t>603838.SH</t>
  </si>
  <si>
    <t>四通股份</t>
  </si>
  <si>
    <t>广东四通集团股份有限公司</t>
  </si>
  <si>
    <t>603848.SH</t>
  </si>
  <si>
    <t>好太太</t>
  </si>
  <si>
    <t>广东好太太科技集团股份有限公司</t>
  </si>
  <si>
    <t>603863.SH</t>
  </si>
  <si>
    <t>松炀资源</t>
  </si>
  <si>
    <t>广东松炀再生资源股份有限公司</t>
  </si>
  <si>
    <t>603898.SH</t>
  </si>
  <si>
    <t>好莱客</t>
  </si>
  <si>
    <t>广州好莱客创意家居股份有限公司</t>
  </si>
  <si>
    <t>603992.SH</t>
  </si>
  <si>
    <t>松霖科技</t>
  </si>
  <si>
    <t>厦门松霖科技股份有限公司</t>
  </si>
  <si>
    <t>605007.SH</t>
  </si>
  <si>
    <t>五洲特纸</t>
  </si>
  <si>
    <t>五洲特种纸业集团股份有限公司</t>
  </si>
  <si>
    <t>605009.SH</t>
  </si>
  <si>
    <t>豪悦护理</t>
  </si>
  <si>
    <t>杭州豪悦护理用品股份有限公司</t>
  </si>
  <si>
    <t>605155.SH</t>
  </si>
  <si>
    <t>西大门</t>
  </si>
  <si>
    <t>浙江西大门新材料股份有限公司</t>
  </si>
  <si>
    <t>605268.SH</t>
  </si>
  <si>
    <t>王力安防</t>
  </si>
  <si>
    <t>王力安防科技股份有限公司</t>
  </si>
  <si>
    <t>605377.SH</t>
  </si>
  <si>
    <t>华旺科技</t>
  </si>
  <si>
    <t>杭州华旺新材料科技股份有限公司</t>
  </si>
  <si>
    <t>605500.SH</t>
  </si>
  <si>
    <t>森林包装</t>
  </si>
  <si>
    <t>森林包装集团股份有限公司</t>
  </si>
  <si>
    <t>000028.SZ</t>
  </si>
  <si>
    <t>国药一致</t>
  </si>
  <si>
    <t>国药集团一致药业股份有限公司</t>
  </si>
  <si>
    <t>000153.SZ</t>
  </si>
  <si>
    <t>丰原药业</t>
  </si>
  <si>
    <t>安徽丰原药业股份有限公司</t>
  </si>
  <si>
    <t>000931.SZ</t>
  </si>
  <si>
    <t>中关村</t>
  </si>
  <si>
    <t>北京中关村科技发展(控股)股份有限公司</t>
  </si>
  <si>
    <t>600062.SH</t>
  </si>
  <si>
    <t>华润双鹤</t>
  </si>
  <si>
    <t>华润双鹤药业股份有限公司</t>
  </si>
  <si>
    <t>601089.SH</t>
  </si>
  <si>
    <t>福元医药</t>
  </si>
  <si>
    <t>北京福元医药股份有限公司</t>
  </si>
  <si>
    <t>000513.SZ</t>
  </si>
  <si>
    <t>丽珠集团</t>
  </si>
  <si>
    <t>丽珠医药集团股份有限公司</t>
  </si>
  <si>
    <t>000953.SZ</t>
  </si>
  <si>
    <t>河化股份</t>
  </si>
  <si>
    <t>广西河池化工股份有限公司</t>
  </si>
  <si>
    <t>000566.SZ</t>
  </si>
  <si>
    <t>海南海药</t>
  </si>
  <si>
    <t>海南海药股份有限公司</t>
  </si>
  <si>
    <t>600812.SH</t>
  </si>
  <si>
    <t>华北制药</t>
  </si>
  <si>
    <t>华北制药股份有限公司</t>
  </si>
  <si>
    <t>600781.SH</t>
  </si>
  <si>
    <t>*ST辅仁</t>
  </si>
  <si>
    <t>辅仁药业集团制药股份有限公司</t>
  </si>
  <si>
    <t>600664.SH</t>
  </si>
  <si>
    <t>哈药股份</t>
  </si>
  <si>
    <t>哈药集团股份有限公司</t>
  </si>
  <si>
    <t>000952.SZ</t>
  </si>
  <si>
    <t>广济药业</t>
  </si>
  <si>
    <t>湖北广济药业股份有限公司</t>
  </si>
  <si>
    <t>600079.SH</t>
  </si>
  <si>
    <t>人福医药</t>
  </si>
  <si>
    <t>人福医药集团股份公司</t>
  </si>
  <si>
    <t>600774.SH</t>
  </si>
  <si>
    <t>汉商集团</t>
  </si>
  <si>
    <t>汉商集团股份有限公司</t>
  </si>
  <si>
    <t>000908.SZ</t>
  </si>
  <si>
    <t>景峰医药</t>
  </si>
  <si>
    <t>湖南景峰医药股份有限公司</t>
  </si>
  <si>
    <t>000766.SZ</t>
  </si>
  <si>
    <t>通化金马</t>
  </si>
  <si>
    <t>通化金马药业集团股份有限公司</t>
  </si>
  <si>
    <t>000919.SZ</t>
  </si>
  <si>
    <t>金陵药业</t>
  </si>
  <si>
    <t>金陵药业股份有限公司</t>
  </si>
  <si>
    <t>600200.SH</t>
  </si>
  <si>
    <t>江苏吴中</t>
  </si>
  <si>
    <t>江苏吴中医药发展股份有限公司</t>
  </si>
  <si>
    <t>600276.SH</t>
  </si>
  <si>
    <t>恒瑞医药</t>
  </si>
  <si>
    <t>江苏恒瑞医药股份有限公司</t>
  </si>
  <si>
    <t>600513.SH</t>
  </si>
  <si>
    <t>联环药业</t>
  </si>
  <si>
    <t>江苏联环药业股份有限公司</t>
  </si>
  <si>
    <t>603259.SH</t>
  </si>
  <si>
    <t>药明康德</t>
  </si>
  <si>
    <t>无锡药明康德新药开发股份有限公司</t>
  </si>
  <si>
    <t>603351.SH</t>
  </si>
  <si>
    <t>威尔药业</t>
  </si>
  <si>
    <t>南京威尔药业集团股份有限公司</t>
  </si>
  <si>
    <t>603235.SH</t>
  </si>
  <si>
    <t>天新药业</t>
  </si>
  <si>
    <t>江西天新药业股份有限公司</t>
  </si>
  <si>
    <t>000597.SZ</t>
  </si>
  <si>
    <t>东北制药</t>
  </si>
  <si>
    <t>东北制药集团股份有限公司</t>
  </si>
  <si>
    <t>000756.SZ</t>
  </si>
  <si>
    <t>新华制药</t>
  </si>
  <si>
    <t>山东新华制药股份有限公司</t>
  </si>
  <si>
    <t>000915.SZ</t>
  </si>
  <si>
    <t>华特达因</t>
  </si>
  <si>
    <t>山东华特达因健康股份有限公司</t>
  </si>
  <si>
    <t>600789.SH</t>
  </si>
  <si>
    <t>鲁抗医药</t>
  </si>
  <si>
    <t>山东鲁抗医药股份有限公司</t>
  </si>
  <si>
    <t>603367.SH</t>
  </si>
  <si>
    <t>辰欣药业</t>
  </si>
  <si>
    <t>辰欣药业股份有限公司</t>
  </si>
  <si>
    <t>600196.SH</t>
  </si>
  <si>
    <t>复星医药</t>
  </si>
  <si>
    <t>上海复星医药(集团)股份有限公司</t>
  </si>
  <si>
    <t>600420.SH</t>
  </si>
  <si>
    <t>国药现代</t>
  </si>
  <si>
    <t>上海现代制药股份有限公司</t>
  </si>
  <si>
    <t>600624.SH</t>
  </si>
  <si>
    <t>复旦复华</t>
  </si>
  <si>
    <t>上海复旦复华科技股份有限公司</t>
  </si>
  <si>
    <t>600851.SH</t>
  </si>
  <si>
    <t>海欣股份</t>
  </si>
  <si>
    <t>上海海欣集团股份有限公司</t>
  </si>
  <si>
    <t>600380.SH</t>
  </si>
  <si>
    <t>健康元</t>
  </si>
  <si>
    <t>健康元药业集团股份有限公司</t>
  </si>
  <si>
    <t>600488.SH</t>
  </si>
  <si>
    <t>津药药业</t>
  </si>
  <si>
    <t>津药药业股份有限公司</t>
  </si>
  <si>
    <t>603669.SH</t>
  </si>
  <si>
    <t>灵康药业</t>
  </si>
  <si>
    <t>灵康药业集团股份有限公司</t>
  </si>
  <si>
    <t>603676.SH</t>
  </si>
  <si>
    <t>卫信康</t>
  </si>
  <si>
    <t>西藏卫信康医药股份有限公司</t>
  </si>
  <si>
    <t>000813.SZ</t>
  </si>
  <si>
    <t>德展健康</t>
  </si>
  <si>
    <t>德展大健康股份有限公司</t>
  </si>
  <si>
    <t>000739.SZ</t>
  </si>
  <si>
    <t>普洛药业</t>
  </si>
  <si>
    <t>普洛药业股份有限公司</t>
  </si>
  <si>
    <t>000963.SZ</t>
  </si>
  <si>
    <t>华东医药</t>
  </si>
  <si>
    <t>华东医药股份有限公司</t>
  </si>
  <si>
    <t>600216.SH</t>
  </si>
  <si>
    <t>浙江医药</t>
  </si>
  <si>
    <t>浙江医药股份有限公司</t>
  </si>
  <si>
    <t>600267.SH</t>
  </si>
  <si>
    <t>海正药业</t>
  </si>
  <si>
    <t>浙江海正药业股份有限公司</t>
  </si>
  <si>
    <t>600521.SH</t>
  </si>
  <si>
    <t>华海药业</t>
  </si>
  <si>
    <t>浙江华海药业股份有限公司</t>
  </si>
  <si>
    <t>603168.SH</t>
  </si>
  <si>
    <t>莎普爱思</t>
  </si>
  <si>
    <t>浙江莎普爱思药业股份有限公司</t>
  </si>
  <si>
    <t>603229.SH</t>
  </si>
  <si>
    <t>奥翔药业</t>
  </si>
  <si>
    <t>浙江奥翔药业股份有限公司</t>
  </si>
  <si>
    <t>603520.SH</t>
  </si>
  <si>
    <t>司太立</t>
  </si>
  <si>
    <t>浙江司太立制药股份有限公司</t>
  </si>
  <si>
    <t>603538.SH</t>
  </si>
  <si>
    <t>美诺华</t>
  </si>
  <si>
    <t>宁波美诺华药业股份有限公司</t>
  </si>
  <si>
    <t>603811.SH</t>
  </si>
  <si>
    <t>诚意药业</t>
  </si>
  <si>
    <t>浙江诚意药业股份有限公司</t>
  </si>
  <si>
    <t>605116.SH</t>
  </si>
  <si>
    <t>奥锐特</t>
  </si>
  <si>
    <t>奥锐特药业股份有限公司</t>
  </si>
  <si>
    <t>605177.SH</t>
  </si>
  <si>
    <t>东亚药业</t>
  </si>
  <si>
    <t>浙江东亚药业股份有限公司</t>
  </si>
  <si>
    <t>605507.SH</t>
  </si>
  <si>
    <t>国邦医药</t>
  </si>
  <si>
    <t>国邦医药集团股份有限公司</t>
  </si>
  <si>
    <t>000788.SZ</t>
  </si>
  <si>
    <t>北大医药</t>
  </si>
  <si>
    <t>北大医药股份有限公司</t>
  </si>
  <si>
    <t>600161.SH</t>
  </si>
  <si>
    <t>天坛生物</t>
  </si>
  <si>
    <t>北京天坛生物制品股份有限公司</t>
  </si>
  <si>
    <t>603087.SH</t>
  </si>
  <si>
    <t>甘李药业</t>
  </si>
  <si>
    <t>甘李药业股份有限公司</t>
  </si>
  <si>
    <t>603590.SH</t>
  </si>
  <si>
    <t>康辰药业</t>
  </si>
  <si>
    <t>北京康辰药业股份有限公司</t>
  </si>
  <si>
    <t>000150.SZ</t>
  </si>
  <si>
    <t>*ST宜康</t>
  </si>
  <si>
    <t>宜华健康医疗股份有限公司</t>
  </si>
  <si>
    <t>000534.SZ</t>
  </si>
  <si>
    <t>万泽股份</t>
  </si>
  <si>
    <t>万泽实业股份有限公司</t>
  </si>
  <si>
    <t>000661.SZ</t>
  </si>
  <si>
    <t>长春高新</t>
  </si>
  <si>
    <t>长春高新技术产业(集团)股份有限公司</t>
  </si>
  <si>
    <t>600867.SH</t>
  </si>
  <si>
    <t>通化东宝</t>
  </si>
  <si>
    <t>通化东宝药业股份有限公司</t>
  </si>
  <si>
    <t>000518.SZ</t>
  </si>
  <si>
    <t>四环生物</t>
  </si>
  <si>
    <t>江苏四环生物股份有限公司</t>
  </si>
  <si>
    <t>600682.SH</t>
  </si>
  <si>
    <t>南京新百</t>
  </si>
  <si>
    <t>南京新街口百货商店股份有限公司</t>
  </si>
  <si>
    <t>603707.SH</t>
  </si>
  <si>
    <t>健友股份</t>
  </si>
  <si>
    <t>南京健友生化制药股份有限公司</t>
  </si>
  <si>
    <t>600739.SH</t>
  </si>
  <si>
    <t>辽宁成大</t>
  </si>
  <si>
    <t>辽宁成大股份有限公司</t>
  </si>
  <si>
    <t>000403.SZ</t>
  </si>
  <si>
    <t>派林生物</t>
  </si>
  <si>
    <t>派斯双林生物制药股份有限公司</t>
  </si>
  <si>
    <t>600645.SH</t>
  </si>
  <si>
    <t>中源协和</t>
  </si>
  <si>
    <t>中源协和细胞基因工程股份有限公司</t>
  </si>
  <si>
    <t>600721.SH</t>
  </si>
  <si>
    <t>百花医药</t>
  </si>
  <si>
    <t>新疆百花村医药集团股份有限公司</t>
  </si>
  <si>
    <t>600055.SH</t>
  </si>
  <si>
    <t>万东医疗</t>
  </si>
  <si>
    <t>北京万东医疗科技股份有限公司</t>
  </si>
  <si>
    <t>603127.SH</t>
  </si>
  <si>
    <t>昭衍新药</t>
  </si>
  <si>
    <t>北京昭衍新药研究中心股份有限公司</t>
  </si>
  <si>
    <t>603392.SH</t>
  </si>
  <si>
    <t>万泰生物</t>
  </si>
  <si>
    <t>北京万泰生物药业股份有限公司</t>
  </si>
  <si>
    <t>603309.SH</t>
  </si>
  <si>
    <t>维力医疗</t>
  </si>
  <si>
    <t>广州维力医疗器械股份有限公司</t>
  </si>
  <si>
    <t>603882.SH</t>
  </si>
  <si>
    <t>金域医学</t>
  </si>
  <si>
    <t>广州金域医学检验集团股份有限公司</t>
  </si>
  <si>
    <t>603658.SH</t>
  </si>
  <si>
    <t>安图生物</t>
  </si>
  <si>
    <t>郑州安图生物工程股份有限公司</t>
  </si>
  <si>
    <t>000615.SZ</t>
  </si>
  <si>
    <t>奥园美谷</t>
  </si>
  <si>
    <t>奥园美谷科技股份有限公司</t>
  </si>
  <si>
    <t>600568.SH</t>
  </si>
  <si>
    <t>ST中珠</t>
  </si>
  <si>
    <t>中珠医疗控股股份有限公司</t>
  </si>
  <si>
    <t>000504.SZ</t>
  </si>
  <si>
    <t>南华生物</t>
  </si>
  <si>
    <t>南华生物医药股份有限公司</t>
  </si>
  <si>
    <t>600327.SH</t>
  </si>
  <si>
    <t>大东方</t>
  </si>
  <si>
    <t>无锡商业大厦大东方股份有限公司</t>
  </si>
  <si>
    <t>603387.SH</t>
  </si>
  <si>
    <t>基蛋生物</t>
  </si>
  <si>
    <t>基蛋生物科技股份有限公司</t>
  </si>
  <si>
    <t>603880.SH</t>
  </si>
  <si>
    <t>南卫股份</t>
  </si>
  <si>
    <t>江苏南方卫材医药股份有限公司</t>
  </si>
  <si>
    <t>600381.SH</t>
  </si>
  <si>
    <t>青海春天</t>
  </si>
  <si>
    <t>青海春天药用资源科技股份有限公司</t>
  </si>
  <si>
    <t>600529.SH</t>
  </si>
  <si>
    <t>山东药玻</t>
  </si>
  <si>
    <t>山东省药用玻璃股份有限公司</t>
  </si>
  <si>
    <t>600587.SH</t>
  </si>
  <si>
    <t>新华医疗</t>
  </si>
  <si>
    <t>山东新华医疗器械股份有限公司</t>
  </si>
  <si>
    <t>603102.SH</t>
  </si>
  <si>
    <t>百合股份</t>
  </si>
  <si>
    <t>威海百合生物技术股份有限公司</t>
  </si>
  <si>
    <t>000516.SZ</t>
  </si>
  <si>
    <t>国际医学</t>
  </si>
  <si>
    <t>西安国际医学投资股份有限公司</t>
  </si>
  <si>
    <t>600530.SH</t>
  </si>
  <si>
    <t>交大昂立</t>
  </si>
  <si>
    <t>上海交大昂立股份有限公司</t>
  </si>
  <si>
    <t>600532.SH</t>
  </si>
  <si>
    <t>*ST未来</t>
  </si>
  <si>
    <t>上海智汇未来医疗服务股份有限公司</t>
  </si>
  <si>
    <t>603987.SH</t>
  </si>
  <si>
    <t>康德莱</t>
  </si>
  <si>
    <t>上海康德莱企业发展集团股份有限公司</t>
  </si>
  <si>
    <t>605186.SH</t>
  </si>
  <si>
    <t>健麾信息</t>
  </si>
  <si>
    <t>上海健麾信息技术股份有限公司</t>
  </si>
  <si>
    <t>000710.SZ</t>
  </si>
  <si>
    <t>贝瑞基因</t>
  </si>
  <si>
    <t>成都市贝瑞和康基因技术股份有限公司</t>
  </si>
  <si>
    <t>600767.SH</t>
  </si>
  <si>
    <t>*ST运盛</t>
  </si>
  <si>
    <t>运盛(成都)医疗科技股份有限公司</t>
  </si>
  <si>
    <t>600763.SH</t>
  </si>
  <si>
    <t>通策医疗</t>
  </si>
  <si>
    <t>通策医疗股份有限公司</t>
  </si>
  <si>
    <t>603222.SH</t>
  </si>
  <si>
    <t>济民医疗</t>
  </si>
  <si>
    <t>济民健康管理股份有限公司</t>
  </si>
  <si>
    <t>603301.SH</t>
  </si>
  <si>
    <t>振德医疗</t>
  </si>
  <si>
    <t>振德医疗用品股份有限公司</t>
  </si>
  <si>
    <t>603456.SH</t>
  </si>
  <si>
    <t>九洲药业</t>
  </si>
  <si>
    <t>浙江九洲药业股份有限公司</t>
  </si>
  <si>
    <t>605369.SH</t>
  </si>
  <si>
    <t>拱东医疗</t>
  </si>
  <si>
    <t>浙江拱东医疗器械股份有限公司</t>
  </si>
  <si>
    <t>603976.SH</t>
  </si>
  <si>
    <t>正川股份</t>
  </si>
  <si>
    <t>重庆正川医药包装材料股份有限公司</t>
  </si>
  <si>
    <t>600056.SH</t>
  </si>
  <si>
    <t>中国医药</t>
  </si>
  <si>
    <t>中国医药健康产业股份有限公司</t>
  </si>
  <si>
    <t>600511.SH</t>
  </si>
  <si>
    <t>国药股份</t>
  </si>
  <si>
    <t>国药集团药业股份有限公司</t>
  </si>
  <si>
    <t>603233.SH</t>
  </si>
  <si>
    <t>大参林</t>
  </si>
  <si>
    <t>大参林医药集团股份有限公司</t>
  </si>
  <si>
    <t>600538.SH</t>
  </si>
  <si>
    <t>国发股份</t>
  </si>
  <si>
    <t>北海国发川山生物股份有限公司</t>
  </si>
  <si>
    <t>603368.SH</t>
  </si>
  <si>
    <t>柳药集团</t>
  </si>
  <si>
    <t>广西柳药集团股份有限公司</t>
  </si>
  <si>
    <t>600829.SH</t>
  </si>
  <si>
    <t>人民同泰</t>
  </si>
  <si>
    <t>哈药集团人民同泰医药股份有限公司</t>
  </si>
  <si>
    <t>600998.SH</t>
  </si>
  <si>
    <t>九州通</t>
  </si>
  <si>
    <t>九州通医药集团股份有限公司</t>
  </si>
  <si>
    <t>603716.SH</t>
  </si>
  <si>
    <t>塞力医疗</t>
  </si>
  <si>
    <t>塞力斯医疗科技集团股份有限公司</t>
  </si>
  <si>
    <t>603883.SH</t>
  </si>
  <si>
    <t>老百姓</t>
  </si>
  <si>
    <t>老百姓大药房连锁股份有限公司</t>
  </si>
  <si>
    <t>603939.SH</t>
  </si>
  <si>
    <t>益丰药房</t>
  </si>
  <si>
    <t>益丰大药房连锁股份有限公司</t>
  </si>
  <si>
    <t>600713.SH</t>
  </si>
  <si>
    <t>南京医药</t>
  </si>
  <si>
    <t>南京医药股份有限公司</t>
  </si>
  <si>
    <t>000668.SZ</t>
  </si>
  <si>
    <t>荣丰控股</t>
  </si>
  <si>
    <t>荣丰控股集团股份有限公司</t>
  </si>
  <si>
    <t>600272.SH</t>
  </si>
  <si>
    <t>开开实业</t>
  </si>
  <si>
    <t>上海开开实业股份有限公司</t>
  </si>
  <si>
    <t>600833.SH</t>
  </si>
  <si>
    <t>第一医药</t>
  </si>
  <si>
    <t>上海第一医药股份有限公司</t>
  </si>
  <si>
    <t>601607.SH</t>
  </si>
  <si>
    <t>上海医药</t>
  </si>
  <si>
    <t>上海医药集团股份有限公司</t>
  </si>
  <si>
    <t>603108.SH</t>
  </si>
  <si>
    <t>润达医疗</t>
  </si>
  <si>
    <t>上海润达医疗科技股份有限公司</t>
  </si>
  <si>
    <t>603122.SH</t>
  </si>
  <si>
    <t>合富中国</t>
  </si>
  <si>
    <t>合富(中国)医疗科技股份有限公司</t>
  </si>
  <si>
    <t>000078.SZ</t>
  </si>
  <si>
    <t>海王生物</t>
  </si>
  <si>
    <t>深圳市海王生物工程股份有限公司</t>
  </si>
  <si>
    <t>605266.SH</t>
  </si>
  <si>
    <t>健之佳</t>
  </si>
  <si>
    <t>健之佳医药连锁集团股份有限公司</t>
  </si>
  <si>
    <t>000411.SZ</t>
  </si>
  <si>
    <t>英特集团</t>
  </si>
  <si>
    <t>浙江英特集团股份有限公司</t>
  </si>
  <si>
    <t>000705.SZ</t>
  </si>
  <si>
    <t>浙江震元</t>
  </si>
  <si>
    <t>浙江震元股份有限公司</t>
  </si>
  <si>
    <t>000950.SZ</t>
  </si>
  <si>
    <t>重药控股</t>
  </si>
  <si>
    <t>重药控股股份有限公司</t>
  </si>
  <si>
    <t>600085.SH</t>
  </si>
  <si>
    <t>同仁堂</t>
  </si>
  <si>
    <t>北京同仁堂股份有限公司</t>
  </si>
  <si>
    <t>600436.SH</t>
  </si>
  <si>
    <t>片仔癀</t>
  </si>
  <si>
    <t>漳州片仔癀药业股份有限公司</t>
  </si>
  <si>
    <t>600332.SH</t>
  </si>
  <si>
    <t>白云山</t>
  </si>
  <si>
    <t>广州白云山医药集团股份有限公司</t>
  </si>
  <si>
    <t>600518.SH</t>
  </si>
  <si>
    <t>ST康美</t>
  </si>
  <si>
    <t>康美药业股份有限公司</t>
  </si>
  <si>
    <t>600252.SH</t>
  </si>
  <si>
    <t>中恒集团</t>
  </si>
  <si>
    <t>广西梧州中恒集团股份有限公司</t>
  </si>
  <si>
    <t>600594.SH</t>
  </si>
  <si>
    <t>益佰制药</t>
  </si>
  <si>
    <t>贵州益佰制药股份有限公司</t>
  </si>
  <si>
    <t>603439.SH</t>
  </si>
  <si>
    <t>贵州三力</t>
  </si>
  <si>
    <t>贵州三力制药股份有限公司</t>
  </si>
  <si>
    <t>605199.SH</t>
  </si>
  <si>
    <t>葫芦娃</t>
  </si>
  <si>
    <t>海南葫芦娃药业集团股份有限公司</t>
  </si>
  <si>
    <t>600222.SH</t>
  </si>
  <si>
    <t>太龙药业</t>
  </si>
  <si>
    <t>河南太龙药业股份有限公司</t>
  </si>
  <si>
    <t>600285.SH</t>
  </si>
  <si>
    <t>羚锐制药</t>
  </si>
  <si>
    <t>河南羚锐制药股份有限公司</t>
  </si>
  <si>
    <t>603567.SH</t>
  </si>
  <si>
    <t>珍宝岛</t>
  </si>
  <si>
    <t>黑龙江珍宝岛药业股份有限公司</t>
  </si>
  <si>
    <t>600566.SH</t>
  </si>
  <si>
    <t>济川药业</t>
  </si>
  <si>
    <t>湖北济川药业股份有限公司</t>
  </si>
  <si>
    <t>600976.SH</t>
  </si>
  <si>
    <t>健民集团</t>
  </si>
  <si>
    <t>健民药业集团股份有限公司</t>
  </si>
  <si>
    <t>600993.SH</t>
  </si>
  <si>
    <t>马应龙</t>
  </si>
  <si>
    <t>马应龙药业集团股份有限公司</t>
  </si>
  <si>
    <t>000590.SZ</t>
  </si>
  <si>
    <t>启迪药业</t>
  </si>
  <si>
    <t>启迪药业集团股份公司</t>
  </si>
  <si>
    <t>000989.SZ</t>
  </si>
  <si>
    <t>九芝堂</t>
  </si>
  <si>
    <t>九芝堂股份有限公司</t>
  </si>
  <si>
    <t>600479.SH</t>
  </si>
  <si>
    <t>千金药业</t>
  </si>
  <si>
    <t>株洲千金药业股份有限公司</t>
  </si>
  <si>
    <t>603998.SH</t>
  </si>
  <si>
    <t>方盛制药</t>
  </si>
  <si>
    <t>湖南方盛制药股份有限公司</t>
  </si>
  <si>
    <t>000623.SZ</t>
  </si>
  <si>
    <t>吉林敖东</t>
  </si>
  <si>
    <t>吉林敖东药业集团股份有限公司</t>
  </si>
  <si>
    <t>600557.SH</t>
  </si>
  <si>
    <t>康缘药业</t>
  </si>
  <si>
    <t>江苏康缘药业股份有限公司</t>
  </si>
  <si>
    <t>000650.SZ</t>
  </si>
  <si>
    <t>仁和药业</t>
  </si>
  <si>
    <t>仁和药业股份有限公司</t>
  </si>
  <si>
    <t>600750.SH</t>
  </si>
  <si>
    <t>江中药业</t>
  </si>
  <si>
    <t>江中药业股份有限公司</t>
  </si>
  <si>
    <t>000423.SZ</t>
  </si>
  <si>
    <t>东阿阿胶</t>
  </si>
  <si>
    <t>东阿阿胶股份有限公司</t>
  </si>
  <si>
    <t>603858.SH</t>
  </si>
  <si>
    <t>步长制药</t>
  </si>
  <si>
    <t>山东步长制药股份有限公司</t>
  </si>
  <si>
    <t>600351.SH</t>
  </si>
  <si>
    <t>亚宝药业</t>
  </si>
  <si>
    <t>亚宝药业集团股份有限公司</t>
  </si>
  <si>
    <t>600771.SH</t>
  </si>
  <si>
    <t>广誉远</t>
  </si>
  <si>
    <t>广誉远中药股份有限公司</t>
  </si>
  <si>
    <t>600080.SH</t>
  </si>
  <si>
    <t>金花股份</t>
  </si>
  <si>
    <t>金花企业(集团)股份有限公司</t>
  </si>
  <si>
    <t>603139.SH</t>
  </si>
  <si>
    <t>康惠制药</t>
  </si>
  <si>
    <t>陕西康惠制药股份有限公司</t>
  </si>
  <si>
    <t>600613.SH</t>
  </si>
  <si>
    <t>神奇制药</t>
  </si>
  <si>
    <t>上海神奇制药投资管理股份有限公司</t>
  </si>
  <si>
    <t>000999.SZ</t>
  </si>
  <si>
    <t>华润三九</t>
  </si>
  <si>
    <t>华润三九医药股份有限公司</t>
  </si>
  <si>
    <t>000790.SZ</t>
  </si>
  <si>
    <t>华神科技</t>
  </si>
  <si>
    <t>成都华神科技集团股份有限公司</t>
  </si>
  <si>
    <t>600329.SH</t>
  </si>
  <si>
    <t>达仁堂</t>
  </si>
  <si>
    <t>津药达仁堂集团股份有限公司</t>
  </si>
  <si>
    <t>600535.SH</t>
  </si>
  <si>
    <t>天士力</t>
  </si>
  <si>
    <t>天士力医药集团股份有限公司</t>
  </si>
  <si>
    <t>600211.SH</t>
  </si>
  <si>
    <t>西藏药业</t>
  </si>
  <si>
    <t>西藏诺迪康药业股份有限公司</t>
  </si>
  <si>
    <t>000538.SZ</t>
  </si>
  <si>
    <t>云南白药</t>
  </si>
  <si>
    <t>云南白药集团股份有限公司</t>
  </si>
  <si>
    <t>600422.SH</t>
  </si>
  <si>
    <t>昆药集团</t>
  </si>
  <si>
    <t>昆药集团股份有限公司</t>
  </si>
  <si>
    <t>603963.SH</t>
  </si>
  <si>
    <t>大理药业</t>
  </si>
  <si>
    <t>大理药业股份有限公司</t>
  </si>
  <si>
    <t>600572.SH</t>
  </si>
  <si>
    <t>康恩贝</t>
  </si>
  <si>
    <t>浙江康恩贝制药股份有限公司</t>
  </si>
  <si>
    <t>600671.SH</t>
  </si>
  <si>
    <t>ST目药</t>
  </si>
  <si>
    <t>杭州天目山药业股份有限公司</t>
  </si>
  <si>
    <t>603896.SH</t>
  </si>
  <si>
    <t>寿仙谷</t>
  </si>
  <si>
    <t>浙江寿仙谷医药股份有限公司</t>
  </si>
  <si>
    <t>600129.SH</t>
  </si>
  <si>
    <t>太极集团</t>
  </si>
  <si>
    <t>重庆太极实业(集团)股份有限公司</t>
  </si>
  <si>
    <t>000027.SZ</t>
  </si>
  <si>
    <t>深圳能源</t>
  </si>
  <si>
    <t>深圳能源集团股份有限公司</t>
  </si>
  <si>
    <t>000037.SZ</t>
  </si>
  <si>
    <t>深南电A</t>
  </si>
  <si>
    <t>深圳南山热电股份有限公司</t>
  </si>
  <si>
    <t>000040.SZ</t>
  </si>
  <si>
    <t>东旭蓝天</t>
  </si>
  <si>
    <t>东旭蓝天新能源股份有限公司</t>
  </si>
  <si>
    <t>000155.SZ</t>
  </si>
  <si>
    <t>川能动力</t>
  </si>
  <si>
    <t>四川省新能源动力股份有限公司</t>
  </si>
  <si>
    <t>000407.SZ</t>
  </si>
  <si>
    <t>胜利股份</t>
  </si>
  <si>
    <t>山东胜利股份有限公司</t>
  </si>
  <si>
    <t>000421.SZ</t>
  </si>
  <si>
    <t>南京公用</t>
  </si>
  <si>
    <t>南京公用发展股份有限公司</t>
  </si>
  <si>
    <t>000531.SZ</t>
  </si>
  <si>
    <t>穗恒运A</t>
  </si>
  <si>
    <t>广州恒运企业集团股份有限公司</t>
  </si>
  <si>
    <t>000537.SZ</t>
  </si>
  <si>
    <t>广宇发展</t>
  </si>
  <si>
    <t>天津中绿电投资股份有限公司</t>
  </si>
  <si>
    <t>000539.SZ</t>
  </si>
  <si>
    <t>粤电力A</t>
  </si>
  <si>
    <t>广东电力发展股份有限公司</t>
  </si>
  <si>
    <t>000543.SZ</t>
  </si>
  <si>
    <t>皖能电力</t>
  </si>
  <si>
    <t>安徽省皖能股份有限公司</t>
  </si>
  <si>
    <t>000591.SZ</t>
  </si>
  <si>
    <t>太阳能</t>
  </si>
  <si>
    <t>中节能太阳能股份有限公司</t>
  </si>
  <si>
    <t>000593.SZ</t>
  </si>
  <si>
    <t>德龙汇能</t>
  </si>
  <si>
    <t>德龙汇能集团股份有限公司</t>
  </si>
  <si>
    <t>000598.SZ</t>
  </si>
  <si>
    <t>兴蓉环境</t>
  </si>
  <si>
    <t>成都市兴蓉环境股份有限公司</t>
  </si>
  <si>
    <t>000600.SZ</t>
  </si>
  <si>
    <t>建投能源</t>
  </si>
  <si>
    <t>河北建投能源投资股份有限公司</t>
  </si>
  <si>
    <t>000601.SZ</t>
  </si>
  <si>
    <t>韶能股份</t>
  </si>
  <si>
    <t>广东韶能集团股份有限公司</t>
  </si>
  <si>
    <t>000605.SZ</t>
  </si>
  <si>
    <t>渤海股份</t>
  </si>
  <si>
    <t>渤海水业股份有限公司</t>
  </si>
  <si>
    <t>000669.SZ</t>
  </si>
  <si>
    <t>ST金鸿</t>
  </si>
  <si>
    <t>金鸿控股集团股份有限公司</t>
  </si>
  <si>
    <t>000685.SZ</t>
  </si>
  <si>
    <t>中山公用</t>
  </si>
  <si>
    <t>中山公用事业集团股份有限公司</t>
  </si>
  <si>
    <t>000690.SZ</t>
  </si>
  <si>
    <t>宝新能源</t>
  </si>
  <si>
    <t>广东宝丽华新能源股份有限公司</t>
  </si>
  <si>
    <t>000692.SZ</t>
  </si>
  <si>
    <t>惠天热电</t>
  </si>
  <si>
    <t>沈阳惠天热电股份有限公司</t>
  </si>
  <si>
    <t>000767.SZ</t>
  </si>
  <si>
    <t>晋控电力</t>
  </si>
  <si>
    <t>晋能控股山西电力股份有限公司</t>
  </si>
  <si>
    <t>000791.SZ</t>
  </si>
  <si>
    <t>甘肃电投</t>
  </si>
  <si>
    <t>甘肃电投能源发展股份有限公司</t>
  </si>
  <si>
    <t>000862.SZ</t>
  </si>
  <si>
    <t>银星能源</t>
  </si>
  <si>
    <t>宁夏银星能源股份有限公司</t>
  </si>
  <si>
    <t>000875.SZ</t>
  </si>
  <si>
    <t>吉电股份</t>
  </si>
  <si>
    <t>吉林电力股份有限公司</t>
  </si>
  <si>
    <t>000883.SZ</t>
  </si>
  <si>
    <t>湖北能源</t>
  </si>
  <si>
    <t>湖北能源集团股份有限公司</t>
  </si>
  <si>
    <t>000899.SZ</t>
  </si>
  <si>
    <t>赣能股份</t>
  </si>
  <si>
    <t>江西赣能股份有限公司</t>
  </si>
  <si>
    <t>000966.SZ</t>
  </si>
  <si>
    <t>长源电力</t>
  </si>
  <si>
    <t>国家能源集团长源电力股份有限公司</t>
  </si>
  <si>
    <t>000993.SZ</t>
  </si>
  <si>
    <t>闽东电力</t>
  </si>
  <si>
    <t>福建闽东电力股份有限公司</t>
  </si>
  <si>
    <t>001210.SZ</t>
  </si>
  <si>
    <t>金房节能</t>
  </si>
  <si>
    <t>北京金房暖通节能技术股份有限公司</t>
  </si>
  <si>
    <t>001258.SZ</t>
  </si>
  <si>
    <t>立新能源</t>
  </si>
  <si>
    <t>新疆立新能源股份有限公司</t>
  </si>
  <si>
    <t>001289.SZ</t>
  </si>
  <si>
    <t>龙源电力</t>
  </si>
  <si>
    <t>龙源电力集团股份有限公司</t>
  </si>
  <si>
    <t>001299.SZ</t>
  </si>
  <si>
    <t>美能能源</t>
  </si>
  <si>
    <t>陕西美能清洁能源集团股份有限公司</t>
  </si>
  <si>
    <t>001896.SZ</t>
  </si>
  <si>
    <t>豫能控股</t>
  </si>
  <si>
    <t>河南豫能控股股份有限公司</t>
  </si>
  <si>
    <t>600011.SH</t>
  </si>
  <si>
    <t>华能国际</t>
  </si>
  <si>
    <t>华能国际电力股份有限公司</t>
  </si>
  <si>
    <t>600021.SH</t>
  </si>
  <si>
    <t>上海电力</t>
  </si>
  <si>
    <t>上海电力股份有限公司</t>
  </si>
  <si>
    <t>600023.SH</t>
  </si>
  <si>
    <t>浙能电力</t>
  </si>
  <si>
    <t>浙江浙能电力股份有限公司</t>
  </si>
  <si>
    <t>600025.SH</t>
  </si>
  <si>
    <t>华能水电</t>
  </si>
  <si>
    <t>华能澜沧江水电股份有限公司</t>
  </si>
  <si>
    <t>600027.SH</t>
  </si>
  <si>
    <t>华电国际</t>
  </si>
  <si>
    <t>华电国际电力股份有限公司</t>
  </si>
  <si>
    <t>600032.SH</t>
  </si>
  <si>
    <t>浙江新能</t>
  </si>
  <si>
    <t>浙江省新能源投资集团股份有限公司</t>
  </si>
  <si>
    <t>600098.SH</t>
  </si>
  <si>
    <t>广州发展</t>
  </si>
  <si>
    <t>广州发展集团股份有限公司</t>
  </si>
  <si>
    <t>600101.SH</t>
  </si>
  <si>
    <t>明星电力</t>
  </si>
  <si>
    <t>四川明星电力股份有限公司</t>
  </si>
  <si>
    <t>600116.SH</t>
  </si>
  <si>
    <t>三峡水利</t>
  </si>
  <si>
    <t>重庆三峡水利电力(集团)股份有限公司</t>
  </si>
  <si>
    <t>600157.SH</t>
  </si>
  <si>
    <t>永泰能源</t>
  </si>
  <si>
    <t>永泰能源股份有限公司</t>
  </si>
  <si>
    <t>600163.SH</t>
  </si>
  <si>
    <t>中闽能源</t>
  </si>
  <si>
    <t>中闽能源股份有限公司</t>
  </si>
  <si>
    <t>600167.SH</t>
  </si>
  <si>
    <t>联美控股</t>
  </si>
  <si>
    <t>联美量子股份有限公司</t>
  </si>
  <si>
    <t>600168.SH</t>
  </si>
  <si>
    <t>武汉控股</t>
  </si>
  <si>
    <t>武汉三镇实业控股股份有限公司</t>
  </si>
  <si>
    <t>600187.SH</t>
  </si>
  <si>
    <t>国中水务</t>
  </si>
  <si>
    <t>黑龙江国中水务股份有限公司</t>
  </si>
  <si>
    <t>600236.SH</t>
  </si>
  <si>
    <t>桂冠电力</t>
  </si>
  <si>
    <t>广西桂冠电力股份有限公司</t>
  </si>
  <si>
    <t>600283.SH</t>
  </si>
  <si>
    <t>钱江水利</t>
  </si>
  <si>
    <t>钱江水利开发股份有限公司</t>
  </si>
  <si>
    <t>600310.SH</t>
  </si>
  <si>
    <t>桂东电力</t>
  </si>
  <si>
    <t>广西桂东电力股份有限公司</t>
  </si>
  <si>
    <t>600333.SH</t>
  </si>
  <si>
    <t>长春燃气</t>
  </si>
  <si>
    <t>长春燃气股份有限公司</t>
  </si>
  <si>
    <t>600396.SH</t>
  </si>
  <si>
    <t>金山股份</t>
  </si>
  <si>
    <t>沈阳金山能源股份有限公司</t>
  </si>
  <si>
    <t>600452.SH</t>
  </si>
  <si>
    <t>涪陵电力</t>
  </si>
  <si>
    <t>重庆涪陵电力实业股份有限公司</t>
  </si>
  <si>
    <t>600461.SH</t>
  </si>
  <si>
    <t>洪城环境</t>
  </si>
  <si>
    <t>江西洪城环境股份有限公司</t>
  </si>
  <si>
    <t>600483.SH</t>
  </si>
  <si>
    <t>福能股份</t>
  </si>
  <si>
    <t>福建福能股份有限公司</t>
  </si>
  <si>
    <t>600505.SH</t>
  </si>
  <si>
    <t>西昌电力</t>
  </si>
  <si>
    <t>四川西昌电力股份有限公司</t>
  </si>
  <si>
    <t>600509.SH</t>
  </si>
  <si>
    <t>天富能源</t>
  </si>
  <si>
    <t>新疆天富能源股份有限公司</t>
  </si>
  <si>
    <t>600578.SH</t>
  </si>
  <si>
    <t>京能电力</t>
  </si>
  <si>
    <t>北京京能电力股份有限公司</t>
  </si>
  <si>
    <t>600617.SH</t>
  </si>
  <si>
    <t>国新能源</t>
  </si>
  <si>
    <t>山西省国新能源股份有限公司</t>
  </si>
  <si>
    <t>600635.SH</t>
  </si>
  <si>
    <t>大众公用</t>
  </si>
  <si>
    <t>上海大众公用事业(集团)股份有限公司</t>
  </si>
  <si>
    <t>600642.SH</t>
  </si>
  <si>
    <t>申能股份</t>
  </si>
  <si>
    <t>申能股份有限公司</t>
  </si>
  <si>
    <t>600644.SH</t>
  </si>
  <si>
    <t>乐山电力</t>
  </si>
  <si>
    <t>乐山电力股份有限公司</t>
  </si>
  <si>
    <t>600674.SH</t>
  </si>
  <si>
    <t>川投能源</t>
  </si>
  <si>
    <t>四川川投能源股份有限公司</t>
  </si>
  <si>
    <t>600681.SH</t>
  </si>
  <si>
    <t>百川能源</t>
  </si>
  <si>
    <t>百川能源股份有限公司</t>
  </si>
  <si>
    <t>600719.SH</t>
  </si>
  <si>
    <t>ST热电</t>
  </si>
  <si>
    <t>大连热电股份有限公司</t>
  </si>
  <si>
    <t>600726.SH</t>
  </si>
  <si>
    <t>*ST华源</t>
  </si>
  <si>
    <t>华电能源股份有限公司</t>
  </si>
  <si>
    <t>600744.SH</t>
  </si>
  <si>
    <t>华银电力</t>
  </si>
  <si>
    <t>大唐华银电力股份有限公司</t>
  </si>
  <si>
    <t>600780.SH</t>
  </si>
  <si>
    <t>通宝能源</t>
  </si>
  <si>
    <t>山西通宝能源股份有限公司</t>
  </si>
  <si>
    <t>600795.SH</t>
  </si>
  <si>
    <t>国电电力</t>
  </si>
  <si>
    <t>国电电力发展股份有限公司</t>
  </si>
  <si>
    <t>600803.SH</t>
  </si>
  <si>
    <t>新奥股份</t>
  </si>
  <si>
    <t>新奥天然气股份有限公司</t>
  </si>
  <si>
    <t>600821.SH</t>
  </si>
  <si>
    <t>金开新能</t>
  </si>
  <si>
    <t>金开新能源股份有限公司</t>
  </si>
  <si>
    <t>600863.SH</t>
  </si>
  <si>
    <t>内蒙华电</t>
  </si>
  <si>
    <t>内蒙古蒙电华能热电股份有限公司</t>
  </si>
  <si>
    <t>600886.SH</t>
  </si>
  <si>
    <t>国投电力</t>
  </si>
  <si>
    <t>国投电力控股股份有限公司</t>
  </si>
  <si>
    <t>600900.SH</t>
  </si>
  <si>
    <t>长江电力</t>
  </si>
  <si>
    <t>中国长江电力股份有限公司</t>
  </si>
  <si>
    <t>600903.SH</t>
  </si>
  <si>
    <t>贵州燃气</t>
  </si>
  <si>
    <t>贵州燃气集团股份有限公司</t>
  </si>
  <si>
    <t>600905.SH</t>
  </si>
  <si>
    <t>三峡能源</t>
  </si>
  <si>
    <t>中国三峡新能源(集团)股份有限公司</t>
  </si>
  <si>
    <t>600917.SH</t>
  </si>
  <si>
    <t>重庆燃气</t>
  </si>
  <si>
    <t>重庆燃气集团股份有限公司</t>
  </si>
  <si>
    <t>600956.SH</t>
  </si>
  <si>
    <t>新天绿能</t>
  </si>
  <si>
    <t>新天绿色能源股份有限公司</t>
  </si>
  <si>
    <t>600969.SH</t>
  </si>
  <si>
    <t>郴电国际</t>
  </si>
  <si>
    <t>湖南郴电国际发展股份有限公司</t>
  </si>
  <si>
    <t>600979.SH</t>
  </si>
  <si>
    <t>广安爱众</t>
  </si>
  <si>
    <t>四川广安爱众股份有限公司</t>
  </si>
  <si>
    <t>600982.SH</t>
  </si>
  <si>
    <t>宁波能源</t>
  </si>
  <si>
    <t>宁波能源集团股份有限公司</t>
  </si>
  <si>
    <t>600995.SH</t>
  </si>
  <si>
    <t>南网储能</t>
  </si>
  <si>
    <t>南方电网储能股份有限公司</t>
  </si>
  <si>
    <t>601016.SH</t>
  </si>
  <si>
    <t>节能风电</t>
  </si>
  <si>
    <t>中节能风力发电股份有限公司</t>
  </si>
  <si>
    <t>601139.SH</t>
  </si>
  <si>
    <t>深圳燃气</t>
  </si>
  <si>
    <t>深圳市燃气集团股份有限公司</t>
  </si>
  <si>
    <t>601158.SH</t>
  </si>
  <si>
    <t>重庆水务</t>
  </si>
  <si>
    <t>重庆水务集团股份有限公司</t>
  </si>
  <si>
    <t>601199.SH</t>
  </si>
  <si>
    <t>江南水务</t>
  </si>
  <si>
    <t>江苏江南水务股份有限公司</t>
  </si>
  <si>
    <t>601368.SH</t>
  </si>
  <si>
    <t>绿城水务</t>
  </si>
  <si>
    <t>广西绿城水务股份有限公司</t>
  </si>
  <si>
    <t>601619.SH</t>
  </si>
  <si>
    <t>嘉泽新能</t>
  </si>
  <si>
    <t>宁夏嘉泽新能源股份有限公司</t>
  </si>
  <si>
    <t>601778.SH</t>
  </si>
  <si>
    <t>晶科科技</t>
  </si>
  <si>
    <t>晶科电力科技股份有限公司</t>
  </si>
  <si>
    <t>601908.SH</t>
  </si>
  <si>
    <t>京运通</t>
  </si>
  <si>
    <t>北京京运通科技股份有限公司</t>
  </si>
  <si>
    <t>601985.SH</t>
  </si>
  <si>
    <t>中国核电</t>
  </si>
  <si>
    <t>中国核能电力股份有限公司</t>
  </si>
  <si>
    <t>601991.SH</t>
  </si>
  <si>
    <t>大唐发电</t>
  </si>
  <si>
    <t>大唐国际发电股份有限公司</t>
  </si>
  <si>
    <t>603053.SH</t>
  </si>
  <si>
    <t>成都燃气</t>
  </si>
  <si>
    <t>成都燃气集团股份有限公司</t>
  </si>
  <si>
    <t>603080.SH</t>
  </si>
  <si>
    <t>新疆火炬</t>
  </si>
  <si>
    <t>新疆火炬燃气股份有限公司</t>
  </si>
  <si>
    <t>603318.SH</t>
  </si>
  <si>
    <t>水发燃气</t>
  </si>
  <si>
    <t>水发派思燃气股份有限公司</t>
  </si>
  <si>
    <t>603393.SH</t>
  </si>
  <si>
    <t>新天然气</t>
  </si>
  <si>
    <t>新疆鑫泰天然气股份有限公司</t>
  </si>
  <si>
    <t>603689.SH</t>
  </si>
  <si>
    <t>皖天然气</t>
  </si>
  <si>
    <t>安徽省天然气开发股份有限公司</t>
  </si>
  <si>
    <t>603693.SH</t>
  </si>
  <si>
    <t>江苏新能</t>
  </si>
  <si>
    <t>江苏省新能源开发股份有限公司</t>
  </si>
  <si>
    <t>603706.SH</t>
  </si>
  <si>
    <t>东方环宇</t>
  </si>
  <si>
    <t>新疆东方环宇燃气股份有限公司</t>
  </si>
  <si>
    <t>603759.SH</t>
  </si>
  <si>
    <t>海天股份</t>
  </si>
  <si>
    <t>海天水务集团股份公司</t>
  </si>
  <si>
    <t>605011.SH</t>
  </si>
  <si>
    <t>杭州热电</t>
  </si>
  <si>
    <t>杭州热电集团股份有限公司</t>
  </si>
  <si>
    <t>605028.SH</t>
  </si>
  <si>
    <t>世茂能源</t>
  </si>
  <si>
    <t>宁波世茂能源股份有限公司</t>
  </si>
  <si>
    <t>605090.SH</t>
  </si>
  <si>
    <t>九丰能源</t>
  </si>
  <si>
    <t>江西九丰能源股份有限公司</t>
  </si>
  <si>
    <t>605162.SH</t>
  </si>
  <si>
    <t>新中港</t>
  </si>
  <si>
    <t>浙江新中港热电股份有限公司</t>
  </si>
  <si>
    <t>605169.SH</t>
  </si>
  <si>
    <t>洪通燃气</t>
  </si>
  <si>
    <t>新疆洪通燃气股份有限公司</t>
  </si>
  <si>
    <t>605368.SH</t>
  </si>
  <si>
    <t>蓝天燃气</t>
  </si>
  <si>
    <t>河南蓝天燃气股份有限公司</t>
  </si>
  <si>
    <t>605580.SH</t>
  </si>
  <si>
    <t>恒盛能源</t>
  </si>
  <si>
    <t>恒盛能源股份有限公司</t>
  </si>
  <si>
    <t>000088.SZ</t>
  </si>
  <si>
    <t>盐田港</t>
  </si>
  <si>
    <t>深圳市盐田港股份有限公司</t>
  </si>
  <si>
    <t>000089.SZ</t>
  </si>
  <si>
    <t>深圳机场</t>
  </si>
  <si>
    <t>深圳市机场股份有限公司</t>
  </si>
  <si>
    <t>000099.SZ</t>
  </si>
  <si>
    <t>中信海直</t>
  </si>
  <si>
    <t>中信海洋直升机股份有限公司</t>
  </si>
  <si>
    <t>000429.SZ</t>
  </si>
  <si>
    <t>粤高速A</t>
  </si>
  <si>
    <t>广东省高速公路发展股份有限公司</t>
  </si>
  <si>
    <t>000507.SZ</t>
  </si>
  <si>
    <t>珠海港</t>
  </si>
  <si>
    <t>珠海港股份有限公司</t>
  </si>
  <si>
    <t>000520.SZ</t>
  </si>
  <si>
    <t>长航凤凰</t>
  </si>
  <si>
    <t>长航凤凰股份有限公司</t>
  </si>
  <si>
    <t>000548.SZ</t>
  </si>
  <si>
    <t>湖南投资</t>
  </si>
  <si>
    <t>湖南投资集团股份有限公司</t>
  </si>
  <si>
    <t>000557.SZ</t>
  </si>
  <si>
    <t>西部创业</t>
  </si>
  <si>
    <t>宁夏西部创业实业股份有限公司</t>
  </si>
  <si>
    <t>000582.SZ</t>
  </si>
  <si>
    <t>北部湾港</t>
  </si>
  <si>
    <t>北部湾港股份有限公司</t>
  </si>
  <si>
    <t>000697.SZ</t>
  </si>
  <si>
    <t>炼石航空</t>
  </si>
  <si>
    <t>炼石航空科技股份有限公司</t>
  </si>
  <si>
    <t>000720.SZ</t>
  </si>
  <si>
    <t>新能泰山</t>
  </si>
  <si>
    <t>山东新能泰山发电股份有限公司</t>
  </si>
  <si>
    <t>000738.SZ</t>
  </si>
  <si>
    <t>航发控制</t>
  </si>
  <si>
    <t>中国航发动力控制股份有限公司</t>
  </si>
  <si>
    <t>000755.SZ</t>
  </si>
  <si>
    <t>山西路桥</t>
  </si>
  <si>
    <t>山西路桥股份有限公司</t>
  </si>
  <si>
    <t>000768.SZ</t>
  </si>
  <si>
    <t>中航西飞</t>
  </si>
  <si>
    <t>中航西安飞机工业集团股份有限公司</t>
  </si>
  <si>
    <t>000828.SZ</t>
  </si>
  <si>
    <t>东莞控股</t>
  </si>
  <si>
    <t>东莞发展控股股份有限公司</t>
  </si>
  <si>
    <t>000900.SZ</t>
  </si>
  <si>
    <t>现代投资</t>
  </si>
  <si>
    <t>现代投资股份有限公司</t>
  </si>
  <si>
    <t>000905.SZ</t>
  </si>
  <si>
    <t>厦门港务</t>
  </si>
  <si>
    <t>厦门港务发展股份有限公司</t>
  </si>
  <si>
    <t>000906.SZ</t>
  </si>
  <si>
    <t>浙商中拓</t>
  </si>
  <si>
    <t>浙商中拓集团股份有限公司</t>
  </si>
  <si>
    <t>000927.SZ</t>
  </si>
  <si>
    <t>中国铁物</t>
  </si>
  <si>
    <t>中国铁路物资股份有限公司</t>
  </si>
  <si>
    <t>001202.SZ</t>
  </si>
  <si>
    <t>炬申股份</t>
  </si>
  <si>
    <t>广东炬申物流股份有限公司</t>
  </si>
  <si>
    <t>001205.SZ</t>
  </si>
  <si>
    <t>盛航股份</t>
  </si>
  <si>
    <t>南京盛航海运股份有限公司</t>
  </si>
  <si>
    <t>001213.SZ</t>
  </si>
  <si>
    <t>中铁特货</t>
  </si>
  <si>
    <t>中铁特货物流股份有限公司</t>
  </si>
  <si>
    <t>001228.SZ</t>
  </si>
  <si>
    <t>永泰运</t>
  </si>
  <si>
    <t>永泰运化工物流股份有限公司</t>
  </si>
  <si>
    <t>001317.SZ</t>
  </si>
  <si>
    <t>三羊马</t>
  </si>
  <si>
    <t>三羊马(重庆)物流股份有限公司</t>
  </si>
  <si>
    <t>001331.SZ</t>
  </si>
  <si>
    <t>胜通能源</t>
  </si>
  <si>
    <t>胜通能源股份有限公司</t>
  </si>
  <si>
    <t>001872.SZ</t>
  </si>
  <si>
    <t>招商港口</t>
  </si>
  <si>
    <t>招商局港口集团股份有限公司</t>
  </si>
  <si>
    <t>001965.SZ</t>
  </si>
  <si>
    <t>招商公路</t>
  </si>
  <si>
    <t>招商局公路网络科技控股股份有限公司</t>
  </si>
  <si>
    <t>600004.SH</t>
  </si>
  <si>
    <t>白云机场</t>
  </si>
  <si>
    <t>广州白云国际机场股份有限公司</t>
  </si>
  <si>
    <t>600009.SH</t>
  </si>
  <si>
    <t>上海机场</t>
  </si>
  <si>
    <t>上海国际机场股份有限公司</t>
  </si>
  <si>
    <t>600012.SH</t>
  </si>
  <si>
    <t>皖通高速</t>
  </si>
  <si>
    <t>安徽皖通高速公路股份有限公司</t>
  </si>
  <si>
    <t>600017.SH</t>
  </si>
  <si>
    <t>日照港</t>
  </si>
  <si>
    <t>日照港股份有限公司</t>
  </si>
  <si>
    <t>600018.SH</t>
  </si>
  <si>
    <t>上港集团</t>
  </si>
  <si>
    <t>上海国际港务(集团)股份有限公司</t>
  </si>
  <si>
    <t>600020.SH</t>
  </si>
  <si>
    <t>中原高速</t>
  </si>
  <si>
    <t>河南中原高速公路股份有限公司</t>
  </si>
  <si>
    <t>600026.SH</t>
  </si>
  <si>
    <t>中远海能</t>
  </si>
  <si>
    <t>中远海运能源运输股份有限公司</t>
  </si>
  <si>
    <t>600029.SH</t>
  </si>
  <si>
    <t>南方航空</t>
  </si>
  <si>
    <t>中国南方航空股份有限公司</t>
  </si>
  <si>
    <t>600033.SH</t>
  </si>
  <si>
    <t>福建高速</t>
  </si>
  <si>
    <t>福建发展高速公路股份有限公司</t>
  </si>
  <si>
    <t>600035.SH</t>
  </si>
  <si>
    <t>楚天高速</t>
  </si>
  <si>
    <t>湖北楚天智能交通股份有限公司</t>
  </si>
  <si>
    <t>600038.SH</t>
  </si>
  <si>
    <t>中直股份</t>
  </si>
  <si>
    <t>中航直升机股份有限公司</t>
  </si>
  <si>
    <t>600057.SH</t>
  </si>
  <si>
    <t>厦门象屿</t>
  </si>
  <si>
    <t>厦门象屿股份有限公司</t>
  </si>
  <si>
    <t>600072.SH</t>
  </si>
  <si>
    <t>中船科技</t>
  </si>
  <si>
    <t>中船科技股份有限公司</t>
  </si>
  <si>
    <t>600106.SH</t>
  </si>
  <si>
    <t>重庆路桥</t>
  </si>
  <si>
    <t>重庆路桥股份有限公司</t>
  </si>
  <si>
    <t>600115.SH</t>
  </si>
  <si>
    <t>中国东航</t>
  </si>
  <si>
    <t>中国东方航空股份有限公司</t>
  </si>
  <si>
    <t>600118.SH</t>
  </si>
  <si>
    <t>中国卫星</t>
  </si>
  <si>
    <t>中国东方红卫星股份有限公司</t>
  </si>
  <si>
    <t>600119.SH</t>
  </si>
  <si>
    <t>长江投资</t>
  </si>
  <si>
    <t>长发集团长江投资实业股份有限公司</t>
  </si>
  <si>
    <t>600125.SH</t>
  </si>
  <si>
    <t>铁龙物流</t>
  </si>
  <si>
    <t>中铁铁龙集装箱物流股份有限公司</t>
  </si>
  <si>
    <t>600150.SH</t>
  </si>
  <si>
    <t>中国船舶</t>
  </si>
  <si>
    <t>中国船舶工业股份有限公司</t>
  </si>
  <si>
    <t>600153.SH</t>
  </si>
  <si>
    <t>建发股份</t>
  </si>
  <si>
    <t>厦门建发股份有限公司</t>
  </si>
  <si>
    <t>600179.SH</t>
  </si>
  <si>
    <t>安通控股</t>
  </si>
  <si>
    <t>安通控股股份有限公司</t>
  </si>
  <si>
    <t>600180.SH</t>
  </si>
  <si>
    <t>瑞茂通</t>
  </si>
  <si>
    <t>瑞茂通供应链管理股份有限公司</t>
  </si>
  <si>
    <t>600190.SH</t>
  </si>
  <si>
    <t>锦州港</t>
  </si>
  <si>
    <t>锦州港股份有限公司</t>
  </si>
  <si>
    <t>600221.SH</t>
  </si>
  <si>
    <t>海航控股</t>
  </si>
  <si>
    <t>海南航空控股股份有限公司</t>
  </si>
  <si>
    <t>600233.SH</t>
  </si>
  <si>
    <t>圆通速递</t>
  </si>
  <si>
    <t>圆通速递股份有限公司</t>
  </si>
  <si>
    <t>600269.SH</t>
  </si>
  <si>
    <t>赣粤高速</t>
  </si>
  <si>
    <t>江西赣粤高速公路股份有限公司</t>
  </si>
  <si>
    <t>600279.SH</t>
  </si>
  <si>
    <t>重庆港</t>
  </si>
  <si>
    <t>重庆港股份有限公司</t>
  </si>
  <si>
    <t>600316.SH</t>
  </si>
  <si>
    <t>洪都航空</t>
  </si>
  <si>
    <t>江西洪都航空工业股份有限公司</t>
  </si>
  <si>
    <t>600343.SH</t>
  </si>
  <si>
    <t>航天动力</t>
  </si>
  <si>
    <t>陕西航天动力高科技股份有限公司</t>
  </si>
  <si>
    <t>600350.SH</t>
  </si>
  <si>
    <t>山东高速</t>
  </si>
  <si>
    <t>山东高速股份有限公司</t>
  </si>
  <si>
    <t>600368.SH</t>
  </si>
  <si>
    <t>五洲交通</t>
  </si>
  <si>
    <t>广西五洲交通股份有限公司</t>
  </si>
  <si>
    <t>600372.SH</t>
  </si>
  <si>
    <t>中航电子</t>
  </si>
  <si>
    <t>中航航空电子系统股份有限公司</t>
  </si>
  <si>
    <t>600377.SH</t>
  </si>
  <si>
    <t>宁沪高速</t>
  </si>
  <si>
    <t>江苏宁沪高速公路股份有限公司</t>
  </si>
  <si>
    <t>600391.SH</t>
  </si>
  <si>
    <t>航发科技</t>
  </si>
  <si>
    <t>中国航发航空科技股份有限公司</t>
  </si>
  <si>
    <t>600428.SH</t>
  </si>
  <si>
    <t>中远海特</t>
  </si>
  <si>
    <t>中远海运特种运输股份有限公司</t>
  </si>
  <si>
    <t>600482.SH</t>
  </si>
  <si>
    <t>中国动力</t>
  </si>
  <si>
    <t>中国船舶重工集团动力股份有限公司</t>
  </si>
  <si>
    <t>600515.SH</t>
  </si>
  <si>
    <t>海南机场</t>
  </si>
  <si>
    <t>海南机场设施股份有限公司</t>
  </si>
  <si>
    <t>600548.SH</t>
  </si>
  <si>
    <t>深高速</t>
  </si>
  <si>
    <t>深圳高速公路集团股份有限公司</t>
  </si>
  <si>
    <t>600561.SH</t>
  </si>
  <si>
    <t>江西长运</t>
  </si>
  <si>
    <t>江西长运股份有限公司</t>
  </si>
  <si>
    <t>600575.SH</t>
  </si>
  <si>
    <t>淮河能源</t>
  </si>
  <si>
    <t>淮河能源(集团)股份有限公司</t>
  </si>
  <si>
    <t>600611.SH</t>
  </si>
  <si>
    <t>大众交通</t>
  </si>
  <si>
    <t>大众交通(集团)股份有限公司</t>
  </si>
  <si>
    <t>600650.SH</t>
  </si>
  <si>
    <t>锦江在线</t>
  </si>
  <si>
    <t>上海锦江在线网络服务股份有限公司</t>
  </si>
  <si>
    <t>600685.SH</t>
  </si>
  <si>
    <t>中船防务</t>
  </si>
  <si>
    <t>中船海洋与防务装备股份有限公司</t>
  </si>
  <si>
    <t>600704.SH</t>
  </si>
  <si>
    <t>物产中大</t>
  </si>
  <si>
    <t>物产中大集团股份有限公司</t>
  </si>
  <si>
    <t>600717.SH</t>
  </si>
  <si>
    <t>天津港</t>
  </si>
  <si>
    <t>天津港股份有限公司</t>
  </si>
  <si>
    <t>600755.SH</t>
  </si>
  <si>
    <t>厦门国贸</t>
  </si>
  <si>
    <t>厦门国贸集团股份有限公司</t>
  </si>
  <si>
    <t>600760.SH</t>
  </si>
  <si>
    <t>中航沈飞</t>
  </si>
  <si>
    <t>中航沈飞股份有限公司</t>
  </si>
  <si>
    <t>600764.SH</t>
  </si>
  <si>
    <t>中国海防</t>
  </si>
  <si>
    <t>中国船舶重工集团海洋防务与信息对抗股份有限公司</t>
  </si>
  <si>
    <t>600765.SH</t>
  </si>
  <si>
    <t>中航重机</t>
  </si>
  <si>
    <t>中航重机股份有限公司</t>
  </si>
  <si>
    <t>600787.SH</t>
  </si>
  <si>
    <t>中储股份</t>
  </si>
  <si>
    <t>中储发展股份有限公司</t>
  </si>
  <si>
    <t>600794.SH</t>
  </si>
  <si>
    <t>保税科技</t>
  </si>
  <si>
    <t>张家港保税科技(集团)股份有限公司</t>
  </si>
  <si>
    <t>600798.SH</t>
  </si>
  <si>
    <t>宁波海运</t>
  </si>
  <si>
    <t>宁波海运股份有限公司</t>
  </si>
  <si>
    <t>600834.SH</t>
  </si>
  <si>
    <t>申通地铁</t>
  </si>
  <si>
    <t>上海申通地铁股份有限公司</t>
  </si>
  <si>
    <t>600862.SH</t>
  </si>
  <si>
    <t>中航高科</t>
  </si>
  <si>
    <t>中航航空高科技股份有限公司</t>
  </si>
  <si>
    <t>600879.SH</t>
  </si>
  <si>
    <t>航天电子</t>
  </si>
  <si>
    <t>航天时代电子技术股份有限公司</t>
  </si>
  <si>
    <t>600893.SH</t>
  </si>
  <si>
    <t>航发动力</t>
  </si>
  <si>
    <t>中国航发动力股份有限公司</t>
  </si>
  <si>
    <t>600897.SH</t>
  </si>
  <si>
    <t>厦门空港</t>
  </si>
  <si>
    <t>元翔(厦门)国际航空港股份有限公司</t>
  </si>
  <si>
    <t>601000.SH</t>
  </si>
  <si>
    <t>唐山港</t>
  </si>
  <si>
    <t>唐山港集团股份有限公司</t>
  </si>
  <si>
    <t>601006.SH</t>
  </si>
  <si>
    <t>大秦铁路</t>
  </si>
  <si>
    <t>大秦铁路股份有限公司</t>
  </si>
  <si>
    <t>601008.SH</t>
  </si>
  <si>
    <t>连云港</t>
  </si>
  <si>
    <t>江苏连云港港口股份有限公司</t>
  </si>
  <si>
    <t>601018.SH</t>
  </si>
  <si>
    <t>宁波港</t>
  </si>
  <si>
    <t>宁波舟山港股份有限公司</t>
  </si>
  <si>
    <t>601021.SH</t>
  </si>
  <si>
    <t>春秋航空</t>
  </si>
  <si>
    <t>春秋航空股份有限公司</t>
  </si>
  <si>
    <t>601022.SH</t>
  </si>
  <si>
    <t>宁波远洋</t>
  </si>
  <si>
    <t>宁波远洋运输股份有限公司</t>
  </si>
  <si>
    <t>601107.SH</t>
  </si>
  <si>
    <t>四川成渝</t>
  </si>
  <si>
    <t>四川成渝高速公路股份有限公司</t>
  </si>
  <si>
    <t>601111.SH</t>
  </si>
  <si>
    <t>中国国航</t>
  </si>
  <si>
    <t>中国国际航空股份有限公司</t>
  </si>
  <si>
    <t>601156.SH</t>
  </si>
  <si>
    <t>东航物流</t>
  </si>
  <si>
    <t>东方航空物流股份有限公司</t>
  </si>
  <si>
    <t>601188.SH</t>
  </si>
  <si>
    <t>龙江交通</t>
  </si>
  <si>
    <t>黑龙江交通发展股份有限公司</t>
  </si>
  <si>
    <t>601228.SH</t>
  </si>
  <si>
    <t>广州港</t>
  </si>
  <si>
    <t>广州港股份有限公司</t>
  </si>
  <si>
    <t>601298.SH</t>
  </si>
  <si>
    <t>青岛港</t>
  </si>
  <si>
    <t>青岛港国际股份有限公司</t>
  </si>
  <si>
    <t>601326.SH</t>
  </si>
  <si>
    <t>秦港股份</t>
  </si>
  <si>
    <t>秦皇岛港股份有限公司</t>
  </si>
  <si>
    <t>601333.SH</t>
  </si>
  <si>
    <t>广深铁路</t>
  </si>
  <si>
    <t>广深铁路股份有限公司</t>
  </si>
  <si>
    <t>601518.SH</t>
  </si>
  <si>
    <t>吉林高速</t>
  </si>
  <si>
    <t>吉林高速公路股份有限公司</t>
  </si>
  <si>
    <t>601598.SH</t>
  </si>
  <si>
    <t>中国外运</t>
  </si>
  <si>
    <t>中国外运股份有限公司</t>
  </si>
  <si>
    <t>601816.SH</t>
  </si>
  <si>
    <t>京沪高铁</t>
  </si>
  <si>
    <t>京沪高速铁路股份有限公司</t>
  </si>
  <si>
    <t>601866.SH</t>
  </si>
  <si>
    <t>中远海发</t>
  </si>
  <si>
    <t>中远海运发展股份有限公司</t>
  </si>
  <si>
    <t>601872.SH</t>
  </si>
  <si>
    <t>招商轮船</t>
  </si>
  <si>
    <t>招商局能源运输股份有限公司</t>
  </si>
  <si>
    <t>601880.SH</t>
  </si>
  <si>
    <t>辽港股份</t>
  </si>
  <si>
    <t>辽宁港口股份有限公司</t>
  </si>
  <si>
    <t>601890.SH</t>
  </si>
  <si>
    <t>亚星锚链</t>
  </si>
  <si>
    <t>江苏亚星锚链股份有限公司</t>
  </si>
  <si>
    <t>601919.SH</t>
  </si>
  <si>
    <t>中远海控</t>
  </si>
  <si>
    <t>中远海运控股股份有限公司</t>
  </si>
  <si>
    <t>601975.SH</t>
  </si>
  <si>
    <t>招商南油</t>
  </si>
  <si>
    <t>招商局南京油运股份有限公司</t>
  </si>
  <si>
    <t>601989.SH</t>
  </si>
  <si>
    <t>中国重工</t>
  </si>
  <si>
    <t>中国船舶重工股份有限公司</t>
  </si>
  <si>
    <t>603056.SH</t>
  </si>
  <si>
    <t>德邦股份</t>
  </si>
  <si>
    <t>德邦物流股份有限公司</t>
  </si>
  <si>
    <t>603066.SH</t>
  </si>
  <si>
    <t>音飞储存</t>
  </si>
  <si>
    <t>南京音飞储存设备(集团)股份有限公司</t>
  </si>
  <si>
    <t>603069.SH</t>
  </si>
  <si>
    <t>海汽集团</t>
  </si>
  <si>
    <t>海南海汽运输集团股份有限公司</t>
  </si>
  <si>
    <t>603117.SH</t>
  </si>
  <si>
    <t>ST万林</t>
  </si>
  <si>
    <t>江苏万林现代物流股份有限公司</t>
  </si>
  <si>
    <t>603128.SH</t>
  </si>
  <si>
    <t>华贸物流</t>
  </si>
  <si>
    <t>港中旅华贸国际物流股份有限公司</t>
  </si>
  <si>
    <t>603167.SH</t>
  </si>
  <si>
    <t>渤海轮渡</t>
  </si>
  <si>
    <t>渤海轮渡集团股份有限公司</t>
  </si>
  <si>
    <t>603209.SH</t>
  </si>
  <si>
    <t>兴通股份</t>
  </si>
  <si>
    <t>兴通海运股份有限公司</t>
  </si>
  <si>
    <t>603223.SH</t>
  </si>
  <si>
    <t>恒通股份</t>
  </si>
  <si>
    <t>恒通物流股份有限公司</t>
  </si>
  <si>
    <t>603261.SH</t>
  </si>
  <si>
    <t>立航科技</t>
  </si>
  <si>
    <t>成都立航科技股份有限公司</t>
  </si>
  <si>
    <t>603329.SH</t>
  </si>
  <si>
    <t>上海雅仕</t>
  </si>
  <si>
    <t>上海雅仕投资发展股份有限公司</t>
  </si>
  <si>
    <t>603535.SH</t>
  </si>
  <si>
    <t>嘉诚国际</t>
  </si>
  <si>
    <t>广州市嘉诚国际物流股份有限公司</t>
  </si>
  <si>
    <t>603565.SH</t>
  </si>
  <si>
    <t>中谷物流</t>
  </si>
  <si>
    <t>上海中谷物流股份有限公司</t>
  </si>
  <si>
    <t>603569.SH</t>
  </si>
  <si>
    <t>长久物流</t>
  </si>
  <si>
    <t>北京长久物流股份有限公司</t>
  </si>
  <si>
    <t>603648.SH</t>
  </si>
  <si>
    <t>畅联股份</t>
  </si>
  <si>
    <t>上海畅联国际物流股份有限公司</t>
  </si>
  <si>
    <t>603713.SH</t>
  </si>
  <si>
    <t>密尔克卫</t>
  </si>
  <si>
    <t>密尔克卫化工供应链服务股份有限公司</t>
  </si>
  <si>
    <t>603776.SH</t>
  </si>
  <si>
    <t>永安行</t>
  </si>
  <si>
    <t>永安行科技股份有限公司</t>
  </si>
  <si>
    <t>603813.SH</t>
  </si>
  <si>
    <t>原尚股份</t>
  </si>
  <si>
    <t>广东原尚物流股份有限公司</t>
  </si>
  <si>
    <t>603836.SH</t>
  </si>
  <si>
    <t>海程邦达</t>
  </si>
  <si>
    <t>海程邦达供应链管理股份有限公司</t>
  </si>
  <si>
    <t>603871.SH</t>
  </si>
  <si>
    <t>嘉友国际</t>
  </si>
  <si>
    <t>嘉友国际物流股份有限公司</t>
  </si>
  <si>
    <t>603885.SH</t>
  </si>
  <si>
    <t>吉祥航空</t>
  </si>
  <si>
    <t>上海吉祥航空股份有限公司</t>
  </si>
  <si>
    <t>603967.SH</t>
  </si>
  <si>
    <t>中创物流</t>
  </si>
  <si>
    <t>中创物流股份有限公司</t>
  </si>
  <si>
    <t>605050.SH</t>
  </si>
  <si>
    <t>福然德</t>
  </si>
  <si>
    <t>福然德股份有限公司</t>
  </si>
  <si>
    <t>605123.SH</t>
  </si>
  <si>
    <t>派克新材</t>
  </si>
  <si>
    <t>无锡派克新材料科技股份有限公司</t>
  </si>
  <si>
    <t>000002.SZ</t>
  </si>
  <si>
    <t>万科A</t>
  </si>
  <si>
    <t>万科企业股份有限公司</t>
  </si>
  <si>
    <t>000006.SZ</t>
  </si>
  <si>
    <t>深振业A</t>
  </si>
  <si>
    <t>深圳市振业(集团)股份有限公司</t>
  </si>
  <si>
    <t>同行业企业数量</t>
  </si>
  <si>
    <t>000011.SZ</t>
  </si>
  <si>
    <t>深物业A</t>
  </si>
  <si>
    <t>深圳市物业发展(集团)股份有限公司</t>
  </si>
  <si>
    <t>选中企业</t>
  </si>
  <si>
    <t>000014.SZ</t>
  </si>
  <si>
    <t>沙河股份</t>
  </si>
  <si>
    <t>沙河实业股份有限公司</t>
  </si>
  <si>
    <t>000029.SZ</t>
  </si>
  <si>
    <t>深深房A</t>
  </si>
  <si>
    <t>深圳经济特区房地产(集团)股份有限公司</t>
  </si>
  <si>
    <t>000031.SZ</t>
  </si>
  <si>
    <t>大悦城</t>
  </si>
  <si>
    <t>大悦城控股集团股份有限公司</t>
  </si>
  <si>
    <t>000036.SZ</t>
  </si>
  <si>
    <t>华联控股</t>
  </si>
  <si>
    <t>华联控股股份有限公司</t>
  </si>
  <si>
    <t>000042.SZ</t>
  </si>
  <si>
    <t>中洲控股</t>
  </si>
  <si>
    <t>深圳市中洲投资控股股份有限公司</t>
  </si>
  <si>
    <t>000048.SZ</t>
  </si>
  <si>
    <t>京基智农</t>
  </si>
  <si>
    <t>深圳市京基智农时代股份有限公司</t>
  </si>
  <si>
    <t>000056.SZ</t>
  </si>
  <si>
    <t>皇庭国际</t>
  </si>
  <si>
    <t>深圳市皇庭国际企业股份有限公司</t>
  </si>
  <si>
    <t>000402.SZ</t>
  </si>
  <si>
    <t>金融街</t>
  </si>
  <si>
    <t>金融街控股股份有限公司</t>
  </si>
  <si>
    <t>000514.SZ</t>
  </si>
  <si>
    <t>渝开发</t>
  </si>
  <si>
    <t>重庆渝开发股份有限公司</t>
  </si>
  <si>
    <t>000517.SZ</t>
  </si>
  <si>
    <t>荣安地产</t>
  </si>
  <si>
    <t>荣安地产股份有限公司</t>
  </si>
  <si>
    <t>000560.SZ</t>
  </si>
  <si>
    <t>我爱我家</t>
  </si>
  <si>
    <t>我爱我家控股集团股份有限公司</t>
  </si>
  <si>
    <t>000573.SZ</t>
  </si>
  <si>
    <t>粤宏远A</t>
  </si>
  <si>
    <t>东莞宏远工业区股份有限公司</t>
  </si>
  <si>
    <t>000608.SZ</t>
  </si>
  <si>
    <t>阳光股份</t>
  </si>
  <si>
    <t>阳光新业地产股份有限公司</t>
  </si>
  <si>
    <t>000609.SZ</t>
  </si>
  <si>
    <t>中迪投资</t>
  </si>
  <si>
    <t>北京中迪投资股份有限公司</t>
  </si>
  <si>
    <t>000616.SZ</t>
  </si>
  <si>
    <t>ST海投</t>
  </si>
  <si>
    <t>海航投资集团股份有限公司</t>
  </si>
  <si>
    <t>000620.SZ</t>
  </si>
  <si>
    <t>新华联</t>
  </si>
  <si>
    <t>新华联文化旅游发展股份有限公司</t>
  </si>
  <si>
    <t>000631.SZ</t>
  </si>
  <si>
    <t>顺发恒业</t>
  </si>
  <si>
    <t>顺发恒业股份公司</t>
  </si>
  <si>
    <t>000656.SZ</t>
  </si>
  <si>
    <t>金科股份</t>
  </si>
  <si>
    <t>金科地产集团股份有限公司</t>
  </si>
  <si>
    <t>000667.SZ</t>
  </si>
  <si>
    <t>美好置业</t>
  </si>
  <si>
    <t>美好置业集团股份有限公司</t>
  </si>
  <si>
    <t>000671.SZ</t>
  </si>
  <si>
    <t>阳光城</t>
  </si>
  <si>
    <t>阳光城集团股份有限公司</t>
  </si>
  <si>
    <t>000718.SZ</t>
  </si>
  <si>
    <t>苏宁环球</t>
  </si>
  <si>
    <t>苏宁环球股份有限公司</t>
  </si>
  <si>
    <t>000732.SZ</t>
  </si>
  <si>
    <t>ST泰禾</t>
  </si>
  <si>
    <t>泰禾集团股份有限公司</t>
  </si>
  <si>
    <t>000736.SZ</t>
  </si>
  <si>
    <t>中交地产</t>
  </si>
  <si>
    <t>中交地产股份有限公司</t>
  </si>
  <si>
    <t>000797.SZ</t>
  </si>
  <si>
    <t>中国武夷</t>
  </si>
  <si>
    <t>中国武夷实业股份有限公司</t>
  </si>
  <si>
    <t>000809.SZ</t>
  </si>
  <si>
    <t>ST新城</t>
  </si>
  <si>
    <t>铁岭新城投资控股(集团)股份有限公司</t>
  </si>
  <si>
    <t>000838.SZ</t>
  </si>
  <si>
    <t>财信发展</t>
  </si>
  <si>
    <t>财信地产发展集团股份有限公司</t>
  </si>
  <si>
    <t>000863.SZ</t>
  </si>
  <si>
    <t>三湘印象</t>
  </si>
  <si>
    <t>三湘印象股份有限公司</t>
  </si>
  <si>
    <t>000886.SZ</t>
  </si>
  <si>
    <t>海南高速</t>
  </si>
  <si>
    <t>海南高速公路股份有限公司</t>
  </si>
  <si>
    <t>000897.SZ</t>
  </si>
  <si>
    <t>津滨发展</t>
  </si>
  <si>
    <t>天津津滨发展股份有限公司</t>
  </si>
  <si>
    <t>000918.SZ</t>
  </si>
  <si>
    <t>嘉凯城</t>
  </si>
  <si>
    <t>嘉凯城集团股份有限公司</t>
  </si>
  <si>
    <t>000926.SZ</t>
  </si>
  <si>
    <t>福星股份</t>
  </si>
  <si>
    <t>湖北福星科技股份有限公司</t>
  </si>
  <si>
    <t>000961.SZ</t>
  </si>
  <si>
    <t>中南建设</t>
  </si>
  <si>
    <t>江苏中南建设集团股份有限公司</t>
  </si>
  <si>
    <t>000965.SZ</t>
  </si>
  <si>
    <t>天保基建</t>
  </si>
  <si>
    <t>天津天保基建股份有限公司</t>
  </si>
  <si>
    <t>001914.SZ</t>
  </si>
  <si>
    <t>招商积余</t>
  </si>
  <si>
    <t>招商局积余产业运营服务股份有限公司</t>
  </si>
  <si>
    <t>001979.SZ</t>
  </si>
  <si>
    <t>招商蛇口</t>
  </si>
  <si>
    <t>招商局蛇口工业区控股股份有限公司</t>
  </si>
  <si>
    <t>600007.SH</t>
  </si>
  <si>
    <t>中国国贸</t>
  </si>
  <si>
    <t>中国国际贸易中心股份有限公司</t>
  </si>
  <si>
    <t>600048.SH</t>
  </si>
  <si>
    <t>保利发展</t>
  </si>
  <si>
    <t>保利发展控股集团股份有限公司</t>
  </si>
  <si>
    <t>600064.SH</t>
  </si>
  <si>
    <t>南京高科</t>
  </si>
  <si>
    <t>南京高科股份有限公司</t>
  </si>
  <si>
    <t>600077.SH</t>
  </si>
  <si>
    <t>宋都股份</t>
  </si>
  <si>
    <t>宋都基业投资股份有限公司</t>
  </si>
  <si>
    <t>600082.SH</t>
  </si>
  <si>
    <t>海泰发展</t>
  </si>
  <si>
    <t>天津海泰科技发展股份有限公司</t>
  </si>
  <si>
    <t>600094.SH</t>
  </si>
  <si>
    <t>大名城</t>
  </si>
  <si>
    <t>上海大名城企业股份有限公司</t>
  </si>
  <si>
    <t>600113.SH</t>
  </si>
  <si>
    <t>浙江东日</t>
  </si>
  <si>
    <t>浙江东日股份有限公司</t>
  </si>
  <si>
    <t>600159.SH</t>
  </si>
  <si>
    <t>大龙地产</t>
  </si>
  <si>
    <t>北京市大龙伟业房地产开发股份有限公司</t>
  </si>
  <si>
    <t>600162.SH</t>
  </si>
  <si>
    <t>香江控股</t>
  </si>
  <si>
    <t>深圳香江控股股份有限公司</t>
  </si>
  <si>
    <t>600173.SH</t>
  </si>
  <si>
    <t>卧龙地产</t>
  </si>
  <si>
    <t>卧龙地产集团股份有限公司</t>
  </si>
  <si>
    <t>600185.SH</t>
  </si>
  <si>
    <t>格力地产</t>
  </si>
  <si>
    <t>格力地产股份有限公司</t>
  </si>
  <si>
    <t>600208.SH</t>
  </si>
  <si>
    <t>新湖中宝</t>
  </si>
  <si>
    <t>新湖中宝股份有限公司</t>
  </si>
  <si>
    <t>600223.SH</t>
  </si>
  <si>
    <t>鲁商发展</t>
  </si>
  <si>
    <t>鲁商健康产业发展股份有限公司</t>
  </si>
  <si>
    <t>600239.SH</t>
  </si>
  <si>
    <t>ST云城</t>
  </si>
  <si>
    <t>云南城投置业股份有限公司</t>
  </si>
  <si>
    <t>600246.SH</t>
  </si>
  <si>
    <t>万通发展</t>
  </si>
  <si>
    <t>北京万通新发展集团股份有限公司</t>
  </si>
  <si>
    <t>600266.SH</t>
  </si>
  <si>
    <t>城建发展</t>
  </si>
  <si>
    <t>北京城建投资发展股份有限公司</t>
  </si>
  <si>
    <t>600322.SH</t>
  </si>
  <si>
    <t>天房发展</t>
  </si>
  <si>
    <t>天津市房地产发展(集团)股份有限公司</t>
  </si>
  <si>
    <t>600325.SH</t>
  </si>
  <si>
    <t>华发股份</t>
  </si>
  <si>
    <t>珠海华发实业股份有限公司</t>
  </si>
  <si>
    <t>600340.SH</t>
  </si>
  <si>
    <t>华夏幸福</t>
  </si>
  <si>
    <t>华夏幸福基业股份有限公司</t>
  </si>
  <si>
    <t>600376.SH</t>
  </si>
  <si>
    <t>首开股份</t>
  </si>
  <si>
    <t>北京首都开发股份有限公司</t>
  </si>
  <si>
    <t>600383.SH</t>
  </si>
  <si>
    <t>金地集团</t>
  </si>
  <si>
    <t>金地(集团)股份有限公司</t>
  </si>
  <si>
    <t>600393.SH</t>
  </si>
  <si>
    <t>粤泰股份</t>
  </si>
  <si>
    <t>广州粤泰集团股份有限公司</t>
  </si>
  <si>
    <t>600463.SH</t>
  </si>
  <si>
    <t>空港股份</t>
  </si>
  <si>
    <t>北京空港科技园区股份有限公司</t>
  </si>
  <si>
    <t>600466.SH</t>
  </si>
  <si>
    <t>蓝光发展</t>
  </si>
  <si>
    <t>四川蓝光发展股份有限公司</t>
  </si>
  <si>
    <t>600503.SH</t>
  </si>
  <si>
    <t>华丽家族</t>
  </si>
  <si>
    <t>华丽家族股份有限公司</t>
  </si>
  <si>
    <t>600510.SH</t>
  </si>
  <si>
    <t>黑牡丹</t>
  </si>
  <si>
    <t>黑牡丹(集团)股份有限公司</t>
  </si>
  <si>
    <t>600533.SH</t>
  </si>
  <si>
    <t>栖霞建设</t>
  </si>
  <si>
    <t>南京栖霞建设股份有限公司</t>
  </si>
  <si>
    <t>600565.SH</t>
  </si>
  <si>
    <t>迪马股份</t>
  </si>
  <si>
    <t>重庆市迪马实业股份有限公司</t>
  </si>
  <si>
    <t>600603.SH</t>
  </si>
  <si>
    <t>广汇物流</t>
  </si>
  <si>
    <t>广汇物流股份有限公司</t>
  </si>
  <si>
    <t>600604.SH</t>
  </si>
  <si>
    <t>市北高新</t>
  </si>
  <si>
    <t>上海市北高新股份有限公司</t>
  </si>
  <si>
    <t>600605.SH</t>
  </si>
  <si>
    <t>汇通能源</t>
  </si>
  <si>
    <t>上海汇通能源股份有限公司</t>
  </si>
  <si>
    <t>600622.SH</t>
  </si>
  <si>
    <t>光大嘉宝</t>
  </si>
  <si>
    <t>光大嘉宝股份有限公司</t>
  </si>
  <si>
    <t>600638.SH</t>
  </si>
  <si>
    <t>新黄浦</t>
  </si>
  <si>
    <t>上海新黄浦实业集团股份有限公司</t>
  </si>
  <si>
    <t>600639.SH</t>
  </si>
  <si>
    <t>浦东金桥</t>
  </si>
  <si>
    <t>上海金桥出口加工区开发股份有限公司</t>
  </si>
  <si>
    <t>600641.SH</t>
  </si>
  <si>
    <t>万业企业</t>
  </si>
  <si>
    <t>上海万业企业股份有限公司</t>
  </si>
  <si>
    <t>600648.SH</t>
  </si>
  <si>
    <t>外高桥</t>
  </si>
  <si>
    <t>上海外高桥集团股份有限公司</t>
  </si>
  <si>
    <t>600649.SH</t>
  </si>
  <si>
    <t>城投控股</t>
  </si>
  <si>
    <t>上海城投控股股份有限公司</t>
  </si>
  <si>
    <t>600657.SH</t>
  </si>
  <si>
    <t>信达地产</t>
  </si>
  <si>
    <t>信达地产股份有限公司</t>
  </si>
  <si>
    <t>600658.SH</t>
  </si>
  <si>
    <t>电子城</t>
  </si>
  <si>
    <t>北京电子城高科技集团股份有限公司</t>
  </si>
  <si>
    <t>600663.SH</t>
  </si>
  <si>
    <t>陆家嘴</t>
  </si>
  <si>
    <t>上海陆家嘴金融贸易区开发股份有限公司</t>
  </si>
  <si>
    <t>600665.SH</t>
  </si>
  <si>
    <t>天地源</t>
  </si>
  <si>
    <t>天地源股份有限公司</t>
  </si>
  <si>
    <t>600675.SH</t>
  </si>
  <si>
    <t>中华企业</t>
  </si>
  <si>
    <t>中华企业股份有限公司</t>
  </si>
  <si>
    <t>600683.SH</t>
  </si>
  <si>
    <t>京投发展</t>
  </si>
  <si>
    <t>京投发展股份有限公司</t>
  </si>
  <si>
    <t>600684.SH</t>
  </si>
  <si>
    <t>珠江股份</t>
  </si>
  <si>
    <t>广州珠江发展集团股份有限公司</t>
  </si>
  <si>
    <t>600692.SH</t>
  </si>
  <si>
    <t>亚通股份</t>
  </si>
  <si>
    <t>上海亚通股份有限公司</t>
  </si>
  <si>
    <t>600708.SH</t>
  </si>
  <si>
    <t>光明地产</t>
  </si>
  <si>
    <t>光明房地产集团股份有限公司</t>
  </si>
  <si>
    <t>600716.SH</t>
  </si>
  <si>
    <t>凤凰股份</t>
  </si>
  <si>
    <t>江苏凤凰置业投资股份有限公司</t>
  </si>
  <si>
    <t>600736.SH</t>
  </si>
  <si>
    <t>苏州高新</t>
  </si>
  <si>
    <t>苏州新区高新技术产业股份有限公司</t>
  </si>
  <si>
    <t>600743.SH</t>
  </si>
  <si>
    <t>华远地产</t>
  </si>
  <si>
    <t>华远地产股份有限公司</t>
  </si>
  <si>
    <t>600748.SH</t>
  </si>
  <si>
    <t>上实发展</t>
  </si>
  <si>
    <t>上海实业发展股份有限公司</t>
  </si>
  <si>
    <t>600773.SH</t>
  </si>
  <si>
    <t>西藏城投</t>
  </si>
  <si>
    <t>西藏城市发展投资股份有限公司</t>
  </si>
  <si>
    <t>600791.SH</t>
  </si>
  <si>
    <t>京能置业</t>
  </si>
  <si>
    <t>京能置业股份有限公司</t>
  </si>
  <si>
    <t>600823.SH</t>
  </si>
  <si>
    <t>世茂股份</t>
  </si>
  <si>
    <t>上海世茂股份有限公司</t>
  </si>
  <si>
    <t>600848.SH</t>
  </si>
  <si>
    <t>上海临港</t>
  </si>
  <si>
    <t>上海临港控股股份有限公司</t>
  </si>
  <si>
    <t>600895.SH</t>
  </si>
  <si>
    <t>张江高科</t>
  </si>
  <si>
    <t>上海张江高科技园区开发股份有限公司</t>
  </si>
  <si>
    <t>601155.SH</t>
  </si>
  <si>
    <t>新城控股</t>
  </si>
  <si>
    <t>新城控股集团股份有限公司</t>
  </si>
  <si>
    <t>601512.SH</t>
  </si>
  <si>
    <t>中新集团</t>
  </si>
  <si>
    <t>中新苏州工业园区开发集团股份有限公司</t>
  </si>
  <si>
    <t>601588.SH</t>
  </si>
  <si>
    <t>北辰实业</t>
  </si>
  <si>
    <t>北京北辰实业股份有限公司</t>
  </si>
  <si>
    <t>603506.SH</t>
  </si>
  <si>
    <t>南都物业</t>
  </si>
  <si>
    <t>南都物业服务集团股份有限公司</t>
  </si>
  <si>
    <t>603682.SH</t>
  </si>
  <si>
    <t>锦和商管</t>
  </si>
  <si>
    <t>上海锦和商业经营管理股份有限公司</t>
  </si>
  <si>
    <t>000151.SZ</t>
  </si>
  <si>
    <t>中成股份</t>
  </si>
  <si>
    <t>中成进出口股份有限公司</t>
  </si>
  <si>
    <t>000417.SZ</t>
  </si>
  <si>
    <t>合肥百货</t>
  </si>
  <si>
    <t>合肥百货大楼集团股份有限公司</t>
  </si>
  <si>
    <t>000419.SZ</t>
  </si>
  <si>
    <t>通程控股</t>
  </si>
  <si>
    <t>长沙通程控股股份有限公司</t>
  </si>
  <si>
    <t>000501.SZ</t>
  </si>
  <si>
    <t>武商集团</t>
  </si>
  <si>
    <t>武商集团股份有限公司</t>
  </si>
  <si>
    <t>000564.SZ</t>
  </si>
  <si>
    <t>ST大集</t>
  </si>
  <si>
    <t>供销大集集团股份有限公司</t>
  </si>
  <si>
    <t>000622.SZ</t>
  </si>
  <si>
    <t>恒立实业</t>
  </si>
  <si>
    <t>恒立实业发展集团股份有限公司</t>
  </si>
  <si>
    <t>000626.SZ</t>
  </si>
  <si>
    <t>远大控股</t>
  </si>
  <si>
    <t>远大产业控股股份有限公司</t>
  </si>
  <si>
    <t>000652.SZ</t>
  </si>
  <si>
    <t>泰达股份</t>
  </si>
  <si>
    <t>天津泰达股份有限公司</t>
  </si>
  <si>
    <t>000679.SZ</t>
  </si>
  <si>
    <t>大连友谊</t>
  </si>
  <si>
    <t>大连友谊(集团)股份有限公司</t>
  </si>
  <si>
    <t>000701.SZ</t>
  </si>
  <si>
    <t>厦门信达</t>
  </si>
  <si>
    <t>厦门信达股份有限公司</t>
  </si>
  <si>
    <t>000715.SZ</t>
  </si>
  <si>
    <t>中兴商业</t>
  </si>
  <si>
    <t>中兴-沈阳商业大厦(集团)股份有限公司</t>
  </si>
  <si>
    <t>000759.SZ</t>
  </si>
  <si>
    <t>中百集团</t>
  </si>
  <si>
    <t>中百控股集团股份有限公司</t>
  </si>
  <si>
    <t>000785.SZ</t>
  </si>
  <si>
    <t>居然之家</t>
  </si>
  <si>
    <t>居然之家新零售集团股份有限公司</t>
  </si>
  <si>
    <t>001298.SZ</t>
  </si>
  <si>
    <t>好上好</t>
  </si>
  <si>
    <t>深圳市好上好信息科技股份有限公司</t>
  </si>
  <si>
    <t>001316.SZ</t>
  </si>
  <si>
    <t>润贝航科</t>
  </si>
  <si>
    <t>润贝航空科技股份有限公司</t>
  </si>
  <si>
    <t>600058.SH</t>
  </si>
  <si>
    <t>五矿发展</t>
  </si>
  <si>
    <t>五矿发展股份有限公司</t>
  </si>
  <si>
    <t>600128.SH</t>
  </si>
  <si>
    <t>弘业股份</t>
  </si>
  <si>
    <t>江苏弘业股份有限公司</t>
  </si>
  <si>
    <t>600250.SH</t>
  </si>
  <si>
    <t>南纺股份</t>
  </si>
  <si>
    <t>南京纺织品进出口股份有限公司</t>
  </si>
  <si>
    <t>600278.SH</t>
  </si>
  <si>
    <t>东方创业</t>
  </si>
  <si>
    <t>东方国际创业股份有限公司</t>
  </si>
  <si>
    <t>600280.SH</t>
  </si>
  <si>
    <t>中央商场</t>
  </si>
  <si>
    <t>南京中央商场(集团)股份有限公司</t>
  </si>
  <si>
    <t>600287.SH</t>
  </si>
  <si>
    <t>江苏舜天</t>
  </si>
  <si>
    <t>江苏舜天股份有限公司</t>
  </si>
  <si>
    <t>600301.SH</t>
  </si>
  <si>
    <t>南化股份</t>
  </si>
  <si>
    <t>南宁化工股份有限公司</t>
  </si>
  <si>
    <t>600306.SH</t>
  </si>
  <si>
    <t>ST商城</t>
  </si>
  <si>
    <t>沈阳商业城股份有限公司</t>
  </si>
  <si>
    <t>600361.SH</t>
  </si>
  <si>
    <t>创新新材</t>
  </si>
  <si>
    <t>创新新材料科技股份有限公司</t>
  </si>
  <si>
    <t>600608.SH</t>
  </si>
  <si>
    <t>ST沪科</t>
  </si>
  <si>
    <t>上海宽频科技股份有限公司</t>
  </si>
  <si>
    <t>600628.SH</t>
  </si>
  <si>
    <t>新世界</t>
  </si>
  <si>
    <t>上海新世界股份有限公司</t>
  </si>
  <si>
    <t>600655.SH</t>
  </si>
  <si>
    <t>豫园股份</t>
  </si>
  <si>
    <t>上海豫园旅游商城(集团)股份有限公司</t>
  </si>
  <si>
    <t>600693.SH</t>
  </si>
  <si>
    <t>东百集团</t>
  </si>
  <si>
    <t>福建东百集团股份有限公司</t>
  </si>
  <si>
    <t>600694.SH</t>
  </si>
  <si>
    <t>大商股份</t>
  </si>
  <si>
    <t>大商股份有限公司</t>
  </si>
  <si>
    <t>600697.SH</t>
  </si>
  <si>
    <t>欧亚集团</t>
  </si>
  <si>
    <t>长春欧亚集团股份有限公司</t>
  </si>
  <si>
    <t>600710.SH</t>
  </si>
  <si>
    <t>苏美达</t>
  </si>
  <si>
    <t>苏美达股份有限公司</t>
  </si>
  <si>
    <t>600712.SH</t>
  </si>
  <si>
    <t>南宁百货</t>
  </si>
  <si>
    <t>南宁百货大楼股份有限公司</t>
  </si>
  <si>
    <t>600729.SH</t>
  </si>
  <si>
    <t>重庆百货</t>
  </si>
  <si>
    <t>重庆百货大楼股份有限公司</t>
  </si>
  <si>
    <t>600738.SH</t>
  </si>
  <si>
    <t>丽尚国潮</t>
  </si>
  <si>
    <t>兰州丽尚国潮实业集团股份有限公司</t>
  </si>
  <si>
    <t>600753.SH</t>
  </si>
  <si>
    <t>东方银星</t>
  </si>
  <si>
    <t>福建东方银星投资股份有限公司</t>
  </si>
  <si>
    <t>600778.SH</t>
  </si>
  <si>
    <t>友好集团</t>
  </si>
  <si>
    <t>新疆友好(集团)股份有限公司</t>
  </si>
  <si>
    <t>600785.SH</t>
  </si>
  <si>
    <t>新华百货</t>
  </si>
  <si>
    <t>银川新华百货商业集团股份有限公司</t>
  </si>
  <si>
    <t>600814.SH</t>
  </si>
  <si>
    <t>杭州解百</t>
  </si>
  <si>
    <t>杭州解百集团股份有限公司</t>
  </si>
  <si>
    <t>600822.SH</t>
  </si>
  <si>
    <t>上海物贸</t>
  </si>
  <si>
    <t>上海物资贸易股份有限公司</t>
  </si>
  <si>
    <t>600824.SH</t>
  </si>
  <si>
    <t>益民集团</t>
  </si>
  <si>
    <t>上海益民商业集团股份有限公司</t>
  </si>
  <si>
    <t>600826.SH</t>
  </si>
  <si>
    <t>兰生股份</t>
  </si>
  <si>
    <t>东浩兰生会展集团股份有限公司</t>
  </si>
  <si>
    <t>600827.SH</t>
  </si>
  <si>
    <t>百联股份</t>
  </si>
  <si>
    <t>上海百联集团股份有限公司</t>
  </si>
  <si>
    <t>600828.SH</t>
  </si>
  <si>
    <t>茂业商业</t>
  </si>
  <si>
    <t>茂业商业股份有限公司</t>
  </si>
  <si>
    <t>600838.SH</t>
  </si>
  <si>
    <t>上海九百</t>
  </si>
  <si>
    <t>上海九百股份有限公司</t>
  </si>
  <si>
    <t>600857.SH</t>
  </si>
  <si>
    <t>宁波中百</t>
  </si>
  <si>
    <t>宁波中百股份有限公司</t>
  </si>
  <si>
    <t>600858.SH</t>
  </si>
  <si>
    <t>银座股份</t>
  </si>
  <si>
    <t>银座集团股份有限公司</t>
  </si>
  <si>
    <t>600859.SH</t>
  </si>
  <si>
    <t>王府井</t>
  </si>
  <si>
    <t>王府井集团股份有限公司</t>
  </si>
  <si>
    <t>600861.SH</t>
  </si>
  <si>
    <t>北京城乡</t>
  </si>
  <si>
    <t>北京城乡商业(集团)股份有限公司</t>
  </si>
  <si>
    <t>600865.SH</t>
  </si>
  <si>
    <t>百大集团</t>
  </si>
  <si>
    <t>百大集团股份有限公司</t>
  </si>
  <si>
    <t>600981.SH</t>
  </si>
  <si>
    <t>汇鸿集团</t>
  </si>
  <si>
    <t>江苏汇鸿国际集团股份有限公司</t>
  </si>
  <si>
    <t>601010.SH</t>
  </si>
  <si>
    <t>文峰股份</t>
  </si>
  <si>
    <t>文峰大世界连锁发展股份有限公司</t>
  </si>
  <si>
    <t>601028.SH</t>
  </si>
  <si>
    <t>玉龙股份</t>
  </si>
  <si>
    <t>山东玉龙黄金股份有限公司</t>
  </si>
  <si>
    <t>601086.SH</t>
  </si>
  <si>
    <t>国芳集团</t>
  </si>
  <si>
    <t>甘肃国芳工贸(集团)股份有限公司</t>
  </si>
  <si>
    <t>601116.SH</t>
  </si>
  <si>
    <t>三江购物</t>
  </si>
  <si>
    <t>三江购物俱乐部股份有限公司</t>
  </si>
  <si>
    <t>601366.SH</t>
  </si>
  <si>
    <t>利群股份</t>
  </si>
  <si>
    <t>利群商业集团股份有限公司</t>
  </si>
  <si>
    <t>601933.SH</t>
  </si>
  <si>
    <t>永辉超市</t>
  </si>
  <si>
    <t>永辉超市股份有限公司</t>
  </si>
  <si>
    <t>603031.SH</t>
  </si>
  <si>
    <t>安孚科技</t>
  </si>
  <si>
    <t>安徽安孚电池科技股份有限公司</t>
  </si>
  <si>
    <t>603071.SH</t>
  </si>
  <si>
    <t>物产环能</t>
  </si>
  <si>
    <t>浙江物产环保能源股份有限公司</t>
  </si>
  <si>
    <t>603101.SH</t>
  </si>
  <si>
    <t>汇嘉时代</t>
  </si>
  <si>
    <t>新疆汇嘉时代百货股份有限公司</t>
  </si>
  <si>
    <t>603123.SH</t>
  </si>
  <si>
    <t>翠微股份</t>
  </si>
  <si>
    <t>北京翠微大厦股份有限公司</t>
  </si>
  <si>
    <t>603214.SH</t>
  </si>
  <si>
    <t>爱婴室</t>
  </si>
  <si>
    <t>上海爱婴室商务服务股份有限公司</t>
  </si>
  <si>
    <t>603708.SH</t>
  </si>
  <si>
    <t>家家悦</t>
  </si>
  <si>
    <t>家家悦集团股份有限公司</t>
  </si>
  <si>
    <t>605188.SH</t>
  </si>
  <si>
    <t>国光连锁</t>
  </si>
  <si>
    <t>江西国光商业连锁股份有限公司</t>
  </si>
  <si>
    <t>000069.SZ</t>
  </si>
  <si>
    <t>华侨城A</t>
  </si>
  <si>
    <t>深圳华侨城股份有限公司</t>
  </si>
  <si>
    <t>000428.SZ</t>
  </si>
  <si>
    <t>华天酒店</t>
  </si>
  <si>
    <t>华天酒店集团股份有限公司</t>
  </si>
  <si>
    <t>000430.SZ</t>
  </si>
  <si>
    <t>张家界</t>
  </si>
  <si>
    <t>张家界旅游集团股份有限公司</t>
  </si>
  <si>
    <t>000524.SZ</t>
  </si>
  <si>
    <t>岭南控股</t>
  </si>
  <si>
    <t>广州岭南集团控股股份有限公司</t>
  </si>
  <si>
    <t>000610.SZ</t>
  </si>
  <si>
    <t>西安旅游</t>
  </si>
  <si>
    <t>西安旅游股份有限公司</t>
  </si>
  <si>
    <t>000721.SZ</t>
  </si>
  <si>
    <t>西安饮食</t>
  </si>
  <si>
    <t>西安饮食股份有限公司</t>
  </si>
  <si>
    <t>000796.SZ</t>
  </si>
  <si>
    <t>ST凯撒</t>
  </si>
  <si>
    <t>凯撒同盛发展股份有限公司</t>
  </si>
  <si>
    <t>000888.SZ</t>
  </si>
  <si>
    <t>峨眉山A</t>
  </si>
  <si>
    <t>峨眉山旅游股份有限公司</t>
  </si>
  <si>
    <t>000978.SZ</t>
  </si>
  <si>
    <t>桂林旅游</t>
  </si>
  <si>
    <t>桂林旅游股份有限公司</t>
  </si>
  <si>
    <t>600054.SH</t>
  </si>
  <si>
    <t>黄山旅游</t>
  </si>
  <si>
    <t>黄山旅游发展股份有限公司</t>
  </si>
  <si>
    <t>600138.SH</t>
  </si>
  <si>
    <t>中青旅</t>
  </si>
  <si>
    <t>中青旅控股股份有限公司</t>
  </si>
  <si>
    <t>600258.SH</t>
  </si>
  <si>
    <t>首旅酒店</t>
  </si>
  <si>
    <t>北京首旅酒店(集团)股份有限公司</t>
  </si>
  <si>
    <t>600358.SH</t>
  </si>
  <si>
    <t>国旅联合</t>
  </si>
  <si>
    <t>国旅文化投资集团股份有限公司</t>
  </si>
  <si>
    <t>600593.SH</t>
  </si>
  <si>
    <t>大连圣亚</t>
  </si>
  <si>
    <t>大连圣亚旅游控股股份有限公司</t>
  </si>
  <si>
    <t>600706.SH</t>
  </si>
  <si>
    <t>曲江文旅</t>
  </si>
  <si>
    <t>西安曲江文化旅游股份有限公司</t>
  </si>
  <si>
    <t>600749.SH</t>
  </si>
  <si>
    <t>西藏旅游</t>
  </si>
  <si>
    <t>西藏旅游股份有限公司</t>
  </si>
  <si>
    <t>600754.SH</t>
  </si>
  <si>
    <t>锦江酒店</t>
  </si>
  <si>
    <t>上海锦江国际酒店股份有限公司</t>
  </si>
  <si>
    <t>601007.SH</t>
  </si>
  <si>
    <t>金陵饭店</t>
  </si>
  <si>
    <t>金陵饭店股份有限公司</t>
  </si>
  <si>
    <t>601888.SH</t>
  </si>
  <si>
    <t>中国中免</t>
  </si>
  <si>
    <t>中国旅游集团中免股份有限公司</t>
  </si>
  <si>
    <t>603099.SH</t>
  </si>
  <si>
    <t>长白山</t>
  </si>
  <si>
    <t>长白山旅游股份有限公司</t>
  </si>
  <si>
    <t>603136.SH</t>
  </si>
  <si>
    <t>天目湖</t>
  </si>
  <si>
    <t>江苏天目湖旅游股份有限公司</t>
  </si>
  <si>
    <t>603199.SH</t>
  </si>
  <si>
    <t>九华旅游</t>
  </si>
  <si>
    <t>安徽九华山旅游发展股份有限公司</t>
  </si>
  <si>
    <t>605108.SH</t>
  </si>
  <si>
    <t>同庆楼</t>
  </si>
  <si>
    <t>同庆楼餐饮股份有限公司</t>
  </si>
  <si>
    <t>000001.SZ</t>
  </si>
  <si>
    <t>平安银行</t>
  </si>
  <si>
    <t>平安银行股份有限公司</t>
  </si>
  <si>
    <t>001227.SZ</t>
  </si>
  <si>
    <t>兰州银行</t>
  </si>
  <si>
    <t>兰州银行股份有限公司</t>
  </si>
  <si>
    <t>600000.SH</t>
  </si>
  <si>
    <t>浦发银行</t>
  </si>
  <si>
    <t>上海浦东发展银行股份有限公司</t>
  </si>
  <si>
    <t>600015.SH</t>
  </si>
  <si>
    <t>华夏银行</t>
  </si>
  <si>
    <t>华夏银行股份有限公司</t>
  </si>
  <si>
    <t>600016.SH</t>
  </si>
  <si>
    <t>民生银行</t>
  </si>
  <si>
    <t>中国民生银行股份有限公司</t>
  </si>
  <si>
    <t>600036.SH</t>
  </si>
  <si>
    <t>招商银行</t>
  </si>
  <si>
    <t>招商银行股份有限公司</t>
  </si>
  <si>
    <t>600908.SH</t>
  </si>
  <si>
    <t>无锡银行</t>
  </si>
  <si>
    <t>无锡农村商业银行股份有限公司</t>
  </si>
  <si>
    <t>600919.SH</t>
  </si>
  <si>
    <t>江苏银行</t>
  </si>
  <si>
    <t>江苏银行股份有限公司</t>
  </si>
  <si>
    <t>600926.SH</t>
  </si>
  <si>
    <t>杭州银行</t>
  </si>
  <si>
    <t>杭州银行股份有限公司</t>
  </si>
  <si>
    <t>600928.SH</t>
  </si>
  <si>
    <t>西安银行</t>
  </si>
  <si>
    <t>西安银行股份有限公司</t>
  </si>
  <si>
    <t>601009.SH</t>
  </si>
  <si>
    <t>南京银行</t>
  </si>
  <si>
    <t>南京银行股份有限公司</t>
  </si>
  <si>
    <t>601077.SH</t>
  </si>
  <si>
    <t>渝农商行</t>
  </si>
  <si>
    <t>重庆农村商业银行股份有限公司</t>
  </si>
  <si>
    <t>601128.SH</t>
  </si>
  <si>
    <t>常熟银行</t>
  </si>
  <si>
    <t>江苏常熟农村商业银行股份有限公司</t>
  </si>
  <si>
    <t>601166.SH</t>
  </si>
  <si>
    <t>兴业银行</t>
  </si>
  <si>
    <t>兴业银行股份有限公司</t>
  </si>
  <si>
    <t>601169.SH</t>
  </si>
  <si>
    <t>北京银行</t>
  </si>
  <si>
    <t>北京银行股份有限公司</t>
  </si>
  <si>
    <t>601187.SH</t>
  </si>
  <si>
    <t>厦门银行</t>
  </si>
  <si>
    <t>厦门银行股份有限公司</t>
  </si>
  <si>
    <t>601229.SH</t>
  </si>
  <si>
    <t>上海银行</t>
  </si>
  <si>
    <t>上海银行股份有限公司</t>
  </si>
  <si>
    <t>601288.SH</t>
  </si>
  <si>
    <t>农业银行</t>
  </si>
  <si>
    <t>中国农业银行股份有限公司</t>
  </si>
  <si>
    <t>601328.SH</t>
  </si>
  <si>
    <t>交通银行</t>
  </si>
  <si>
    <t>交通银行股份有限公司</t>
  </si>
  <si>
    <t>601398.SH</t>
  </si>
  <si>
    <t>工商银行</t>
  </si>
  <si>
    <t>中国工商银行股份有限公司</t>
  </si>
  <si>
    <t>601528.SH</t>
  </si>
  <si>
    <t>瑞丰银行</t>
  </si>
  <si>
    <t>浙江绍兴瑞丰农村商业银行股份有限公司</t>
  </si>
  <si>
    <t>601577.SH</t>
  </si>
  <si>
    <t>长沙银行</t>
  </si>
  <si>
    <t>长沙银行股份有限公司</t>
  </si>
  <si>
    <t>601658.SH</t>
  </si>
  <si>
    <t>邮储银行</t>
  </si>
  <si>
    <t>中国邮政储蓄银行股份有限公司</t>
  </si>
  <si>
    <t>601665.SH</t>
  </si>
  <si>
    <t>齐鲁银行</t>
  </si>
  <si>
    <t>齐鲁银行股份有限公司</t>
  </si>
  <si>
    <t>601818.SH</t>
  </si>
  <si>
    <t>光大银行</t>
  </si>
  <si>
    <t>中国光大银行股份有限公司</t>
  </si>
  <si>
    <t>601825.SH</t>
  </si>
  <si>
    <t>沪农商行</t>
  </si>
  <si>
    <t>上海农村商业银行股份有限公司</t>
  </si>
  <si>
    <t>601838.SH</t>
  </si>
  <si>
    <t>成都银行</t>
  </si>
  <si>
    <t>成都银行股份有限公司</t>
  </si>
  <si>
    <t>601860.SH</t>
  </si>
  <si>
    <t>紫金银行</t>
  </si>
  <si>
    <t>江苏紫金农村商业银行股份有限公司</t>
  </si>
  <si>
    <t>601916.SH</t>
  </si>
  <si>
    <t>浙商银行</t>
  </si>
  <si>
    <t>浙商银行股份有限公司</t>
  </si>
  <si>
    <t>601939.SH</t>
  </si>
  <si>
    <t>建设银行</t>
  </si>
  <si>
    <t>中国建设银行股份有限公司</t>
  </si>
  <si>
    <t>601963.SH</t>
  </si>
  <si>
    <t>重庆银行</t>
  </si>
  <si>
    <t>重庆银行股份有限公司</t>
  </si>
  <si>
    <t>601988.SH</t>
  </si>
  <si>
    <t>中国银行</t>
  </si>
  <si>
    <t>中国银行股份有限公司</t>
  </si>
  <si>
    <t>601997.SH</t>
  </si>
  <si>
    <t>贵阳银行</t>
  </si>
  <si>
    <t>贵阳银行股份有限公司</t>
  </si>
  <si>
    <t>601998.SH</t>
  </si>
  <si>
    <t>中信银行</t>
  </si>
  <si>
    <t>中信银行股份有限公司</t>
  </si>
  <si>
    <t>603323.SH</t>
  </si>
  <si>
    <t>苏农银行</t>
  </si>
  <si>
    <t>江苏苏州农村商业银行股份有限公司</t>
  </si>
  <si>
    <t>000046.SZ</t>
  </si>
  <si>
    <t>泛海控股</t>
  </si>
  <si>
    <t>泛海控股股份有限公司</t>
  </si>
  <si>
    <t>000166.SZ</t>
  </si>
  <si>
    <t>申万宏源</t>
  </si>
  <si>
    <t>申万宏源集团股份有限公司</t>
  </si>
  <si>
    <t>000415.SZ</t>
  </si>
  <si>
    <t>渤海租赁</t>
  </si>
  <si>
    <t>渤海租赁股份有限公司</t>
  </si>
  <si>
    <t>000416.SZ</t>
  </si>
  <si>
    <t>民生控股</t>
  </si>
  <si>
    <t>民生控股股份有限公司</t>
  </si>
  <si>
    <t>000532.SZ</t>
  </si>
  <si>
    <t>华金资本</t>
  </si>
  <si>
    <t>珠海华金资本股份有限公司</t>
  </si>
  <si>
    <t>000540.SZ</t>
  </si>
  <si>
    <t>中天金融</t>
  </si>
  <si>
    <t>中天金融集团股份有限公司</t>
  </si>
  <si>
    <t>000563.SZ</t>
  </si>
  <si>
    <t>陕国投A</t>
  </si>
  <si>
    <t>陕西省国际信托股份有限公司</t>
  </si>
  <si>
    <t>000567.SZ</t>
  </si>
  <si>
    <t>海德股份</t>
  </si>
  <si>
    <t>海南海德资本管理股份有限公司</t>
  </si>
  <si>
    <t>000617.SZ</t>
  </si>
  <si>
    <t>中油资本</t>
  </si>
  <si>
    <t>中国石油集团资本股份有限公司</t>
  </si>
  <si>
    <t>000627.SZ</t>
  </si>
  <si>
    <t>天茂集团</t>
  </si>
  <si>
    <t>天茂实业集团股份有限公司</t>
  </si>
  <si>
    <t>000666.SZ</t>
  </si>
  <si>
    <t>经纬纺机</t>
  </si>
  <si>
    <t>经纬纺织机械股份有限公司</t>
  </si>
  <si>
    <t>000686.SZ</t>
  </si>
  <si>
    <t>东北证券</t>
  </si>
  <si>
    <t>东北证券股份有限公司</t>
  </si>
  <si>
    <t>000712.SZ</t>
  </si>
  <si>
    <t>锦龙股份</t>
  </si>
  <si>
    <t>广东锦龙发展股份有限公司</t>
  </si>
  <si>
    <t>000728.SZ</t>
  </si>
  <si>
    <t>国元证券</t>
  </si>
  <si>
    <t>国元证券股份有限公司</t>
  </si>
  <si>
    <t>000750.SZ</t>
  </si>
  <si>
    <t>国海证券</t>
  </si>
  <si>
    <t>国海证券股份有限公司</t>
  </si>
  <si>
    <t>000776.SZ</t>
  </si>
  <si>
    <t>广发证券</t>
  </si>
  <si>
    <t>广发证券股份有限公司</t>
  </si>
  <si>
    <t>000783.SZ</t>
  </si>
  <si>
    <t>长江证券</t>
  </si>
  <si>
    <t>长江证券股份有限公司</t>
  </si>
  <si>
    <t>000958.SZ</t>
  </si>
  <si>
    <t>电投产融</t>
  </si>
  <si>
    <t>国家电投集团产融控股股份有限公司</t>
  </si>
  <si>
    <t>000987.SZ</t>
  </si>
  <si>
    <t>越秀资本</t>
  </si>
  <si>
    <t>广州越秀资本控股集团股份有限公司</t>
  </si>
  <si>
    <t>001236.SZ</t>
  </si>
  <si>
    <t>弘业期货</t>
  </si>
  <si>
    <t>弘业期货股份有限公司</t>
  </si>
  <si>
    <t>600030.SH</t>
  </si>
  <si>
    <t>中信证券</t>
  </si>
  <si>
    <t>中信证券股份有限公司</t>
  </si>
  <si>
    <t>600053.SH</t>
  </si>
  <si>
    <t>九鼎投资</t>
  </si>
  <si>
    <t>昆吾九鼎投资控股股份有限公司</t>
  </si>
  <si>
    <t>600061.SH</t>
  </si>
  <si>
    <t>国投资本</t>
  </si>
  <si>
    <t>国投资本股份有限公司</t>
  </si>
  <si>
    <t>600095.SH</t>
  </si>
  <si>
    <t>湘财股份</t>
  </si>
  <si>
    <t>湘财股份有限公司</t>
  </si>
  <si>
    <t>600109.SH</t>
  </si>
  <si>
    <t>国金证券</t>
  </si>
  <si>
    <t>国金证券股份有限公司</t>
  </si>
  <si>
    <t>600120.SH</t>
  </si>
  <si>
    <t>浙江东方</t>
  </si>
  <si>
    <t>浙江东方金融控股集团股份有限公司</t>
  </si>
  <si>
    <t>600155.SH</t>
  </si>
  <si>
    <t>华创阳安</t>
  </si>
  <si>
    <t>华创阳安股份有限公司</t>
  </si>
  <si>
    <t>600318.SH</t>
  </si>
  <si>
    <t>新力金融</t>
  </si>
  <si>
    <t>安徽新力金融股份有限公司</t>
  </si>
  <si>
    <t>600369.SH</t>
  </si>
  <si>
    <t>西南证券</t>
  </si>
  <si>
    <t>西南证券股份有限公司</t>
  </si>
  <si>
    <t>600390.SH</t>
  </si>
  <si>
    <t>五矿资本</t>
  </si>
  <si>
    <t>五矿资本股份有限公司</t>
  </si>
  <si>
    <t>600517.SH</t>
  </si>
  <si>
    <t>国网英大</t>
  </si>
  <si>
    <t>国网英大股份有限公司</t>
  </si>
  <si>
    <t>600621.SH</t>
  </si>
  <si>
    <t>华鑫股份</t>
  </si>
  <si>
    <t>上海华鑫股份有限公司</t>
  </si>
  <si>
    <t>600643.SH</t>
  </si>
  <si>
    <t>爱建集团</t>
  </si>
  <si>
    <t>上海爱建集团股份有限公司</t>
  </si>
  <si>
    <t>600705.SH</t>
  </si>
  <si>
    <t>中航产融</t>
  </si>
  <si>
    <t>中航工业产融控股股份有限公司</t>
  </si>
  <si>
    <t>600783.SH</t>
  </si>
  <si>
    <t>鲁信创投</t>
  </si>
  <si>
    <t>鲁信创业投资集团股份有限公司</t>
  </si>
  <si>
    <t>600816.SH</t>
  </si>
  <si>
    <t>ST安信</t>
  </si>
  <si>
    <t>安信信托股份有限公司</t>
  </si>
  <si>
    <t>600830.SH</t>
  </si>
  <si>
    <t>香溢融通</t>
  </si>
  <si>
    <t>香溢融通控股集团股份有限公司</t>
  </si>
  <si>
    <t>600837.SH</t>
  </si>
  <si>
    <t>海通证券</t>
  </si>
  <si>
    <t>海通证券股份有限公司</t>
  </si>
  <si>
    <t>600864.SH</t>
  </si>
  <si>
    <t>哈投股份</t>
  </si>
  <si>
    <t>哈尔滨哈投投资股份有限公司</t>
  </si>
  <si>
    <t>600901.SH</t>
  </si>
  <si>
    <t>江苏金租</t>
  </si>
  <si>
    <t>江苏金融租赁股份有限公司</t>
  </si>
  <si>
    <t>600906.SH</t>
  </si>
  <si>
    <t>财达证券</t>
  </si>
  <si>
    <t>财达证券股份有限公司</t>
  </si>
  <si>
    <t>600909.SH</t>
  </si>
  <si>
    <t>华安证券</t>
  </si>
  <si>
    <t>华安证券股份有限公司</t>
  </si>
  <si>
    <t>600918.SH</t>
  </si>
  <si>
    <t>中泰证券</t>
  </si>
  <si>
    <t>中泰证券股份有限公司</t>
  </si>
  <si>
    <t>600927.SH</t>
  </si>
  <si>
    <t>永安期货</t>
  </si>
  <si>
    <t>永安期货股份有限公司</t>
  </si>
  <si>
    <t>600958.SH</t>
  </si>
  <si>
    <t>东方证券</t>
  </si>
  <si>
    <t>东方证券股份有限公司</t>
  </si>
  <si>
    <t>600999.SH</t>
  </si>
  <si>
    <t>招商证券</t>
  </si>
  <si>
    <t>招商证券股份有限公司</t>
  </si>
  <si>
    <t>601066.SH</t>
  </si>
  <si>
    <t>中信建投</t>
  </si>
  <si>
    <t>中信建投证券股份有限公司</t>
  </si>
  <si>
    <t>601099.SH</t>
  </si>
  <si>
    <t>太平洋</t>
  </si>
  <si>
    <t>太平洋证券股份有限公司</t>
  </si>
  <si>
    <t>601108.SH</t>
  </si>
  <si>
    <t>财通证券</t>
  </si>
  <si>
    <t>财通证券股份有限公司</t>
  </si>
  <si>
    <t>601136.SH</t>
  </si>
  <si>
    <t>首创证券</t>
  </si>
  <si>
    <t>首创证券股份有限公司</t>
  </si>
  <si>
    <t>601162.SH</t>
  </si>
  <si>
    <t>天风证券</t>
  </si>
  <si>
    <t>天风证券股份有限公司</t>
  </si>
  <si>
    <t>601198.SH</t>
  </si>
  <si>
    <t>东兴证券</t>
  </si>
  <si>
    <t>东兴证券股份有限公司</t>
  </si>
  <si>
    <t>601211.SH</t>
  </si>
  <si>
    <t>国泰君安</t>
  </si>
  <si>
    <t>国泰君安证券股份有限公司</t>
  </si>
  <si>
    <t>601236.SH</t>
  </si>
  <si>
    <t>红塔证券</t>
  </si>
  <si>
    <t>红塔证券股份有限公司</t>
  </si>
  <si>
    <t>601318.SH</t>
  </si>
  <si>
    <t>中国平安</t>
  </si>
  <si>
    <t>中国平安保险(集团)股份有限公司</t>
  </si>
  <si>
    <t>601319.SH</t>
  </si>
  <si>
    <t>中国人保</t>
  </si>
  <si>
    <t>中国人民保险集团股份有限公司</t>
  </si>
  <si>
    <t>601336.SH</t>
  </si>
  <si>
    <t>新华保险</t>
  </si>
  <si>
    <t>新华人寿保险股份有限公司</t>
  </si>
  <si>
    <t>601375.SH</t>
  </si>
  <si>
    <t>中原证券</t>
  </si>
  <si>
    <t>中原证券股份有限公司</t>
  </si>
  <si>
    <t>601377.SH</t>
  </si>
  <si>
    <t>兴业证券</t>
  </si>
  <si>
    <t>兴业证券股份有限公司</t>
  </si>
  <si>
    <t>601456.SH</t>
  </si>
  <si>
    <t>国联证券</t>
  </si>
  <si>
    <t>国联证券股份有限公司</t>
  </si>
  <si>
    <t>601555.SH</t>
  </si>
  <si>
    <t>东吴证券</t>
  </si>
  <si>
    <t>东吴证券股份有限公司</t>
  </si>
  <si>
    <t>601601.SH</t>
  </si>
  <si>
    <t>中国太保</t>
  </si>
  <si>
    <t>中国太平洋保险(集团)股份有限公司</t>
  </si>
  <si>
    <t>601628.SH</t>
  </si>
  <si>
    <t>中国人寿</t>
  </si>
  <si>
    <t>中国人寿保险股份有限公司</t>
  </si>
  <si>
    <t>601688.SH</t>
  </si>
  <si>
    <t>华泰证券</t>
  </si>
  <si>
    <t>华泰证券股份有限公司</t>
  </si>
  <si>
    <t>601696.SH</t>
  </si>
  <si>
    <t>中银证券</t>
  </si>
  <si>
    <t>中银国际证券股份有限公司</t>
  </si>
  <si>
    <t>601788.SH</t>
  </si>
  <si>
    <t>光大证券</t>
  </si>
  <si>
    <t>光大证券股份有限公司</t>
  </si>
  <si>
    <t>601878.SH</t>
  </si>
  <si>
    <t>浙商证券</t>
  </si>
  <si>
    <t>浙商证券股份有限公司</t>
  </si>
  <si>
    <t>601881.SH</t>
  </si>
  <si>
    <t>中国银河</t>
  </si>
  <si>
    <t>中国银河证券股份有限公司</t>
  </si>
  <si>
    <t>601901.SH</t>
  </si>
  <si>
    <t>方正证券</t>
  </si>
  <si>
    <t>方正证券股份有限公司</t>
  </si>
  <si>
    <t>601990.SH</t>
  </si>
  <si>
    <t>南京证券</t>
  </si>
  <si>
    <t>南京证券股份有限公司</t>
  </si>
  <si>
    <t>601995.SH</t>
  </si>
  <si>
    <t>中金公司</t>
  </si>
  <si>
    <t>中国国际金融股份有限公司</t>
  </si>
  <si>
    <t>603093.SH</t>
  </si>
  <si>
    <t>南华期货</t>
  </si>
  <si>
    <t>南华期货股份有限公司</t>
  </si>
  <si>
    <t>603300.SH</t>
  </si>
  <si>
    <t>华铁应急</t>
  </si>
  <si>
    <t>浙江华铁应急设备科技股份有限公司</t>
  </si>
  <si>
    <t>000038.SZ</t>
  </si>
  <si>
    <t>*ST大通</t>
  </si>
  <si>
    <t>深圳大通实业股份有限公司</t>
  </si>
  <si>
    <t>000632.SZ</t>
  </si>
  <si>
    <t>三木集团</t>
  </si>
  <si>
    <t>福建三木集团股份有限公司</t>
  </si>
  <si>
    <t>000839.SZ</t>
  </si>
  <si>
    <t>ST国安</t>
  </si>
  <si>
    <t>中信国安信息产业股份有限公司</t>
  </si>
  <si>
    <t>000881.SZ</t>
  </si>
  <si>
    <t>中广核技</t>
  </si>
  <si>
    <t>中广核核技术发展股份有限公司</t>
  </si>
  <si>
    <t>000909.SZ</t>
  </si>
  <si>
    <t>数源科技</t>
  </si>
  <si>
    <t>数源科技股份有限公司</t>
  </si>
  <si>
    <t>600051.SH</t>
  </si>
  <si>
    <t>宁波联合</t>
  </si>
  <si>
    <t>宁波联合集团股份有限公司</t>
  </si>
  <si>
    <t>600083.SH</t>
  </si>
  <si>
    <t>博信股份</t>
  </si>
  <si>
    <t>江苏博信投资控股股份有限公司</t>
  </si>
  <si>
    <t>600139.SH</t>
  </si>
  <si>
    <t>*ST西源</t>
  </si>
  <si>
    <t>四川西部资源控股股份有限公司</t>
  </si>
  <si>
    <t>600149.SH</t>
  </si>
  <si>
    <t>廊坊发展</t>
  </si>
  <si>
    <t>廊坊发展股份有限公司</t>
  </si>
  <si>
    <t>600212.SH</t>
  </si>
  <si>
    <t>绿能慧充</t>
  </si>
  <si>
    <t>绿能慧充数字能源技术股份有限公司</t>
  </si>
  <si>
    <t>600234.SH</t>
  </si>
  <si>
    <t>科新发展</t>
  </si>
  <si>
    <t>山西科新发展股份有限公司</t>
  </si>
  <si>
    <t>600620.SH</t>
  </si>
  <si>
    <t>天宸股份</t>
  </si>
  <si>
    <t>上海市天宸股份有限公司</t>
  </si>
  <si>
    <t>600647.SH</t>
  </si>
  <si>
    <t>同达创业</t>
  </si>
  <si>
    <t>上海同达创业投资股份有限公司</t>
  </si>
  <si>
    <t>600730.SH</t>
  </si>
  <si>
    <t>中国高科</t>
  </si>
  <si>
    <t>中国高科集团股份有限公司</t>
  </si>
  <si>
    <t>600770.SH</t>
  </si>
  <si>
    <t>综艺股份</t>
  </si>
  <si>
    <t>江苏综艺股份有限公司</t>
  </si>
  <si>
    <t>600784.SH</t>
  </si>
  <si>
    <t>鲁银投资</t>
  </si>
  <si>
    <t>鲁银投资集团股份有限公司</t>
  </si>
  <si>
    <t>600805.SH</t>
  </si>
  <si>
    <t>悦达投资</t>
  </si>
  <si>
    <t>江苏悦达投资股份有限公司</t>
  </si>
  <si>
    <t>000012.SZ</t>
  </si>
  <si>
    <t>南玻A</t>
  </si>
  <si>
    <t>中国南玻集团股份有限公司</t>
  </si>
  <si>
    <t>000023.SZ</t>
  </si>
  <si>
    <t>深天地A</t>
  </si>
  <si>
    <t>深圳市天地(集团)股份有限公司</t>
  </si>
  <si>
    <t>000401.SZ</t>
  </si>
  <si>
    <t>冀东水泥</t>
  </si>
  <si>
    <t>唐山冀东水泥股份有限公司</t>
  </si>
  <si>
    <t>000565.SZ</t>
  </si>
  <si>
    <t>渝三峡A</t>
  </si>
  <si>
    <t>重庆三峡油漆股份有限公司</t>
  </si>
  <si>
    <t>000619.SZ</t>
  </si>
  <si>
    <t>海螺新材</t>
  </si>
  <si>
    <t>海螺(安徽)节能环保新材料股份有限公司</t>
  </si>
  <si>
    <t>000672.SZ</t>
  </si>
  <si>
    <t>上峰水泥</t>
  </si>
  <si>
    <t>甘肃上峰水泥股份有限公司</t>
  </si>
  <si>
    <t>000722.SZ</t>
  </si>
  <si>
    <t>湖南发展</t>
  </si>
  <si>
    <t>湖南发展集团股份有限公司</t>
  </si>
  <si>
    <t>000786.SZ</t>
  </si>
  <si>
    <t>北新建材</t>
  </si>
  <si>
    <t>北新集团建材股份有限公司</t>
  </si>
  <si>
    <t>000789.SZ</t>
  </si>
  <si>
    <t>万年青</t>
  </si>
  <si>
    <t>江西万年青水泥股份有限公司</t>
  </si>
  <si>
    <t>000877.SZ</t>
  </si>
  <si>
    <t>天山股份</t>
  </si>
  <si>
    <t>新疆天山水泥股份有限公司</t>
  </si>
  <si>
    <t>000935.SZ</t>
  </si>
  <si>
    <t>四川双马</t>
  </si>
  <si>
    <t>四川和谐双马股份有限公司</t>
  </si>
  <si>
    <t>001212.SZ</t>
  </si>
  <si>
    <t>中旗新材</t>
  </si>
  <si>
    <t>广东中旗新材料股份有限公司</t>
  </si>
  <si>
    <t>001296.SZ</t>
  </si>
  <si>
    <t>长江材料</t>
  </si>
  <si>
    <t>重庆长江造型材料(集团)股份有限公司</t>
  </si>
  <si>
    <t>600076.SH</t>
  </si>
  <si>
    <t>康欣新材</t>
  </si>
  <si>
    <t>康欣新材料股份有限公司</t>
  </si>
  <si>
    <t>600176.SH</t>
  </si>
  <si>
    <t>中国巨石</t>
  </si>
  <si>
    <t>中国巨石股份有限公司</t>
  </si>
  <si>
    <t>600293.SH</t>
  </si>
  <si>
    <t>三峡新材</t>
  </si>
  <si>
    <t>湖北三峡新型建材股份有限公司</t>
  </si>
  <si>
    <t>600321.SH</t>
  </si>
  <si>
    <t>正源股份</t>
  </si>
  <si>
    <t>正源控股股份有限公司</t>
  </si>
  <si>
    <t>600326.SH</t>
  </si>
  <si>
    <t>西藏天路</t>
  </si>
  <si>
    <t>西藏天路股份有限公司</t>
  </si>
  <si>
    <t>600352.SH</t>
  </si>
  <si>
    <t>浙江龙盛</t>
  </si>
  <si>
    <t>浙江龙盛集团股份有限公司</t>
  </si>
  <si>
    <t>600425.SH</t>
  </si>
  <si>
    <t>青松建化</t>
  </si>
  <si>
    <t>新疆青松建材化工(集团)股份有限公司</t>
  </si>
  <si>
    <t>600449.SH</t>
  </si>
  <si>
    <t>宁夏建材</t>
  </si>
  <si>
    <t>宁夏建材集团股份有限公司</t>
  </si>
  <si>
    <t>600585.SH</t>
  </si>
  <si>
    <t>海螺水泥</t>
  </si>
  <si>
    <t>安徽海螺水泥股份有限公司</t>
  </si>
  <si>
    <t>600586.SH</t>
  </si>
  <si>
    <t>金晶科技</t>
  </si>
  <si>
    <t>山东金晶科技股份有限公司</t>
  </si>
  <si>
    <t>600668.SH</t>
  </si>
  <si>
    <t>尖峰集团</t>
  </si>
  <si>
    <t>浙江尖峰集团股份有限公司</t>
  </si>
  <si>
    <t>600678.SH</t>
  </si>
  <si>
    <t>四川金顶</t>
  </si>
  <si>
    <t>四川金顶(集团)股份有限公司</t>
  </si>
  <si>
    <t>600720.SH</t>
  </si>
  <si>
    <t>祁连山</t>
  </si>
  <si>
    <t>甘肃祁连山水泥集团股份有限公司</t>
  </si>
  <si>
    <t>600724.SH</t>
  </si>
  <si>
    <t>宁波富达</t>
  </si>
  <si>
    <t>宁波富达股份有限公司</t>
  </si>
  <si>
    <t>600801.SH</t>
  </si>
  <si>
    <t>华新水泥</t>
  </si>
  <si>
    <t>华新水泥股份有限公司</t>
  </si>
  <si>
    <t>600802.SH</t>
  </si>
  <si>
    <t>福建水泥</t>
  </si>
  <si>
    <t>福建水泥股份有限公司</t>
  </si>
  <si>
    <t>600819.SH</t>
  </si>
  <si>
    <t>耀皮玻璃</t>
  </si>
  <si>
    <t>上海耀皮玻璃集团股份有限公司</t>
  </si>
  <si>
    <t>600876.SH</t>
  </si>
  <si>
    <t>洛阳玻璃</t>
  </si>
  <si>
    <t>洛阳玻璃股份有限公司</t>
  </si>
  <si>
    <t>600881.SH</t>
  </si>
  <si>
    <t>亚泰集团</t>
  </si>
  <si>
    <t>吉林亚泰(集团)股份有限公司</t>
  </si>
  <si>
    <t>601636.SH</t>
  </si>
  <si>
    <t>旗滨集团</t>
  </si>
  <si>
    <t>株洲旗滨集团股份有限公司</t>
  </si>
  <si>
    <t>601865.SH</t>
  </si>
  <si>
    <t>福莱特</t>
  </si>
  <si>
    <t>福莱特玻璃集团股份有限公司</t>
  </si>
  <si>
    <t>601992.SH</t>
  </si>
  <si>
    <t>金隅集团</t>
  </si>
  <si>
    <t>北京金隅集团股份有限公司</t>
  </si>
  <si>
    <t>603110.SH</t>
  </si>
  <si>
    <t>东方材料</t>
  </si>
  <si>
    <t>新东方新材料股份有限公司</t>
  </si>
  <si>
    <t>603188.SH</t>
  </si>
  <si>
    <t>亚邦股份</t>
  </si>
  <si>
    <t>江苏亚邦染料股份有限公司</t>
  </si>
  <si>
    <t>603256.SH</t>
  </si>
  <si>
    <t>宏和科技</t>
  </si>
  <si>
    <t>宏和电子材料科技股份有限公司</t>
  </si>
  <si>
    <t>603378.SH</t>
  </si>
  <si>
    <t>亚士创能</t>
  </si>
  <si>
    <t>亚士创能科技(上海)股份有限公司</t>
  </si>
  <si>
    <t>603578.SH</t>
  </si>
  <si>
    <t>三星新材</t>
  </si>
  <si>
    <t>浙江三星新材股份有限公司</t>
  </si>
  <si>
    <t>603601.SH</t>
  </si>
  <si>
    <t>再升科技</t>
  </si>
  <si>
    <t>重庆再升科技股份有限公司</t>
  </si>
  <si>
    <t>603616.SH</t>
  </si>
  <si>
    <t>韩建河山</t>
  </si>
  <si>
    <t>北京韩建河山管业股份有限公司</t>
  </si>
  <si>
    <t>603737.SH</t>
  </si>
  <si>
    <t>三棵树</t>
  </si>
  <si>
    <t>三棵树涂料股份有限公司</t>
  </si>
  <si>
    <t>603790.SH</t>
  </si>
  <si>
    <t>雅运股份</t>
  </si>
  <si>
    <t>上海雅运纺织化工股份有限公司</t>
  </si>
  <si>
    <t>603823.SH</t>
  </si>
  <si>
    <t>百合花</t>
  </si>
  <si>
    <t>百合花集团股份有限公司</t>
  </si>
  <si>
    <t>603826.SH</t>
  </si>
  <si>
    <t>坤彩科技</t>
  </si>
  <si>
    <t>福建坤彩材料科技股份有限公司</t>
  </si>
  <si>
    <t>603969.SH</t>
  </si>
  <si>
    <t>银龙股份</t>
  </si>
  <si>
    <t>天津银龙预应力材料股份有限公司</t>
  </si>
  <si>
    <t>603980.SH</t>
  </si>
  <si>
    <t>吉华集团</t>
  </si>
  <si>
    <t>浙江吉华集团股份有限公司</t>
  </si>
  <si>
    <t>605006.SH</t>
  </si>
  <si>
    <t>山东玻纤</t>
  </si>
  <si>
    <t>山东玻纤集团股份有限公司</t>
  </si>
  <si>
    <t>605122.SH</t>
  </si>
  <si>
    <t>四方新材</t>
  </si>
  <si>
    <t>重庆四方新材股份有限公司</t>
  </si>
  <si>
    <t>605318.SH</t>
  </si>
  <si>
    <t>法狮龙</t>
  </si>
  <si>
    <t>法狮龙家居建材股份有限公司</t>
  </si>
  <si>
    <t>605566.SH</t>
  </si>
  <si>
    <t>福莱蒽特</t>
  </si>
  <si>
    <t>杭州福莱蒽特股份有限公司</t>
  </si>
  <si>
    <t>000010.SZ</t>
  </si>
  <si>
    <t>美丽生态</t>
  </si>
  <si>
    <t>深圳美丽生态股份有限公司</t>
  </si>
  <si>
    <t>000032.SZ</t>
  </si>
  <si>
    <t>深桑达A</t>
  </si>
  <si>
    <t>深圳市桑达实业股份有限公司</t>
  </si>
  <si>
    <t>000055.SZ</t>
  </si>
  <si>
    <t>方大集团</t>
  </si>
  <si>
    <t>方大集团股份有限公司</t>
  </si>
  <si>
    <t>000065.SZ</t>
  </si>
  <si>
    <t>北方国际</t>
  </si>
  <si>
    <t>北方国际合作股份有限公司</t>
  </si>
  <si>
    <t>000090.SZ</t>
  </si>
  <si>
    <t>天健集团</t>
  </si>
  <si>
    <t>深圳市天健(集团)股份有限公司</t>
  </si>
  <si>
    <t>000498.SZ</t>
  </si>
  <si>
    <t>山东路桥</t>
  </si>
  <si>
    <t>山东高速路桥集团股份有限公司</t>
  </si>
  <si>
    <t>000628.SZ</t>
  </si>
  <si>
    <t>高新发展</t>
  </si>
  <si>
    <t>成都高新发展股份有限公司</t>
  </si>
  <si>
    <t>000779.SZ</t>
  </si>
  <si>
    <t>甘咨询</t>
  </si>
  <si>
    <t>甘肃工程咨询集团股份有限公司</t>
  </si>
  <si>
    <t>000928.SZ</t>
  </si>
  <si>
    <t>中钢国际</t>
  </si>
  <si>
    <t>中钢国际工程技术股份有限公司</t>
  </si>
  <si>
    <t>001267.SZ</t>
  </si>
  <si>
    <t>汇绿生态</t>
  </si>
  <si>
    <t>汇绿生态科技集团股份有限公司</t>
  </si>
  <si>
    <t>600039.SH</t>
  </si>
  <si>
    <t>四川路桥</t>
  </si>
  <si>
    <t>四川路桥建设集团股份有限公司</t>
  </si>
  <si>
    <t>600133.SH</t>
  </si>
  <si>
    <t>东湖高新</t>
  </si>
  <si>
    <t>武汉东湖高新集团股份有限公司</t>
  </si>
  <si>
    <t>600170.SH</t>
  </si>
  <si>
    <t>上海建工</t>
  </si>
  <si>
    <t>上海建工集团股份有限公司</t>
  </si>
  <si>
    <t>600193.SH</t>
  </si>
  <si>
    <t>创兴资源</t>
  </si>
  <si>
    <t>上海创兴资源开发股份有限公司</t>
  </si>
  <si>
    <t>600248.SH</t>
  </si>
  <si>
    <t>陕西建工</t>
  </si>
  <si>
    <t>陕西建工集团股份有限公司</t>
  </si>
  <si>
    <t>600284.SH</t>
  </si>
  <si>
    <t>浦东建设</t>
  </si>
  <si>
    <t>上海浦东建设股份有限公司</t>
  </si>
  <si>
    <t>600491.SH</t>
  </si>
  <si>
    <t>龙元建设</t>
  </si>
  <si>
    <t>龙元建设集团股份有限公司</t>
  </si>
  <si>
    <t>600502.SH</t>
  </si>
  <si>
    <t>安徽建工</t>
  </si>
  <si>
    <t>安徽建工集团股份有限公司</t>
  </si>
  <si>
    <t>600512.SH</t>
  </si>
  <si>
    <t>腾达建设</t>
  </si>
  <si>
    <t>腾达建设集团股份有限公司</t>
  </si>
  <si>
    <t>600606.SH</t>
  </si>
  <si>
    <t>绿地控股</t>
  </si>
  <si>
    <t>绿地控股集团股份有限公司</t>
  </si>
  <si>
    <t>600629.SH</t>
  </si>
  <si>
    <t>华建集团</t>
  </si>
  <si>
    <t>华东建筑集团股份有限公司</t>
  </si>
  <si>
    <t>600769.SH</t>
  </si>
  <si>
    <t>祥龙电业</t>
  </si>
  <si>
    <t>武汉祥龙电业股份有限公司</t>
  </si>
  <si>
    <t>600820.SH</t>
  </si>
  <si>
    <t>隧道股份</t>
  </si>
  <si>
    <t>上海隧道工程股份有限公司</t>
  </si>
  <si>
    <t>600846.SH</t>
  </si>
  <si>
    <t>同济科技</t>
  </si>
  <si>
    <t>上海同济科技实业股份有限公司</t>
  </si>
  <si>
    <t>600853.SH</t>
  </si>
  <si>
    <t>龙建股份</t>
  </si>
  <si>
    <t>龙建路桥股份有限公司</t>
  </si>
  <si>
    <t>600939.SH</t>
  </si>
  <si>
    <t>重庆建工</t>
  </si>
  <si>
    <t>重庆建工集团股份有限公司</t>
  </si>
  <si>
    <t>600970.SH</t>
  </si>
  <si>
    <t>中材国际</t>
  </si>
  <si>
    <t>中国中材国际工程股份有限公司</t>
  </si>
  <si>
    <t>601068.SH</t>
  </si>
  <si>
    <t>中铝国际</t>
  </si>
  <si>
    <t>中铝国际工程股份有限公司</t>
  </si>
  <si>
    <t>601117.SH</t>
  </si>
  <si>
    <t>中国化学</t>
  </si>
  <si>
    <t>中国化学工程股份有限公司</t>
  </si>
  <si>
    <t>601186.SH</t>
  </si>
  <si>
    <t>中国铁建</t>
  </si>
  <si>
    <t>中国铁建股份有限公司</t>
  </si>
  <si>
    <t>601226.SH</t>
  </si>
  <si>
    <t>华电重工</t>
  </si>
  <si>
    <t>华电重工股份有限公司</t>
  </si>
  <si>
    <t>601390.SH</t>
  </si>
  <si>
    <t>中国中铁</t>
  </si>
  <si>
    <t>中国中铁股份有限公司</t>
  </si>
  <si>
    <t>601611.SH</t>
  </si>
  <si>
    <t>中国核建</t>
  </si>
  <si>
    <t>中国核工业建设股份有限公司</t>
  </si>
  <si>
    <t>601618.SH</t>
  </si>
  <si>
    <t>中国中冶</t>
  </si>
  <si>
    <t>中国冶金科工股份有限公司</t>
  </si>
  <si>
    <t>601668.SH</t>
  </si>
  <si>
    <t>中国建筑</t>
  </si>
  <si>
    <t>中国建筑股份有限公司</t>
  </si>
  <si>
    <t>601669.SH</t>
  </si>
  <si>
    <t>中国电建</t>
  </si>
  <si>
    <t>中国电力建设股份有限公司</t>
  </si>
  <si>
    <t>601789.SH</t>
  </si>
  <si>
    <t>宁波建工</t>
  </si>
  <si>
    <t>宁波建工股份有限公司</t>
  </si>
  <si>
    <t>601800.SH</t>
  </si>
  <si>
    <t>中国交建</t>
  </si>
  <si>
    <t>中国交通建设股份有限公司</t>
  </si>
  <si>
    <t>601868.SH</t>
  </si>
  <si>
    <t>中国能建</t>
  </si>
  <si>
    <t>中国能源建设股份有限公司</t>
  </si>
  <si>
    <t>601886.SH</t>
  </si>
  <si>
    <t>江河集团</t>
  </si>
  <si>
    <t>江河创建集团股份有限公司</t>
  </si>
  <si>
    <t>603007.SH</t>
  </si>
  <si>
    <t>ST花王</t>
  </si>
  <si>
    <t>花王生态工程股份有限公司</t>
  </si>
  <si>
    <t>603017.SH</t>
  </si>
  <si>
    <t>中衡设计</t>
  </si>
  <si>
    <t>中衡设计集团股份有限公司</t>
  </si>
  <si>
    <t>603018.SH</t>
  </si>
  <si>
    <t>华设集团</t>
  </si>
  <si>
    <t>华设设计集团股份有限公司</t>
  </si>
  <si>
    <t>603030.SH</t>
  </si>
  <si>
    <t>全筑股份</t>
  </si>
  <si>
    <t>上海全筑控股集团股份有限公司</t>
  </si>
  <si>
    <t>603060.SH</t>
  </si>
  <si>
    <t>国检集团</t>
  </si>
  <si>
    <t>中国国检测试控股集团股份有限公司</t>
  </si>
  <si>
    <t>603098.SH</t>
  </si>
  <si>
    <t>森特股份</t>
  </si>
  <si>
    <t>森特士兴集团股份有限公司</t>
  </si>
  <si>
    <t>603163.SH</t>
  </si>
  <si>
    <t>圣晖集成</t>
  </si>
  <si>
    <t>圣晖系统集成集团股份有限公司</t>
  </si>
  <si>
    <t>603176.SH</t>
  </si>
  <si>
    <t>汇通集团</t>
  </si>
  <si>
    <t>汇通建设集团股份有限公司</t>
  </si>
  <si>
    <t>603183.SH</t>
  </si>
  <si>
    <t>建研院</t>
  </si>
  <si>
    <t>苏州市建筑科学研究院集团股份有限公司</t>
  </si>
  <si>
    <t>603316.SH</t>
  </si>
  <si>
    <t>诚邦股份</t>
  </si>
  <si>
    <t>诚邦生态环境股份有限公司</t>
  </si>
  <si>
    <t>603357.SH</t>
  </si>
  <si>
    <t>设计总院</t>
  </si>
  <si>
    <t>安徽省交通规划设计研究总院股份有限公司</t>
  </si>
  <si>
    <t>603388.SH</t>
  </si>
  <si>
    <t>元成股份</t>
  </si>
  <si>
    <t>元成环境股份有限公司</t>
  </si>
  <si>
    <t>603458.SH</t>
  </si>
  <si>
    <t>勘设股份</t>
  </si>
  <si>
    <t>贵州省交通规划勘察设计研究院股份有限公司</t>
  </si>
  <si>
    <t>603637.SH</t>
  </si>
  <si>
    <t>镇海股份</t>
  </si>
  <si>
    <t>镇海石化工程股份有限公司</t>
  </si>
  <si>
    <t>603778.SH</t>
  </si>
  <si>
    <t>乾景园林</t>
  </si>
  <si>
    <t>北京乾景园林股份有限公司</t>
  </si>
  <si>
    <t>603815.SH</t>
  </si>
  <si>
    <t>交建股份</t>
  </si>
  <si>
    <t>安徽省交通建设股份有限公司</t>
  </si>
  <si>
    <t>603828.SH</t>
  </si>
  <si>
    <t>柯利达</t>
  </si>
  <si>
    <t>苏州柯利达装饰股份有限公司</t>
  </si>
  <si>
    <t>603843.SH</t>
  </si>
  <si>
    <t>正平股份</t>
  </si>
  <si>
    <t>正平路桥建设股份有限公司</t>
  </si>
  <si>
    <t>603860.SH</t>
  </si>
  <si>
    <t>中公高科</t>
  </si>
  <si>
    <t>中公高科养护科技股份有限公司</t>
  </si>
  <si>
    <t>603909.SH</t>
  </si>
  <si>
    <t>建发合诚</t>
  </si>
  <si>
    <t>建发合诚工程咨询股份有限公司</t>
  </si>
  <si>
    <t>603929.SH</t>
  </si>
  <si>
    <t>亚翔集成</t>
  </si>
  <si>
    <t>亚翔系统集成科技(苏州)股份有限公司</t>
  </si>
  <si>
    <t>603959.SH</t>
  </si>
  <si>
    <t>百利科技</t>
  </si>
  <si>
    <t>湖南百利工程科技股份有限公司</t>
  </si>
  <si>
    <t>603979.SH</t>
  </si>
  <si>
    <t>金诚信</t>
  </si>
  <si>
    <t>金诚信矿业管理股份有限公司</t>
  </si>
  <si>
    <t>605167.SH</t>
  </si>
  <si>
    <t>利柏特</t>
  </si>
  <si>
    <t>江苏利柏特股份有限公司</t>
  </si>
  <si>
    <t>605178.SH</t>
  </si>
  <si>
    <t>时空科技</t>
  </si>
  <si>
    <t>北京新时空科技股份有限公司</t>
  </si>
  <si>
    <t>605287.SH</t>
  </si>
  <si>
    <t>德才股份</t>
  </si>
  <si>
    <t>德才装饰股份有限公司</t>
  </si>
  <si>
    <t>605289.SH</t>
  </si>
  <si>
    <t>罗曼股份</t>
  </si>
  <si>
    <t>上海罗曼照明科技股份有限公司</t>
  </si>
  <si>
    <t>605303.SH</t>
  </si>
  <si>
    <t>园林股份</t>
  </si>
  <si>
    <t>杭州市园林绿化股份有限公司</t>
  </si>
  <si>
    <t>605598.SH</t>
  </si>
  <si>
    <t>上海港湾</t>
  </si>
  <si>
    <t>上海港湾基础建设(集团)股份有限公司</t>
  </si>
  <si>
    <t>000008.SZ</t>
  </si>
  <si>
    <t>神州高铁</t>
  </si>
  <si>
    <t>神州高铁技术股份有限公司</t>
  </si>
  <si>
    <t>000039.SZ</t>
  </si>
  <si>
    <t>中集集团</t>
  </si>
  <si>
    <t>中国国际海运集装箱(集团)股份有限公司</t>
  </si>
  <si>
    <t>000157.SZ</t>
  </si>
  <si>
    <t>中联重科</t>
  </si>
  <si>
    <t>中联重科股份有限公司</t>
  </si>
  <si>
    <t>000410.SZ</t>
  </si>
  <si>
    <t>*ST沈机</t>
  </si>
  <si>
    <t>沈阳机床股份有限公司</t>
  </si>
  <si>
    <t>000425.SZ</t>
  </si>
  <si>
    <t>徐工机械</t>
  </si>
  <si>
    <t>徐工集团工程机械股份有限公司</t>
  </si>
  <si>
    <t>000519.SZ</t>
  </si>
  <si>
    <t>中兵红箭</t>
  </si>
  <si>
    <t>中兵红箭股份有限公司</t>
  </si>
  <si>
    <t>000528.SZ</t>
  </si>
  <si>
    <t>柳工</t>
  </si>
  <si>
    <t>广西柳工机械股份有限公司</t>
  </si>
  <si>
    <t>000530.SZ</t>
  </si>
  <si>
    <t>冰山冷热</t>
  </si>
  <si>
    <t>冰山冷热科技股份有限公司</t>
  </si>
  <si>
    <t>000551.SZ</t>
  </si>
  <si>
    <t>创元科技</t>
  </si>
  <si>
    <t>创元科技股份有限公司</t>
  </si>
  <si>
    <t>000570.SZ</t>
  </si>
  <si>
    <t>苏常柴A</t>
  </si>
  <si>
    <t>常柴股份有限公司</t>
  </si>
  <si>
    <t>000584.SZ</t>
  </si>
  <si>
    <t>哈工智能</t>
  </si>
  <si>
    <t>江苏哈工智能机器人股份有限公司</t>
  </si>
  <si>
    <t>000595.SZ</t>
  </si>
  <si>
    <t>宝塔实业</t>
  </si>
  <si>
    <t>宝塔实业股份有限公司</t>
  </si>
  <si>
    <t>000680.SZ</t>
  </si>
  <si>
    <t>山推股份</t>
  </si>
  <si>
    <t>山推工程机械股份有限公司</t>
  </si>
  <si>
    <t>000777.SZ</t>
  </si>
  <si>
    <t>中核科技</t>
  </si>
  <si>
    <t>中核苏阀科技实业股份有限公司</t>
  </si>
  <si>
    <t>000811.SZ</t>
  </si>
  <si>
    <t>冰轮环境</t>
  </si>
  <si>
    <t>冰轮环境技术股份有限公司</t>
  </si>
  <si>
    <t>000816.SZ</t>
  </si>
  <si>
    <t>智慧农业</t>
  </si>
  <si>
    <t>江苏农华智慧农业科技股份有限公司</t>
  </si>
  <si>
    <t>000837.SZ</t>
  </si>
  <si>
    <t>秦川机床</t>
  </si>
  <si>
    <t>秦川机床工具集团股份公司</t>
  </si>
  <si>
    <t>000852.SZ</t>
  </si>
  <si>
    <t>石化机械</t>
  </si>
  <si>
    <t>中石化石油机械股份有限公司</t>
  </si>
  <si>
    <t>000856.SZ</t>
  </si>
  <si>
    <t>冀东装备</t>
  </si>
  <si>
    <t>唐山冀东装备工程股份有限公司</t>
  </si>
  <si>
    <t>000880.SZ</t>
  </si>
  <si>
    <t>潍柴重机</t>
  </si>
  <si>
    <t>潍柴重机股份有限公司</t>
  </si>
  <si>
    <t>000925.SZ</t>
  </si>
  <si>
    <t>众合科技</t>
  </si>
  <si>
    <t>浙江众合科技股份有限公司</t>
  </si>
  <si>
    <t>000976.SZ</t>
  </si>
  <si>
    <t>华铁股份</t>
  </si>
  <si>
    <t>广东华铁通达高铁装备股份有限公司</t>
  </si>
  <si>
    <t>000988.SZ</t>
  </si>
  <si>
    <t>华工科技</t>
  </si>
  <si>
    <t>华工科技产业股份有限公司</t>
  </si>
  <si>
    <t>001223.SZ</t>
  </si>
  <si>
    <t>欧克科技</t>
  </si>
  <si>
    <t>欧克科技股份有限公司</t>
  </si>
  <si>
    <t>001226.SZ</t>
  </si>
  <si>
    <t>拓山重工</t>
  </si>
  <si>
    <t>安徽拓山重工股份有限公司</t>
  </si>
  <si>
    <t>001256.SZ</t>
  </si>
  <si>
    <t>炜冈科技</t>
  </si>
  <si>
    <t>浙江炜冈科技股份有限公司</t>
  </si>
  <si>
    <t>001268.SZ</t>
  </si>
  <si>
    <t>联合精密</t>
  </si>
  <si>
    <t>广东扬山联合精密制造股份有限公司</t>
  </si>
  <si>
    <t>001288.SZ</t>
  </si>
  <si>
    <t>运机集团</t>
  </si>
  <si>
    <t>四川省自贡运输机械集团股份有限公司</t>
  </si>
  <si>
    <t>001332.SZ</t>
  </si>
  <si>
    <t>锡装股份</t>
  </si>
  <si>
    <t>无锡化工装备股份有限公司</t>
  </si>
  <si>
    <t>001336.SZ</t>
  </si>
  <si>
    <t>楚环科技</t>
  </si>
  <si>
    <t>杭州楚环科技股份有限公司</t>
  </si>
  <si>
    <t>600031.SH</t>
  </si>
  <si>
    <t>三一重工</t>
  </si>
  <si>
    <t>三一重工股份有限公司</t>
  </si>
  <si>
    <t>600114.SH</t>
  </si>
  <si>
    <t>东睦股份</t>
  </si>
  <si>
    <t>东睦新材料集团股份有限公司</t>
  </si>
  <si>
    <t>600169.SH</t>
  </si>
  <si>
    <t>太原重工</t>
  </si>
  <si>
    <t>太原重工股份有限公司</t>
  </si>
  <si>
    <t>600184.SH</t>
  </si>
  <si>
    <t>光电股份</t>
  </si>
  <si>
    <t>北方光电股份有限公司</t>
  </si>
  <si>
    <t>600202.SH</t>
  </si>
  <si>
    <t>哈空调</t>
  </si>
  <si>
    <t>哈尔滨空调股份有限公司</t>
  </si>
  <si>
    <t>600215.SH</t>
  </si>
  <si>
    <t>派斯林</t>
  </si>
  <si>
    <t>派斯林数字科技股份有限公司</t>
  </si>
  <si>
    <t>600243.SH</t>
  </si>
  <si>
    <t>青海华鼎</t>
  </si>
  <si>
    <t>青海华鼎实业股份有限公司</t>
  </si>
  <si>
    <t>600262.SH</t>
  </si>
  <si>
    <t>北方股份</t>
  </si>
  <si>
    <t>内蒙古北方重型汽车股份有限公司</t>
  </si>
  <si>
    <t>600302.SH</t>
  </si>
  <si>
    <t>标准股份</t>
  </si>
  <si>
    <t>西安标准工业股份有限公司</t>
  </si>
  <si>
    <t>600320.SH</t>
  </si>
  <si>
    <t>振华重工</t>
  </si>
  <si>
    <t>上海振华重工(集团)股份有限公司</t>
  </si>
  <si>
    <t>600421.SH</t>
  </si>
  <si>
    <t>华嵘控股</t>
  </si>
  <si>
    <t>湖北华嵘控股股份有限公司</t>
  </si>
  <si>
    <t>600435.SH</t>
  </si>
  <si>
    <t>北方导航</t>
  </si>
  <si>
    <t>北方导航控制技术股份有限公司</t>
  </si>
  <si>
    <t>600444.SH</t>
  </si>
  <si>
    <t>国机通用</t>
  </si>
  <si>
    <t>国机通用机械科技股份有限公司</t>
  </si>
  <si>
    <t>600481.SH</t>
  </si>
  <si>
    <t>双良节能</t>
  </si>
  <si>
    <t>双良节能系统股份有限公司</t>
  </si>
  <si>
    <t>600495.SH</t>
  </si>
  <si>
    <t>晋西车轴</t>
  </si>
  <si>
    <t>晋西车轴股份有限公司</t>
  </si>
  <si>
    <t>600499.SH</t>
  </si>
  <si>
    <t>科达制造</t>
  </si>
  <si>
    <t>科达制造股份有限公司</t>
  </si>
  <si>
    <t>600528.SH</t>
  </si>
  <si>
    <t>中铁工业</t>
  </si>
  <si>
    <t>中铁高新工业股份有限公司</t>
  </si>
  <si>
    <t>600545.SH</t>
  </si>
  <si>
    <t>卓郎智能</t>
  </si>
  <si>
    <t>卓郎智能技术股份有限公司</t>
  </si>
  <si>
    <t>600579.SH</t>
  </si>
  <si>
    <t>克劳斯</t>
  </si>
  <si>
    <t>克劳斯玛菲股份有限公司</t>
  </si>
  <si>
    <t>600582.SH</t>
  </si>
  <si>
    <t>天地科技</t>
  </si>
  <si>
    <t>天地科技股份有限公司</t>
  </si>
  <si>
    <t>600592.SH</t>
  </si>
  <si>
    <t>龙溪股份</t>
  </si>
  <si>
    <t>福建龙溪轴承(集团)股份有限公司</t>
  </si>
  <si>
    <t>600761.SH</t>
  </si>
  <si>
    <t>安徽合力</t>
  </si>
  <si>
    <t>安徽合力股份有限公司</t>
  </si>
  <si>
    <t>600815.SH</t>
  </si>
  <si>
    <t>厦工股份</t>
  </si>
  <si>
    <t>厦门厦工机械股份有限公司</t>
  </si>
  <si>
    <t>600817.SH</t>
  </si>
  <si>
    <t>宇通重工</t>
  </si>
  <si>
    <t>宇通重工股份有限公司</t>
  </si>
  <si>
    <t>600835.SH</t>
  </si>
  <si>
    <t>上海机电</t>
  </si>
  <si>
    <t>上海机电股份有限公司</t>
  </si>
  <si>
    <t>600843.SH</t>
  </si>
  <si>
    <t>上工申贝</t>
  </si>
  <si>
    <t>上工申贝(集团)股份有限公司</t>
  </si>
  <si>
    <t>600855.SH</t>
  </si>
  <si>
    <t>航天长峰</t>
  </si>
  <si>
    <t>北京航天长峰股份有限公司</t>
  </si>
  <si>
    <t>600860.SH</t>
  </si>
  <si>
    <t>京城股份</t>
  </si>
  <si>
    <t>北京京城机电股份有限公司</t>
  </si>
  <si>
    <t>600894.SH</t>
  </si>
  <si>
    <t>广日股份</t>
  </si>
  <si>
    <t>广州广日股份有限公司</t>
  </si>
  <si>
    <t>600967.SH</t>
  </si>
  <si>
    <t>内蒙一机</t>
  </si>
  <si>
    <t>内蒙古第一机械集团股份有限公司</t>
  </si>
  <si>
    <t>600984.SH</t>
  </si>
  <si>
    <t>建设机械</t>
  </si>
  <si>
    <t>陕西建设机械股份有限公司</t>
  </si>
  <si>
    <t>601002.SH</t>
  </si>
  <si>
    <t>晋亿实业</t>
  </si>
  <si>
    <t>晋亿实业股份有限公司</t>
  </si>
  <si>
    <t>601038.SH</t>
  </si>
  <si>
    <t>一拖股份</t>
  </si>
  <si>
    <t>第一拖拉机股份有限公司</t>
  </si>
  <si>
    <t>601100.SH</t>
  </si>
  <si>
    <t>恒立液压</t>
  </si>
  <si>
    <t>江苏恒立液压股份有限公司</t>
  </si>
  <si>
    <t>601106.SH</t>
  </si>
  <si>
    <t>中国一重</t>
  </si>
  <si>
    <t>中国第一重型机械股份公司</t>
  </si>
  <si>
    <t>601177.SH</t>
  </si>
  <si>
    <t>杭齿前进</t>
  </si>
  <si>
    <t>杭州前进齿轮箱集团股份有限公司</t>
  </si>
  <si>
    <t>601369.SH</t>
  </si>
  <si>
    <t>陕鼓动力</t>
  </si>
  <si>
    <t>西安陕鼓动力股份有限公司</t>
  </si>
  <si>
    <t>601399.SH</t>
  </si>
  <si>
    <t>国机重装</t>
  </si>
  <si>
    <t>国机重型装备集团股份有限公司</t>
  </si>
  <si>
    <t>601606.SH</t>
  </si>
  <si>
    <t>长城军工</t>
  </si>
  <si>
    <t>安徽长城军工股份有限公司</t>
  </si>
  <si>
    <t>601608.SH</t>
  </si>
  <si>
    <t>中信重工</t>
  </si>
  <si>
    <t>中信重工机械股份有限公司</t>
  </si>
  <si>
    <t>601766.SH</t>
  </si>
  <si>
    <t>中国中车</t>
  </si>
  <si>
    <t>中国中车股份有限公司</t>
  </si>
  <si>
    <t>601798.SH</t>
  </si>
  <si>
    <t>蓝科高新</t>
  </si>
  <si>
    <t>甘肃蓝科石化高新装备股份有限公司</t>
  </si>
  <si>
    <t>601882.SH</t>
  </si>
  <si>
    <t>海天精工</t>
  </si>
  <si>
    <t>宁波海天精工股份有限公司</t>
  </si>
  <si>
    <t>603011.SH</t>
  </si>
  <si>
    <t>合锻智能</t>
  </si>
  <si>
    <t>合肥合锻智能制造股份有限公司</t>
  </si>
  <si>
    <t>603012.SH</t>
  </si>
  <si>
    <t>创力集团</t>
  </si>
  <si>
    <t>上海创力集团股份有限公司</t>
  </si>
  <si>
    <t>603025.SH</t>
  </si>
  <si>
    <t>大豪科技</t>
  </si>
  <si>
    <t>北京大豪科技股份有限公司</t>
  </si>
  <si>
    <t>603029.SH</t>
  </si>
  <si>
    <t>天鹅股份</t>
  </si>
  <si>
    <t>山东天鹅棉业机械股份有限公司</t>
  </si>
  <si>
    <t>603032.SH</t>
  </si>
  <si>
    <t>德新科技</t>
  </si>
  <si>
    <t>德力西新能源科技股份有限公司</t>
  </si>
  <si>
    <t>603036.SH</t>
  </si>
  <si>
    <t>如通股份</t>
  </si>
  <si>
    <t>江苏如通石油机械股份有限公司</t>
  </si>
  <si>
    <t>603076.SH</t>
  </si>
  <si>
    <t>乐惠国际</t>
  </si>
  <si>
    <t>宁波乐惠国际工程装备股份有限公司</t>
  </si>
  <si>
    <t>603081.SH</t>
  </si>
  <si>
    <t>大丰实业</t>
  </si>
  <si>
    <t>浙江大丰实业股份有限公司</t>
  </si>
  <si>
    <t>603088.SH</t>
  </si>
  <si>
    <t>宁波精达</t>
  </si>
  <si>
    <t>宁波精达成形装备股份有限公司</t>
  </si>
  <si>
    <t>603090.SH</t>
  </si>
  <si>
    <t>宏盛股份</t>
  </si>
  <si>
    <t>无锡宏盛换热器制造股份有限公司</t>
  </si>
  <si>
    <t>603095.SH</t>
  </si>
  <si>
    <t>越剑智能</t>
  </si>
  <si>
    <t>浙江越剑智能装备股份有限公司</t>
  </si>
  <si>
    <t>603111.SH</t>
  </si>
  <si>
    <t>康尼机电</t>
  </si>
  <si>
    <t>南京康尼机电股份有限公司</t>
  </si>
  <si>
    <t>603112.SH</t>
  </si>
  <si>
    <t>华翔股份</t>
  </si>
  <si>
    <t>山西华翔集团股份有限公司</t>
  </si>
  <si>
    <t>603131.SH</t>
  </si>
  <si>
    <t>上海沪工</t>
  </si>
  <si>
    <t>上海沪工焊接集团股份有限公司</t>
  </si>
  <si>
    <t>603159.SH</t>
  </si>
  <si>
    <t>上海亚虹</t>
  </si>
  <si>
    <t>上海亚虹模具股份有限公司</t>
  </si>
  <si>
    <t>603169.SH</t>
  </si>
  <si>
    <t>兰石重装</t>
  </si>
  <si>
    <t>兰州兰石重型装备股份有限公司</t>
  </si>
  <si>
    <t>603187.SH</t>
  </si>
  <si>
    <t>海容冷链</t>
  </si>
  <si>
    <t>青岛海容商用冷链股份有限公司</t>
  </si>
  <si>
    <t>603203.SH</t>
  </si>
  <si>
    <t>快克股份</t>
  </si>
  <si>
    <t>快克智能装备股份有限公司</t>
  </si>
  <si>
    <t>603269.SH</t>
  </si>
  <si>
    <t>海鸥股份</t>
  </si>
  <si>
    <t>江苏海鸥冷却塔股份有限公司</t>
  </si>
  <si>
    <t>603277.SH</t>
  </si>
  <si>
    <t>银都股份</t>
  </si>
  <si>
    <t>银都餐饮设备股份有限公司</t>
  </si>
  <si>
    <t>603280.SH</t>
  </si>
  <si>
    <t>南方路机</t>
  </si>
  <si>
    <t>福建南方路面机械股份有限公司</t>
  </si>
  <si>
    <t>603283.SH</t>
  </si>
  <si>
    <t>赛腾股份</t>
  </si>
  <si>
    <t>苏州赛腾精密电子股份有限公司</t>
  </si>
  <si>
    <t>603289.SH</t>
  </si>
  <si>
    <t>泰瑞机器</t>
  </si>
  <si>
    <t>泰瑞机器股份有限公司</t>
  </si>
  <si>
    <t>603298.SH</t>
  </si>
  <si>
    <t>杭叉集团</t>
  </si>
  <si>
    <t>杭叉集团股份有限公司</t>
  </si>
  <si>
    <t>603308.SH</t>
  </si>
  <si>
    <t>应流股份</t>
  </si>
  <si>
    <t>安徽应流机电股份有限公司</t>
  </si>
  <si>
    <t>603315.SH</t>
  </si>
  <si>
    <t>福鞍股份</t>
  </si>
  <si>
    <t>辽宁福鞍重工股份有限公司</t>
  </si>
  <si>
    <t>603321.SH</t>
  </si>
  <si>
    <t>梅轮电梯</t>
  </si>
  <si>
    <t>浙江梅轮电梯股份有限公司</t>
  </si>
  <si>
    <t>603331.SH</t>
  </si>
  <si>
    <t>百达精工</t>
  </si>
  <si>
    <t>浙江百达精工股份有限公司</t>
  </si>
  <si>
    <t>603337.SH</t>
  </si>
  <si>
    <t>杰克股份</t>
  </si>
  <si>
    <t>杰克科技股份有限公司</t>
  </si>
  <si>
    <t>603338.SH</t>
  </si>
  <si>
    <t>浙江鼎力</t>
  </si>
  <si>
    <t>浙江鼎力机械股份有限公司</t>
  </si>
  <si>
    <t>603339.SH</t>
  </si>
  <si>
    <t>四方科技</t>
  </si>
  <si>
    <t>四方科技集团股份有限公司</t>
  </si>
  <si>
    <t>603356.SH</t>
  </si>
  <si>
    <t>华菱精工</t>
  </si>
  <si>
    <t>宣城市华菱精工科技股份有限公司</t>
  </si>
  <si>
    <t>603396.SH</t>
  </si>
  <si>
    <t>金辰股份</t>
  </si>
  <si>
    <t>营口金辰机械股份有限公司</t>
  </si>
  <si>
    <t>603488.SH</t>
  </si>
  <si>
    <t>展鹏科技</t>
  </si>
  <si>
    <t>展鹏科技股份有限公司</t>
  </si>
  <si>
    <t>603500.SH</t>
  </si>
  <si>
    <t>祥和实业</t>
  </si>
  <si>
    <t>浙江天台祥和实业股份有限公司</t>
  </si>
  <si>
    <t>603611.SH</t>
  </si>
  <si>
    <t>诺力股份</t>
  </si>
  <si>
    <t>诺力智能装备股份有限公司</t>
  </si>
  <si>
    <t>603617.SH</t>
  </si>
  <si>
    <t>君禾股份</t>
  </si>
  <si>
    <t>君禾泵业股份有限公司</t>
  </si>
  <si>
    <t>603638.SH</t>
  </si>
  <si>
    <t>艾迪精密</t>
  </si>
  <si>
    <t>烟台艾迪精密机械股份有限公司</t>
  </si>
  <si>
    <t>603656.SH</t>
  </si>
  <si>
    <t>泰禾智能</t>
  </si>
  <si>
    <t>合肥泰禾智能科技集团股份有限公司</t>
  </si>
  <si>
    <t>603666.SH</t>
  </si>
  <si>
    <t>亿嘉和</t>
  </si>
  <si>
    <t>亿嘉和科技股份有限公司</t>
  </si>
  <si>
    <t>603667.SH</t>
  </si>
  <si>
    <t>五洲新春</t>
  </si>
  <si>
    <t>浙江五洲新春集团股份有限公司</t>
  </si>
  <si>
    <t>603680.SH</t>
  </si>
  <si>
    <t>今创集团</t>
  </si>
  <si>
    <t>今创集团股份有限公司</t>
  </si>
  <si>
    <t>603698.SH</t>
  </si>
  <si>
    <t>航天工程</t>
  </si>
  <si>
    <t>航天长征化学工程股份有限公司</t>
  </si>
  <si>
    <t>603699.SH</t>
  </si>
  <si>
    <t>纽威股份</t>
  </si>
  <si>
    <t>苏州纽威阀门股份有限公司</t>
  </si>
  <si>
    <t>603757.SH</t>
  </si>
  <si>
    <t>大元泵业</t>
  </si>
  <si>
    <t>浙江大元泵业股份有限公司</t>
  </si>
  <si>
    <t>603789.SH</t>
  </si>
  <si>
    <t>星光农机</t>
  </si>
  <si>
    <t>星光农机股份有限公司</t>
  </si>
  <si>
    <t>603800.SH</t>
  </si>
  <si>
    <t>道森股份</t>
  </si>
  <si>
    <t>苏州道森钻采设备股份有限公司</t>
  </si>
  <si>
    <t>603855.SH</t>
  </si>
  <si>
    <t>华荣股份</t>
  </si>
  <si>
    <t>华荣科技股份有限公司</t>
  </si>
  <si>
    <t>603859.SH</t>
  </si>
  <si>
    <t>能科科技</t>
  </si>
  <si>
    <t>能科科技股份有限公司</t>
  </si>
  <si>
    <t>603895.SH</t>
  </si>
  <si>
    <t>天永智能</t>
  </si>
  <si>
    <t>上海天永智能装备股份有限公司</t>
  </si>
  <si>
    <t>603901.SH</t>
  </si>
  <si>
    <t>永创智能</t>
  </si>
  <si>
    <t>杭州永创智能设备股份有限公司</t>
  </si>
  <si>
    <t>603912.SH</t>
  </si>
  <si>
    <t>佳力图</t>
  </si>
  <si>
    <t>南京佳力图机房环境技术股份有限公司</t>
  </si>
  <si>
    <t>603915.SH</t>
  </si>
  <si>
    <t>国茂股份</t>
  </si>
  <si>
    <t>江苏国茂减速机股份有限公司</t>
  </si>
  <si>
    <t>603956.SH</t>
  </si>
  <si>
    <t>威派格</t>
  </si>
  <si>
    <t>上海威派格智慧水务股份有限公司</t>
  </si>
  <si>
    <t>603966.SH</t>
  </si>
  <si>
    <t>法兰泰克</t>
  </si>
  <si>
    <t>法兰泰克重工股份有限公司</t>
  </si>
  <si>
    <t>603985.SH</t>
  </si>
  <si>
    <t>恒润股份</t>
  </si>
  <si>
    <t>江阴市恒润重工股份有限公司</t>
  </si>
  <si>
    <t>605001.SH</t>
  </si>
  <si>
    <t>威奥股份</t>
  </si>
  <si>
    <t>青岛威奥轨道股份有限公司</t>
  </si>
  <si>
    <t>605060.SH</t>
  </si>
  <si>
    <t>联德股份</t>
  </si>
  <si>
    <t>杭州联德精密机械股份有限公司</t>
  </si>
  <si>
    <t>605100.SH</t>
  </si>
  <si>
    <t>华丰股份</t>
  </si>
  <si>
    <t>华丰动力股份有限公司</t>
  </si>
  <si>
    <t>605259.SH</t>
  </si>
  <si>
    <t>绿田机械</t>
  </si>
  <si>
    <t>绿田机械股份有限公司</t>
  </si>
  <si>
    <t>605286.SH</t>
  </si>
  <si>
    <t>同力日升</t>
  </si>
  <si>
    <t>江苏同力日升机械股份有限公司</t>
  </si>
  <si>
    <t>605298.SH</t>
  </si>
  <si>
    <t>必得科技</t>
  </si>
  <si>
    <t>江苏必得科技股份有限公司</t>
  </si>
  <si>
    <t>605305.SH</t>
  </si>
  <si>
    <t>中际联合</t>
  </si>
  <si>
    <t>中际联合(北京)科技股份有限公司</t>
  </si>
  <si>
    <t>605389.SH</t>
  </si>
  <si>
    <t>长龄液压</t>
  </si>
  <si>
    <t>江苏长龄液压股份有限公司</t>
  </si>
  <si>
    <t>000004.SZ</t>
  </si>
  <si>
    <t>ST国华</t>
  </si>
  <si>
    <t>深圳国华网安科技股份有限公司</t>
  </si>
  <si>
    <t>000034.SZ</t>
  </si>
  <si>
    <t>神州数码</t>
  </si>
  <si>
    <t>神州数码集团股份有限公司</t>
  </si>
  <si>
    <t>000158.SZ</t>
  </si>
  <si>
    <t>常山北明</t>
  </si>
  <si>
    <t>石家庄常山北明科技股份有限公司</t>
  </si>
  <si>
    <t>000409.SZ</t>
  </si>
  <si>
    <t>云鼎科技</t>
  </si>
  <si>
    <t>云鼎科技股份有限公司</t>
  </si>
  <si>
    <t>000503.SZ</t>
  </si>
  <si>
    <t>国新健康</t>
  </si>
  <si>
    <t>国新健康保障服务集团股份有限公司</t>
  </si>
  <si>
    <t>000555.SZ</t>
  </si>
  <si>
    <t>神州信息</t>
  </si>
  <si>
    <t>神州数码信息服务股份有限公司</t>
  </si>
  <si>
    <t>000606.SZ</t>
  </si>
  <si>
    <t>*ST顺利</t>
  </si>
  <si>
    <t>顺利办信息服务股份有限公司</t>
  </si>
  <si>
    <t>000638.SZ</t>
  </si>
  <si>
    <t>万方发展</t>
  </si>
  <si>
    <t>万方城镇投资发展股份有限公司</t>
  </si>
  <si>
    <t>000676.SZ</t>
  </si>
  <si>
    <t>智度股份</t>
  </si>
  <si>
    <t>智度科技股份有限公司</t>
  </si>
  <si>
    <t>000681.SZ</t>
  </si>
  <si>
    <t>视觉中国</t>
  </si>
  <si>
    <t>视觉(中国)文化发展股份有限公司</t>
  </si>
  <si>
    <t>000938.SZ</t>
  </si>
  <si>
    <t>紫光股份</t>
  </si>
  <si>
    <t>紫光股份有限公司</t>
  </si>
  <si>
    <t>000948.SZ</t>
  </si>
  <si>
    <t>南天信息</t>
  </si>
  <si>
    <t>云南南天电子信息产业股份有限公司</t>
  </si>
  <si>
    <t>000971.SZ</t>
  </si>
  <si>
    <t>ST高升</t>
  </si>
  <si>
    <t>高升控股股份有限公司</t>
  </si>
  <si>
    <t>000997.SZ</t>
  </si>
  <si>
    <t>新大陆</t>
  </si>
  <si>
    <t>新大陆数字技术股份有限公司</t>
  </si>
  <si>
    <t>600070.SH</t>
  </si>
  <si>
    <t>浙江富润</t>
  </si>
  <si>
    <t>浙江富润数字科技股份有限公司</t>
  </si>
  <si>
    <t>600225.SH</t>
  </si>
  <si>
    <t>卓朗科技</t>
  </si>
  <si>
    <t>天津卓朗信息科技股份有限公司</t>
  </si>
  <si>
    <t>600226.SH</t>
  </si>
  <si>
    <t>ST瀚叶</t>
  </si>
  <si>
    <t>浙江瀚叶股份有限公司</t>
  </si>
  <si>
    <t>600228.SH</t>
  </si>
  <si>
    <t>返利科技</t>
  </si>
  <si>
    <t>返利网数字科技股份有限公司</t>
  </si>
  <si>
    <t>600242.SH</t>
  </si>
  <si>
    <t>*ST中昌</t>
  </si>
  <si>
    <t>中昌大数据股份有限公司</t>
  </si>
  <si>
    <t>600271.SH</t>
  </si>
  <si>
    <t>航天信息</t>
  </si>
  <si>
    <t>航天信息股份有限公司</t>
  </si>
  <si>
    <t>600289.SH</t>
  </si>
  <si>
    <t>ST信通</t>
  </si>
  <si>
    <t>亿阳信通股份有限公司</t>
  </si>
  <si>
    <t>600410.SH</t>
  </si>
  <si>
    <t>华胜天成</t>
  </si>
  <si>
    <t>北京华胜天成科技股份有限公司</t>
  </si>
  <si>
    <t>600446.SH</t>
  </si>
  <si>
    <t>金证股份</t>
  </si>
  <si>
    <t>深圳市金证科技股份有限公司</t>
  </si>
  <si>
    <t>600476.SH</t>
  </si>
  <si>
    <t>湘邮科技</t>
  </si>
  <si>
    <t>湖南湘邮科技股份有限公司</t>
  </si>
  <si>
    <t>600536.SH</t>
  </si>
  <si>
    <t>中国软件</t>
  </si>
  <si>
    <t>中国软件与技术服务股份有限公司</t>
  </si>
  <si>
    <t>600539.SH</t>
  </si>
  <si>
    <t>狮头股份</t>
  </si>
  <si>
    <t>狮头科技发展股份有限公司</t>
  </si>
  <si>
    <t>600556.SH</t>
  </si>
  <si>
    <t>天下秀</t>
  </si>
  <si>
    <t>天下秀数字科技(集团)股份有限公司</t>
  </si>
  <si>
    <t>600570.SH</t>
  </si>
  <si>
    <t>恒生电子</t>
  </si>
  <si>
    <t>恒生电子股份有限公司</t>
  </si>
  <si>
    <t>600571.SH</t>
  </si>
  <si>
    <t>信雅达</t>
  </si>
  <si>
    <t>信雅达科技股份有限公司</t>
  </si>
  <si>
    <t>600588.SH</t>
  </si>
  <si>
    <t>用友网络</t>
  </si>
  <si>
    <t>用友网络科技股份有限公司</t>
  </si>
  <si>
    <t>600602.SH</t>
  </si>
  <si>
    <t>云赛智联</t>
  </si>
  <si>
    <t>云赛智联股份有限公司</t>
  </si>
  <si>
    <t>600633.SH</t>
  </si>
  <si>
    <t>浙数文化</t>
  </si>
  <si>
    <t>浙报数字文化集团股份有限公司</t>
  </si>
  <si>
    <t>600654.SH</t>
  </si>
  <si>
    <t>*ST中安</t>
  </si>
  <si>
    <t>中安科股份有限公司</t>
  </si>
  <si>
    <t>600718.SH</t>
  </si>
  <si>
    <t>东软集团</t>
  </si>
  <si>
    <t>东软集团股份有限公司</t>
  </si>
  <si>
    <t>600728.SH</t>
  </si>
  <si>
    <t>佳都科技</t>
  </si>
  <si>
    <t>佳都科技集团股份有限公司</t>
  </si>
  <si>
    <t>600756.SH</t>
  </si>
  <si>
    <t>浪潮软件</t>
  </si>
  <si>
    <t>浪潮软件股份有限公司</t>
  </si>
  <si>
    <t>600797.SH</t>
  </si>
  <si>
    <t>浙大网新</t>
  </si>
  <si>
    <t>浙大网新科技股份有限公司</t>
  </si>
  <si>
    <t>600845.SH</t>
  </si>
  <si>
    <t>宝信软件</t>
  </si>
  <si>
    <t>上海宝信软件股份有限公司</t>
  </si>
  <si>
    <t>600850.SH</t>
  </si>
  <si>
    <t>电科数字</t>
  </si>
  <si>
    <t>中电科数字技术股份有限公司</t>
  </si>
  <si>
    <t>600868.SH</t>
  </si>
  <si>
    <t>梅雁吉祥</t>
  </si>
  <si>
    <t>广东梅雁吉祥水电股份有限公司</t>
  </si>
  <si>
    <t>600986.SH</t>
  </si>
  <si>
    <t>浙文互联</t>
  </si>
  <si>
    <t>浙文互联集团股份有限公司</t>
  </si>
  <si>
    <t>601113.SH</t>
  </si>
  <si>
    <t>华鼎股份</t>
  </si>
  <si>
    <t>义乌华鼎锦纶股份有限公司</t>
  </si>
  <si>
    <t>601360.SH</t>
  </si>
  <si>
    <t>三六零</t>
  </si>
  <si>
    <t>三六零安全科技股份有限公司</t>
  </si>
  <si>
    <t>601519.SH</t>
  </si>
  <si>
    <t>大智慧</t>
  </si>
  <si>
    <t>上海大智慧股份有限公司</t>
  </si>
  <si>
    <t>603000.SH</t>
  </si>
  <si>
    <t>人民网</t>
  </si>
  <si>
    <t>人民网股份有限公司</t>
  </si>
  <si>
    <t>603039.SH</t>
  </si>
  <si>
    <t>ST泛微</t>
  </si>
  <si>
    <t>上海泛微网络科技股份有限公司</t>
  </si>
  <si>
    <t>603138.SH</t>
  </si>
  <si>
    <t>海量数据</t>
  </si>
  <si>
    <t>北京海量数据技术股份有限公司</t>
  </si>
  <si>
    <t>603171.SH</t>
  </si>
  <si>
    <t>税友股份</t>
  </si>
  <si>
    <t>税友软件集团股份有限公司</t>
  </si>
  <si>
    <t>603189.SH</t>
  </si>
  <si>
    <t>网达软件</t>
  </si>
  <si>
    <t>上海网达软件股份有限公司</t>
  </si>
  <si>
    <t>603206.SH</t>
  </si>
  <si>
    <t>嘉环科技</t>
  </si>
  <si>
    <t>嘉环科技股份有限公司</t>
  </si>
  <si>
    <t>603232.SH</t>
  </si>
  <si>
    <t>格尔软件</t>
  </si>
  <si>
    <t>格尔软件股份有限公司</t>
  </si>
  <si>
    <t>603258.SH</t>
  </si>
  <si>
    <t>电魂网络</t>
  </si>
  <si>
    <t>杭州电魂网络科技股份有限公司</t>
  </si>
  <si>
    <t>603383.SH</t>
  </si>
  <si>
    <t>顶点软件</t>
  </si>
  <si>
    <t>福建顶点软件股份有限公司</t>
  </si>
  <si>
    <t>603444.SH</t>
  </si>
  <si>
    <t>吉比特</t>
  </si>
  <si>
    <t>厦门吉比特网络技术股份有限公司</t>
  </si>
  <si>
    <t>603508.SH</t>
  </si>
  <si>
    <t>思维列控</t>
  </si>
  <si>
    <t>河南思维自动化设备股份有限公司</t>
  </si>
  <si>
    <t>603528.SH</t>
  </si>
  <si>
    <t>多伦科技</t>
  </si>
  <si>
    <t>多伦科技股份有限公司</t>
  </si>
  <si>
    <t>603533.SH</t>
  </si>
  <si>
    <t>掌阅科技</t>
  </si>
  <si>
    <t>掌阅科技股份有限公司</t>
  </si>
  <si>
    <t>603613.SH</t>
  </si>
  <si>
    <t>国联股份</t>
  </si>
  <si>
    <t>北京国联视讯信息技术股份有限公司</t>
  </si>
  <si>
    <t>603636.SH</t>
  </si>
  <si>
    <t>南威软件</t>
  </si>
  <si>
    <t>南威软件股份有限公司</t>
  </si>
  <si>
    <t>603825.SH</t>
  </si>
  <si>
    <t>华扬联众</t>
  </si>
  <si>
    <t>华扬联众数字技术股份有限公司</t>
  </si>
  <si>
    <t>603869.SH</t>
  </si>
  <si>
    <t>新智认知</t>
  </si>
  <si>
    <t>新智认知数字科技股份有限公司</t>
  </si>
  <si>
    <t>603887.SH</t>
  </si>
  <si>
    <t>城地香江</t>
  </si>
  <si>
    <t>上海城地香江数据科技股份有限公司</t>
  </si>
  <si>
    <t>603888.SH</t>
  </si>
  <si>
    <t>新华网</t>
  </si>
  <si>
    <t>新华网股份有限公司</t>
  </si>
  <si>
    <t>603918.SH</t>
  </si>
  <si>
    <t>金桥信息</t>
  </si>
  <si>
    <t>上海金桥信息股份有限公司</t>
  </si>
  <si>
    <t>603927.SH</t>
  </si>
  <si>
    <t>中科软</t>
  </si>
  <si>
    <t>中科软科技股份有限公司</t>
  </si>
  <si>
    <t>603990.SH</t>
  </si>
  <si>
    <t>麦迪科技</t>
  </si>
  <si>
    <t>苏州麦迪斯顿医疗科技股份有限公司</t>
  </si>
  <si>
    <t>605168.SH</t>
  </si>
  <si>
    <t>三人行</t>
  </si>
  <si>
    <t>三人行传媒集团股份有限公司</t>
  </si>
  <si>
    <t>605398.SH</t>
  </si>
  <si>
    <t>新炬网络</t>
  </si>
  <si>
    <t>上海新炬网络信息技术股份有限公司</t>
  </si>
  <si>
    <t>000156.SZ</t>
  </si>
  <si>
    <t>华数传媒</t>
  </si>
  <si>
    <t>华数传媒控股股份有限公司</t>
  </si>
  <si>
    <t>000665.SZ</t>
  </si>
  <si>
    <t>湖北广电</t>
  </si>
  <si>
    <t>湖北省广播电视信息网络股份有限公司</t>
  </si>
  <si>
    <t>000802.SZ</t>
  </si>
  <si>
    <t>北京文化</t>
  </si>
  <si>
    <t>北京京西文化旅游股份有限公司</t>
  </si>
  <si>
    <t>000892.SZ</t>
  </si>
  <si>
    <t>欢瑞世纪</t>
  </si>
  <si>
    <t>欢瑞世纪联合股份有限公司</t>
  </si>
  <si>
    <t>000917.SZ</t>
  </si>
  <si>
    <t>电广传媒</t>
  </si>
  <si>
    <t>湖南电广传媒股份有限公司</t>
  </si>
  <si>
    <t>001330.SZ</t>
  </si>
  <si>
    <t>博纳影业</t>
  </si>
  <si>
    <t>博纳影业集团股份有限公司</t>
  </si>
  <si>
    <t>600037.SH</t>
  </si>
  <si>
    <t>歌华有线</t>
  </si>
  <si>
    <t>北京歌华有线电视网络股份有限公司</t>
  </si>
  <si>
    <t>600052.SH</t>
  </si>
  <si>
    <t>东望时代</t>
  </si>
  <si>
    <t>浙江东望时代科技股份有限公司</t>
  </si>
  <si>
    <t>600088.SH</t>
  </si>
  <si>
    <t>中视传媒</t>
  </si>
  <si>
    <t>中视传媒股份有限公司</t>
  </si>
  <si>
    <t>600136.SH</t>
  </si>
  <si>
    <t>ST明诚</t>
  </si>
  <si>
    <t>武汉当代明诚文化体育集团股份有限公司</t>
  </si>
  <si>
    <t>600576.SH</t>
  </si>
  <si>
    <t>祥源文旅</t>
  </si>
  <si>
    <t>浙江祥源文旅股份有限公司</t>
  </si>
  <si>
    <t>600637.SH</t>
  </si>
  <si>
    <t>东方明珠</t>
  </si>
  <si>
    <t>东方明珠新媒体股份有限公司</t>
  </si>
  <si>
    <t>600640.SH</t>
  </si>
  <si>
    <t>国脉文化</t>
  </si>
  <si>
    <t>新国脉数字文化股份有限公司</t>
  </si>
  <si>
    <t>600715.SH</t>
  </si>
  <si>
    <t>文投控股</t>
  </si>
  <si>
    <t>文投控股股份有限公司</t>
  </si>
  <si>
    <t>600831.SH</t>
  </si>
  <si>
    <t>广电网络</t>
  </si>
  <si>
    <t>陕西广电网络传媒(集团)股份有限公司</t>
  </si>
  <si>
    <t>600892.SH</t>
  </si>
  <si>
    <t>大晟文化</t>
  </si>
  <si>
    <t>大晟时代文化投资股份有限公司</t>
  </si>
  <si>
    <t>600936.SH</t>
  </si>
  <si>
    <t>广西广电</t>
  </si>
  <si>
    <t>广西广播电视信息网络股份有限公司</t>
  </si>
  <si>
    <t>600959.SH</t>
  </si>
  <si>
    <t>江苏有线</t>
  </si>
  <si>
    <t>江苏省广电有线信息网络股份有限公司</t>
  </si>
  <si>
    <t>600977.SH</t>
  </si>
  <si>
    <t>中国电影</t>
  </si>
  <si>
    <t>中国电影股份有限公司</t>
  </si>
  <si>
    <t>600996.SH</t>
  </si>
  <si>
    <t>贵广网络</t>
  </si>
  <si>
    <t>贵州省广播电视信息网络股份有限公司</t>
  </si>
  <si>
    <t>601595.SH</t>
  </si>
  <si>
    <t>上海电影</t>
  </si>
  <si>
    <t>上海电影股份有限公司</t>
  </si>
  <si>
    <t>601929.SH</t>
  </si>
  <si>
    <t>吉视传媒</t>
  </si>
  <si>
    <t>吉视传媒股份有限公司</t>
  </si>
  <si>
    <t>603103.SH</t>
  </si>
  <si>
    <t>横店影视</t>
  </si>
  <si>
    <t>横店影视股份有限公司</t>
  </si>
  <si>
    <t>603598.SH</t>
  </si>
  <si>
    <t>引力传媒</t>
  </si>
  <si>
    <t>引力传媒股份有限公司</t>
  </si>
  <si>
    <t>603721.SH</t>
  </si>
  <si>
    <t>中广天择</t>
  </si>
  <si>
    <t>中广天择传媒股份有限公司</t>
  </si>
  <si>
    <t>000526.SZ</t>
  </si>
  <si>
    <t>学大教育</t>
  </si>
  <si>
    <t>学大(厦门)教育科技集团股份有限公司</t>
  </si>
  <si>
    <t>000558.SZ</t>
  </si>
  <si>
    <t>莱茵体育</t>
  </si>
  <si>
    <t>莱茵达体育发展股份有限公司</t>
  </si>
  <si>
    <t>001222.SZ</t>
  </si>
  <si>
    <t>源飞宠物</t>
  </si>
  <si>
    <t>温州源飞宠物玩具制品股份有限公司</t>
  </si>
  <si>
    <t>001300.SZ</t>
  </si>
  <si>
    <t>三柏硕</t>
  </si>
  <si>
    <t>青岛三柏硕健康科技股份有限公司</t>
  </si>
  <si>
    <t>600158.SH</t>
  </si>
  <si>
    <t>中体产业</t>
  </si>
  <si>
    <t>中体产业集团股份有限公司</t>
  </si>
  <si>
    <t>600455.SH</t>
  </si>
  <si>
    <t>博通股份</t>
  </si>
  <si>
    <t>西安博通资讯股份有限公司</t>
  </si>
  <si>
    <t>600636.SH</t>
  </si>
  <si>
    <t>国新文化</t>
  </si>
  <si>
    <t>国新文化控股股份有限公司</t>
  </si>
  <si>
    <t>600661.SH</t>
  </si>
  <si>
    <t>昂立教育</t>
  </si>
  <si>
    <t>上海新南洋昂立教育科技股份有限公司</t>
  </si>
  <si>
    <t>600662.SH</t>
  </si>
  <si>
    <t>外服控股</t>
  </si>
  <si>
    <t>上海外服控股集团股份有限公司</t>
  </si>
  <si>
    <t>600679.SH</t>
  </si>
  <si>
    <t>上海凤凰</t>
  </si>
  <si>
    <t>上海凤凰企业(集团)股份有限公司</t>
  </si>
  <si>
    <t>600818.SH</t>
  </si>
  <si>
    <t>中路股份</t>
  </si>
  <si>
    <t>中路股份有限公司</t>
  </si>
  <si>
    <t>603398.SH</t>
  </si>
  <si>
    <t>沐邦高科</t>
  </si>
  <si>
    <t>江西沐邦高科股份有限公司</t>
  </si>
  <si>
    <t>603466.SH</t>
  </si>
  <si>
    <t>风语筑</t>
  </si>
  <si>
    <t>上海风语筑文化科技股份有限公司</t>
  </si>
  <si>
    <t>603899.SH</t>
  </si>
  <si>
    <t>晨光股份</t>
  </si>
  <si>
    <t>上海晨光文具股份有限公司</t>
  </si>
  <si>
    <t>605098.SH</t>
  </si>
  <si>
    <t>行动教育</t>
  </si>
  <si>
    <t>上海行动教育科技股份有限公司</t>
  </si>
  <si>
    <t>605099.SH</t>
  </si>
  <si>
    <t>共创草坪</t>
  </si>
  <si>
    <t>江苏共创人造草坪股份有限公司</t>
  </si>
  <si>
    <t>605299.SH</t>
  </si>
  <si>
    <t>舒华体育</t>
  </si>
  <si>
    <t>舒华体育股份有限公司</t>
  </si>
  <si>
    <t>000529.SZ</t>
  </si>
  <si>
    <t>广弘控股</t>
  </si>
  <si>
    <t>广东广弘控股股份有限公司</t>
  </si>
  <si>
    <t>000719.SZ</t>
  </si>
  <si>
    <t>中原传媒</t>
  </si>
  <si>
    <t>中原大地传媒股份有限公司</t>
  </si>
  <si>
    <t>000793.SZ</t>
  </si>
  <si>
    <t>华闻集团</t>
  </si>
  <si>
    <t>华闻传媒投资集团股份有限公司</t>
  </si>
  <si>
    <t>600229.SH</t>
  </si>
  <si>
    <t>城市传媒</t>
  </si>
  <si>
    <t>青岛城市传媒股份有限公司</t>
  </si>
  <si>
    <t>600373.SH</t>
  </si>
  <si>
    <t>中文传媒</t>
  </si>
  <si>
    <t>中文天地出版传媒集团股份有限公司</t>
  </si>
  <si>
    <t>600551.SH</t>
  </si>
  <si>
    <t>时代出版</t>
  </si>
  <si>
    <t>时代出版传媒股份有限公司</t>
  </si>
  <si>
    <t>600757.SH</t>
  </si>
  <si>
    <t>长江传媒</t>
  </si>
  <si>
    <t>长江出版传媒股份有限公司</t>
  </si>
  <si>
    <t>600825.SH</t>
  </si>
  <si>
    <t>新华传媒</t>
  </si>
  <si>
    <t>上海新华传媒股份有限公司</t>
  </si>
  <si>
    <t>601019.SH</t>
  </si>
  <si>
    <t>山东出版</t>
  </si>
  <si>
    <t>山东出版传媒股份有限公司</t>
  </si>
  <si>
    <t>601098.SH</t>
  </si>
  <si>
    <t>中南传媒</t>
  </si>
  <si>
    <t>中南出版传媒集团股份有限公司</t>
  </si>
  <si>
    <t>601801.SH</t>
  </si>
  <si>
    <t>皖新传媒</t>
  </si>
  <si>
    <t>安徽新华传媒股份有限公司</t>
  </si>
  <si>
    <t>601811.SH</t>
  </si>
  <si>
    <t>新华文轩</t>
  </si>
  <si>
    <t>新华文轩出版传媒股份有限公司</t>
  </si>
  <si>
    <t>601858.SH</t>
  </si>
  <si>
    <t>中国科传</t>
  </si>
  <si>
    <t>中国科技出版传媒股份有限公司</t>
  </si>
  <si>
    <t>601900.SH</t>
  </si>
  <si>
    <t>南方传媒</t>
  </si>
  <si>
    <t>南方出版传媒股份有限公司</t>
  </si>
  <si>
    <t>601921.SH</t>
  </si>
  <si>
    <t>浙版传媒</t>
  </si>
  <si>
    <t>浙江出版传媒股份有限公司</t>
  </si>
  <si>
    <t>601928.SH</t>
  </si>
  <si>
    <t>凤凰传媒</t>
  </si>
  <si>
    <t>江苏凤凰出版传媒股份有限公司</t>
  </si>
  <si>
    <t>601949.SH</t>
  </si>
  <si>
    <t>中国出版</t>
  </si>
  <si>
    <t>中国出版传媒股份有限公司</t>
  </si>
  <si>
    <t>601999.SH</t>
  </si>
  <si>
    <t>出版传媒</t>
  </si>
  <si>
    <t>北方联合出版传媒(集团)股份有限公司</t>
  </si>
  <si>
    <t>603096.SH</t>
  </si>
  <si>
    <t>新经典</t>
  </si>
  <si>
    <t>新经典文化股份有限公司</t>
  </si>
  <si>
    <t>603230.SH</t>
  </si>
  <si>
    <t>内蒙新华</t>
  </si>
  <si>
    <t>内蒙古新华发行集团股份有限公司</t>
  </si>
  <si>
    <t>603999.SH</t>
  </si>
  <si>
    <t>读者传媒</t>
  </si>
  <si>
    <t>读者出版传媒股份有限公司</t>
  </si>
  <si>
    <t>605577.SH</t>
  </si>
  <si>
    <t>龙版传媒</t>
  </si>
  <si>
    <t>黑龙江出版传媒股份有限公司</t>
  </si>
  <si>
    <t>000063.SZ</t>
  </si>
  <si>
    <t>中兴通讯</t>
  </si>
  <si>
    <t>中兴通讯股份有限公司</t>
  </si>
  <si>
    <t>000070.SZ</t>
  </si>
  <si>
    <t>特发信息</t>
  </si>
  <si>
    <t>深圳市特发信息股份有限公司</t>
  </si>
  <si>
    <t>000547.SZ</t>
  </si>
  <si>
    <t>航天发展</t>
  </si>
  <si>
    <t>航天工业发展股份有限公司</t>
  </si>
  <si>
    <t>000561.SZ</t>
  </si>
  <si>
    <t>烽火电子</t>
  </si>
  <si>
    <t>陕西烽火电子股份有限公司</t>
  </si>
  <si>
    <t>000586.SZ</t>
  </si>
  <si>
    <t>汇源通信</t>
  </si>
  <si>
    <t>四川汇源光通信股份有限公司</t>
  </si>
  <si>
    <t>000836.SZ</t>
  </si>
  <si>
    <t>富通信息</t>
  </si>
  <si>
    <t>天津富通信息科技股份有限公司</t>
  </si>
  <si>
    <t>000851.SZ</t>
  </si>
  <si>
    <t>高鸿股份</t>
  </si>
  <si>
    <t>大唐高鸿网络股份有限公司</t>
  </si>
  <si>
    <t>000889.SZ</t>
  </si>
  <si>
    <t>ST中嘉</t>
  </si>
  <si>
    <t>中嘉博创信息技术股份有限公司</t>
  </si>
  <si>
    <t>600050.SH</t>
  </si>
  <si>
    <t>中国联通</t>
  </si>
  <si>
    <t>中国联合网络通信股份有限公司</t>
  </si>
  <si>
    <t>600105.SH</t>
  </si>
  <si>
    <t>永鼎股份</t>
  </si>
  <si>
    <t>江苏永鼎股份有限公司</t>
  </si>
  <si>
    <t>600130.SH</t>
  </si>
  <si>
    <t>波导股份</t>
  </si>
  <si>
    <t>宁波波导股份有限公司</t>
  </si>
  <si>
    <t>600131.SH</t>
  </si>
  <si>
    <t>国网信通</t>
  </si>
  <si>
    <t>国网信息通信股份有限公司</t>
  </si>
  <si>
    <t>600198.SH</t>
  </si>
  <si>
    <t>大唐电信</t>
  </si>
  <si>
    <t>大唐电信科技股份有限公司</t>
  </si>
  <si>
    <t>600260.SH</t>
  </si>
  <si>
    <t>*ST凯乐</t>
  </si>
  <si>
    <t>湖北凯乐科技股份有限公司</t>
  </si>
  <si>
    <t>600345.SH</t>
  </si>
  <si>
    <t>长江通信</t>
  </si>
  <si>
    <t>武汉长江通信产业集团股份有限公司</t>
  </si>
  <si>
    <t>600487.SH</t>
  </si>
  <si>
    <t>亨通光电</t>
  </si>
  <si>
    <t>江苏亨通光电股份有限公司</t>
  </si>
  <si>
    <t>600498.SH</t>
  </si>
  <si>
    <t>烽火通信</t>
  </si>
  <si>
    <t>烽火通信科技股份有限公司</t>
  </si>
  <si>
    <t>600522.SH</t>
  </si>
  <si>
    <t>中天科技</t>
  </si>
  <si>
    <t>江苏中天科技股份有限公司</t>
  </si>
  <si>
    <t>600562.SH</t>
  </si>
  <si>
    <t>国睿科技</t>
  </si>
  <si>
    <t>国睿科技股份有限公司</t>
  </si>
  <si>
    <t>600775.SH</t>
  </si>
  <si>
    <t>南京熊猫</t>
  </si>
  <si>
    <t>南京熊猫电子股份有限公司</t>
  </si>
  <si>
    <t>600776.SH</t>
  </si>
  <si>
    <t>东方通信</t>
  </si>
  <si>
    <t>东方通信股份有限公司</t>
  </si>
  <si>
    <t>600804.SH</t>
  </si>
  <si>
    <t>ST鹏博士</t>
  </si>
  <si>
    <t>鹏博士电信传媒集团股份有限公司</t>
  </si>
  <si>
    <t>600898.SH</t>
  </si>
  <si>
    <t>国美通讯</t>
  </si>
  <si>
    <t>国美通讯设备股份有限公司</t>
  </si>
  <si>
    <t>600941.SH</t>
  </si>
  <si>
    <t>中国移动</t>
  </si>
  <si>
    <t>中国移动有限公司</t>
  </si>
  <si>
    <t>600990.SH</t>
  </si>
  <si>
    <t>四创电子</t>
  </si>
  <si>
    <t>四创电子股份有限公司</t>
  </si>
  <si>
    <t>601138.SH</t>
  </si>
  <si>
    <t>工业富联</t>
  </si>
  <si>
    <t>富士康工业互联网股份有限公司</t>
  </si>
  <si>
    <t>601698.SH</t>
  </si>
  <si>
    <t>中国卫通</t>
  </si>
  <si>
    <t>中国卫通集团股份有限公司</t>
  </si>
  <si>
    <t>601728.SH</t>
  </si>
  <si>
    <t>中国电信</t>
  </si>
  <si>
    <t>中国电信股份有限公司</t>
  </si>
  <si>
    <t>601869.SH</t>
  </si>
  <si>
    <t>长飞光纤</t>
  </si>
  <si>
    <t>长飞光纤光缆股份有限公司</t>
  </si>
  <si>
    <t>603042.SH</t>
  </si>
  <si>
    <t>华脉科技</t>
  </si>
  <si>
    <t>南京华脉科技股份有限公司</t>
  </si>
  <si>
    <t>603083.SH</t>
  </si>
  <si>
    <t>剑桥科技</t>
  </si>
  <si>
    <t>上海剑桥科技股份有限公司</t>
  </si>
  <si>
    <t>603118.SH</t>
  </si>
  <si>
    <t>共进股份</t>
  </si>
  <si>
    <t>深圳市共进电子股份有限公司</t>
  </si>
  <si>
    <t>603220.SH</t>
  </si>
  <si>
    <t>中贝通信</t>
  </si>
  <si>
    <t>中贝通信集团股份有限公司</t>
  </si>
  <si>
    <t>603236.SH</t>
  </si>
  <si>
    <t>移远通信</t>
  </si>
  <si>
    <t>上海移远通信技术股份有限公司</t>
  </si>
  <si>
    <t>603322.SH</t>
  </si>
  <si>
    <t>超讯通信</t>
  </si>
  <si>
    <t>超讯通信股份有限公司</t>
  </si>
  <si>
    <t>603421.SH</t>
  </si>
  <si>
    <t>鼎信通讯</t>
  </si>
  <si>
    <t>青岛鼎信通讯股份有限公司</t>
  </si>
  <si>
    <t>603516.SH</t>
  </si>
  <si>
    <t>淳中科技</t>
  </si>
  <si>
    <t>北京淳中科技股份有限公司</t>
  </si>
  <si>
    <t>603559.SH</t>
  </si>
  <si>
    <t>中通国脉</t>
  </si>
  <si>
    <t>中通国脉通信股份有限公司</t>
  </si>
  <si>
    <t>603602.SH</t>
  </si>
  <si>
    <t>纵横通信</t>
  </si>
  <si>
    <t>杭州纵横通信股份有限公司</t>
  </si>
  <si>
    <t>603660.SH</t>
  </si>
  <si>
    <t>苏州科达</t>
  </si>
  <si>
    <t>苏州科达科技股份有限公司</t>
  </si>
  <si>
    <t>603703.SH</t>
  </si>
  <si>
    <t>盛洋科技</t>
  </si>
  <si>
    <t>浙江盛洋科技股份有限公司</t>
  </si>
  <si>
    <t>603712.SH</t>
  </si>
  <si>
    <t>七一二</t>
  </si>
  <si>
    <t>天津七一二通信广播股份有限公司</t>
  </si>
  <si>
    <t>603803.SH</t>
  </si>
  <si>
    <t>瑞斯康达</t>
  </si>
  <si>
    <t>瑞斯康达科技发展股份有限公司</t>
  </si>
  <si>
    <t>603881.SH</t>
  </si>
  <si>
    <t>数据港</t>
  </si>
  <si>
    <t>上海数据港股份有限公司</t>
  </si>
  <si>
    <t>000552.SZ</t>
  </si>
  <si>
    <t>靖远煤电</t>
  </si>
  <si>
    <t>甘肃靖远煤电股份有限公司</t>
  </si>
  <si>
    <t>000571.SZ</t>
  </si>
  <si>
    <t>ST大洲</t>
  </si>
  <si>
    <t>新大洲控股股份有限公司</t>
  </si>
  <si>
    <t>000723.SZ</t>
  </si>
  <si>
    <t>美锦能源</t>
  </si>
  <si>
    <t>山西美锦能源股份有限公司</t>
  </si>
  <si>
    <t>000937.SZ</t>
  </si>
  <si>
    <t>冀中能源</t>
  </si>
  <si>
    <t>冀中能源股份有限公司</t>
  </si>
  <si>
    <t>000983.SZ</t>
  </si>
  <si>
    <t>山西焦煤</t>
  </si>
  <si>
    <t>山西焦煤能源集团股份有限公司</t>
  </si>
  <si>
    <t>600121.SH</t>
  </si>
  <si>
    <t>郑州煤电</t>
  </si>
  <si>
    <t>郑州煤电股份有限公司</t>
  </si>
  <si>
    <t>600123.SH</t>
  </si>
  <si>
    <t>兰花科创</t>
  </si>
  <si>
    <t>山西兰花科技创业股份有限公司</t>
  </si>
  <si>
    <t>600188.SH</t>
  </si>
  <si>
    <t>兖矿能源</t>
  </si>
  <si>
    <t>兖矿能源集团股份有限公司</t>
  </si>
  <si>
    <t>600348.SH</t>
  </si>
  <si>
    <t>华阳股份</t>
  </si>
  <si>
    <t>山西华阳集团新能股份有限公司</t>
  </si>
  <si>
    <t>600395.SH</t>
  </si>
  <si>
    <t>盘江股份</t>
  </si>
  <si>
    <t>贵州盘江精煤股份有限公司</t>
  </si>
  <si>
    <t>600397.SH</t>
  </si>
  <si>
    <t>安源煤业</t>
  </si>
  <si>
    <t>安源煤业集团股份有限公司</t>
  </si>
  <si>
    <t>600403.SH</t>
  </si>
  <si>
    <t>大有能源</t>
  </si>
  <si>
    <t>河南大有能源股份有限公司</t>
  </si>
  <si>
    <t>600408.SH</t>
  </si>
  <si>
    <t>安泰集团</t>
  </si>
  <si>
    <t>山西安泰集团股份有限公司</t>
  </si>
  <si>
    <t>600508.SH</t>
  </si>
  <si>
    <t>上海能源</t>
  </si>
  <si>
    <t>上海大屯能源股份有限公司</t>
  </si>
  <si>
    <t>600546.SH</t>
  </si>
  <si>
    <t>山煤国际</t>
  </si>
  <si>
    <t>山煤国际能源集团股份有限公司</t>
  </si>
  <si>
    <t>600725.SH</t>
  </si>
  <si>
    <t>云维股份</t>
  </si>
  <si>
    <t>云南云维股份有限公司</t>
  </si>
  <si>
    <t>600740.SH</t>
  </si>
  <si>
    <t>山西焦化</t>
  </si>
  <si>
    <t>山西焦化股份有限公司</t>
  </si>
  <si>
    <t>600758.SH</t>
  </si>
  <si>
    <t>辽宁能源</t>
  </si>
  <si>
    <t>辽宁能源煤电产业股份有限公司</t>
  </si>
  <si>
    <t>600792.SH</t>
  </si>
  <si>
    <t>云煤能源</t>
  </si>
  <si>
    <t>云南煤业能源股份有限公司</t>
  </si>
  <si>
    <t>600971.SH</t>
  </si>
  <si>
    <t>恒源煤电</t>
  </si>
  <si>
    <t>安徽恒源煤电股份有限公司</t>
  </si>
  <si>
    <t>600985.SH</t>
  </si>
  <si>
    <t>淮北矿业</t>
  </si>
  <si>
    <t>淮北矿业控股股份有限公司</t>
  </si>
  <si>
    <t>600997.SH</t>
  </si>
  <si>
    <t>开滦股份</t>
  </si>
  <si>
    <t>开滦能源化工股份有限公司</t>
  </si>
  <si>
    <t>601001.SH</t>
  </si>
  <si>
    <t>晋控煤业</t>
  </si>
  <si>
    <t>晋能控股山西煤业股份有限公司</t>
  </si>
  <si>
    <t>601011.SH</t>
  </si>
  <si>
    <t>宝泰隆</t>
  </si>
  <si>
    <t>宝泰隆新材料股份有限公司</t>
  </si>
  <si>
    <t>601015.SH</t>
  </si>
  <si>
    <t>陕西黑猫</t>
  </si>
  <si>
    <t>陕西黑猫焦化股份有限公司</t>
  </si>
  <si>
    <t>601088.SH</t>
  </si>
  <si>
    <t>中国神华</t>
  </si>
  <si>
    <t>中国神华能源股份有限公司</t>
  </si>
  <si>
    <t>601101.SH</t>
  </si>
  <si>
    <t>昊华能源</t>
  </si>
  <si>
    <t>北京昊华能源股份有限公司</t>
  </si>
  <si>
    <t>601225.SH</t>
  </si>
  <si>
    <t>陕西煤业</t>
  </si>
  <si>
    <t>陕西煤业股份有限公司</t>
  </si>
  <si>
    <t>601666.SH</t>
  </si>
  <si>
    <t>平煤股份</t>
  </si>
  <si>
    <t>平顶山天安煤业股份有限公司</t>
  </si>
  <si>
    <t>601699.SH</t>
  </si>
  <si>
    <t>潞安环能</t>
  </si>
  <si>
    <t>山西潞安环保能源开发股份有限公司</t>
  </si>
  <si>
    <t>601898.SH</t>
  </si>
  <si>
    <t>中煤能源</t>
  </si>
  <si>
    <t>中国中煤能源股份有限公司</t>
  </si>
  <si>
    <t>601918.SH</t>
  </si>
  <si>
    <t>新集能源</t>
  </si>
  <si>
    <t>中煤新集能源股份有限公司</t>
  </si>
  <si>
    <t>603113.SH</t>
  </si>
  <si>
    <t>金能科技</t>
  </si>
  <si>
    <t>金能科技股份有限公司</t>
  </si>
  <si>
    <t>000059.SZ</t>
  </si>
  <si>
    <t>华锦股份</t>
  </si>
  <si>
    <t>北方华锦化学工业股份有限公司</t>
  </si>
  <si>
    <t>000096.SZ</t>
  </si>
  <si>
    <t>广聚能源</t>
  </si>
  <si>
    <t>深圳市广聚能源股份有限公司</t>
  </si>
  <si>
    <t>000159.SZ</t>
  </si>
  <si>
    <t>国际实业</t>
  </si>
  <si>
    <t>新疆国际实业股份有限公司</t>
  </si>
  <si>
    <t>000554.SZ</t>
  </si>
  <si>
    <t>泰山石油</t>
  </si>
  <si>
    <t>中国石化山东泰山石油股份有限公司</t>
  </si>
  <si>
    <t>000637.SZ</t>
  </si>
  <si>
    <t>茂化实华</t>
  </si>
  <si>
    <t>茂名石化实华股份有限公司</t>
  </si>
  <si>
    <t>000698.SZ</t>
  </si>
  <si>
    <t>沈阳化工</t>
  </si>
  <si>
    <t>沈阳化工股份有限公司</t>
  </si>
  <si>
    <t>000819.SZ</t>
  </si>
  <si>
    <t>岳阳兴长</t>
  </si>
  <si>
    <t>岳阳兴长石化股份有限公司</t>
  </si>
  <si>
    <t>000968.SZ</t>
  </si>
  <si>
    <t>蓝焰控股</t>
  </si>
  <si>
    <t>山西蓝焰控股股份有限公司</t>
  </si>
  <si>
    <t>600028.SH</t>
  </si>
  <si>
    <t>中国石化</t>
  </si>
  <si>
    <t>中国石油化工股份有限公司</t>
  </si>
  <si>
    <t>600256.SH</t>
  </si>
  <si>
    <t>广汇能源</t>
  </si>
  <si>
    <t>广汇能源股份有限公司</t>
  </si>
  <si>
    <t>600339.SH</t>
  </si>
  <si>
    <t>中油工程</t>
  </si>
  <si>
    <t>中国石油集团工程股份有限公司</t>
  </si>
  <si>
    <t>600346.SH</t>
  </si>
  <si>
    <t>恒力石化</t>
  </si>
  <si>
    <t>恒力石化股份有限公司</t>
  </si>
  <si>
    <t>600387.SH</t>
  </si>
  <si>
    <t>海越能源</t>
  </si>
  <si>
    <t>海越能源集团股份有限公司</t>
  </si>
  <si>
    <t>600583.SH</t>
  </si>
  <si>
    <t>海油工程</t>
  </si>
  <si>
    <t>海洋石油工程股份有限公司</t>
  </si>
  <si>
    <t>600688.SH</t>
  </si>
  <si>
    <t>上海石化</t>
  </si>
  <si>
    <t>中国石化上海石油化工股份有限公司</t>
  </si>
  <si>
    <t>600759.SH</t>
  </si>
  <si>
    <t>ST洲际</t>
  </si>
  <si>
    <t>洲际油气股份有限公司</t>
  </si>
  <si>
    <t>600777.SH</t>
  </si>
  <si>
    <t>新潮能源</t>
  </si>
  <si>
    <t>山东新潮能源股份有限公司</t>
  </si>
  <si>
    <t>600871.SH</t>
  </si>
  <si>
    <t>石化油服</t>
  </si>
  <si>
    <t>中石化石油工程技术服务股份有限公司</t>
  </si>
  <si>
    <t>600938.SH</t>
  </si>
  <si>
    <t>中国海油</t>
  </si>
  <si>
    <t>中国海洋石油有限公司</t>
  </si>
  <si>
    <t>600968.SH</t>
  </si>
  <si>
    <t>海油发展</t>
  </si>
  <si>
    <t>中海油能源发展股份有限公司</t>
  </si>
  <si>
    <t>601808.SH</t>
  </si>
  <si>
    <t>中海油服</t>
  </si>
  <si>
    <t>中海油田服务股份有限公司</t>
  </si>
  <si>
    <t>601857.SH</t>
  </si>
  <si>
    <t>中国石油</t>
  </si>
  <si>
    <t>中国石油天然气股份有限公司</t>
  </si>
  <si>
    <t>603003.SH</t>
  </si>
  <si>
    <t>龙宇燃油</t>
  </si>
  <si>
    <t>上海龙宇数据股份有限公司</t>
  </si>
  <si>
    <t>603353.SH</t>
  </si>
  <si>
    <t>和顺石油</t>
  </si>
  <si>
    <t>湖南和顺石油股份有限公司</t>
  </si>
  <si>
    <t>603619.SH</t>
  </si>
  <si>
    <t>中曼石油</t>
  </si>
  <si>
    <t>中曼石油天然气集团股份有限公司</t>
  </si>
  <si>
    <t>603727.SH</t>
  </si>
  <si>
    <t>博迈科</t>
  </si>
  <si>
    <t>博迈科海洋工程股份有限公司</t>
  </si>
  <si>
    <t>603798.SH</t>
  </si>
  <si>
    <t>康普顿</t>
  </si>
  <si>
    <t>青岛康普顿科技股份有限公司</t>
  </si>
  <si>
    <t>000005.SZ</t>
  </si>
  <si>
    <t>ST星源</t>
  </si>
  <si>
    <t>深圳世纪星源股份有限公司</t>
  </si>
  <si>
    <t>000035.SZ</t>
  </si>
  <si>
    <t>中国天楹</t>
  </si>
  <si>
    <t>中国天楹股份有限公司</t>
  </si>
  <si>
    <t>000068.SZ</t>
  </si>
  <si>
    <t>华控赛格</t>
  </si>
  <si>
    <t>深圳华控赛格股份有限公司</t>
  </si>
  <si>
    <t>000544.SZ</t>
  </si>
  <si>
    <t>中原环保</t>
  </si>
  <si>
    <t>中原环保股份有限公司</t>
  </si>
  <si>
    <t>000546.SZ</t>
  </si>
  <si>
    <t>金圆股份</t>
  </si>
  <si>
    <t>金圆环保股份有限公司</t>
  </si>
  <si>
    <t>000711.SZ</t>
  </si>
  <si>
    <t>京蓝科技</t>
  </si>
  <si>
    <t>京蓝科技股份有限公司</t>
  </si>
  <si>
    <t>000803.SZ</t>
  </si>
  <si>
    <t>山高环能</t>
  </si>
  <si>
    <t>山高环能集团股份有限公司</t>
  </si>
  <si>
    <t>000820.SZ</t>
  </si>
  <si>
    <t>神雾节能</t>
  </si>
  <si>
    <t>神雾节能股份有限公司</t>
  </si>
  <si>
    <t>000826.SZ</t>
  </si>
  <si>
    <t>启迪环境</t>
  </si>
  <si>
    <t>启迪环境科技发展股份有限公司</t>
  </si>
  <si>
    <t>000885.SZ</t>
  </si>
  <si>
    <t>城发环境</t>
  </si>
  <si>
    <t>城发环境股份有限公司</t>
  </si>
  <si>
    <t>000920.SZ</t>
  </si>
  <si>
    <t>沃顿科技</t>
  </si>
  <si>
    <t>沃顿科技股份有限公司</t>
  </si>
  <si>
    <t>000967.SZ</t>
  </si>
  <si>
    <t>盈峰环境</t>
  </si>
  <si>
    <t>盈峰环境科技集团股份有限公司</t>
  </si>
  <si>
    <t>001230.SZ</t>
  </si>
  <si>
    <t>劲旅环境</t>
  </si>
  <si>
    <t>劲旅环境科技股份有限公司</t>
  </si>
  <si>
    <t>600008.SH</t>
  </si>
  <si>
    <t>首创环保</t>
  </si>
  <si>
    <t>北京首创生态环保集团股份有限公司</t>
  </si>
  <si>
    <t>600217.SH</t>
  </si>
  <si>
    <t>中再资环</t>
  </si>
  <si>
    <t>中再资源环境股份有限公司</t>
  </si>
  <si>
    <t>600292.SH</t>
  </si>
  <si>
    <t>远达环保</t>
  </si>
  <si>
    <t>国家电投集团远达环保股份有限公司</t>
  </si>
  <si>
    <t>600323.SH</t>
  </si>
  <si>
    <t>瀚蓝环境</t>
  </si>
  <si>
    <t>瀚蓝环境股份有限公司</t>
  </si>
  <si>
    <t>600388.SH</t>
  </si>
  <si>
    <t>ST龙净</t>
  </si>
  <si>
    <t>福建龙净环保股份有限公司</t>
  </si>
  <si>
    <t>600475.SH</t>
  </si>
  <si>
    <t>华光环能</t>
  </si>
  <si>
    <t>无锡华光环保能源集团股份有限公司</t>
  </si>
  <si>
    <t>600526.SH</t>
  </si>
  <si>
    <t>菲达环保</t>
  </si>
  <si>
    <t>浙江菲达环保科技股份有限公司</t>
  </si>
  <si>
    <t>600796.SH</t>
  </si>
  <si>
    <t>钱江生化</t>
  </si>
  <si>
    <t>浙江钱江生物化学股份有限公司</t>
  </si>
  <si>
    <t>600874.SH</t>
  </si>
  <si>
    <t>创业环保</t>
  </si>
  <si>
    <t>天津创业环保集团股份有限公司</t>
  </si>
  <si>
    <t>601200.SH</t>
  </si>
  <si>
    <t>上海环境</t>
  </si>
  <si>
    <t>上海环境集团股份有限公司</t>
  </si>
  <si>
    <t>601330.SH</t>
  </si>
  <si>
    <t>绿色动力</t>
  </si>
  <si>
    <t>绿色动力环保集团股份有限公司</t>
  </si>
  <si>
    <t>601827.SH</t>
  </si>
  <si>
    <t>三峰环境</t>
  </si>
  <si>
    <t>重庆三峰环境集团股份有限公司</t>
  </si>
  <si>
    <t>603126.SH</t>
  </si>
  <si>
    <t>中材节能</t>
  </si>
  <si>
    <t>中材节能股份有限公司</t>
  </si>
  <si>
    <t>603177.SH</t>
  </si>
  <si>
    <t>德创环保</t>
  </si>
  <si>
    <t>浙江德创环保科技股份有限公司</t>
  </si>
  <si>
    <t>603200.SH</t>
  </si>
  <si>
    <t>上海洗霸</t>
  </si>
  <si>
    <t>上海洗霸科技股份有限公司</t>
  </si>
  <si>
    <t>603279.SH</t>
  </si>
  <si>
    <t>景津装备</t>
  </si>
  <si>
    <t>景津装备股份有限公司</t>
  </si>
  <si>
    <t>603324.SH</t>
  </si>
  <si>
    <t>盛剑环境</t>
  </si>
  <si>
    <t>上海盛剑环境系统科技股份有限公司</t>
  </si>
  <si>
    <t>603359.SH</t>
  </si>
  <si>
    <t>东珠生态</t>
  </si>
  <si>
    <t>东珠生态环保股份有限公司</t>
  </si>
  <si>
    <t>603568.SH</t>
  </si>
  <si>
    <t>伟明环保</t>
  </si>
  <si>
    <t>浙江伟明环保股份有限公司</t>
  </si>
  <si>
    <t>603588.SH</t>
  </si>
  <si>
    <t>高能环境</t>
  </si>
  <si>
    <t>北京高能时代环境技术股份有限公司</t>
  </si>
  <si>
    <t>603603.SH</t>
  </si>
  <si>
    <t>*ST博天</t>
  </si>
  <si>
    <t>博天环境集团股份有限公司</t>
  </si>
  <si>
    <t>603686.SH</t>
  </si>
  <si>
    <t>福龙马</t>
  </si>
  <si>
    <t>福龙马集团股份有限公司</t>
  </si>
  <si>
    <t>603717.SH</t>
  </si>
  <si>
    <t>天域生态</t>
  </si>
  <si>
    <t>天域生态环境股份有限公司</t>
  </si>
  <si>
    <t>603797.SH</t>
  </si>
  <si>
    <t>联泰环保</t>
  </si>
  <si>
    <t>广东联泰环保股份有限公司</t>
  </si>
  <si>
    <t>603817.SH</t>
  </si>
  <si>
    <t>海峡环保</t>
  </si>
  <si>
    <t>福建海峡环保集团股份有限公司</t>
  </si>
  <si>
    <t>603903.SH</t>
  </si>
  <si>
    <t>中持股份</t>
  </si>
  <si>
    <t>中持水务股份有限公司</t>
  </si>
  <si>
    <t>603955.SH</t>
  </si>
  <si>
    <t>大千生态</t>
  </si>
  <si>
    <t>大千生态环境集团股份有限公司</t>
  </si>
  <si>
    <t>605069.SH</t>
  </si>
  <si>
    <t>正和生态</t>
  </si>
  <si>
    <t>北京正和恒基滨水生态环境治理股份有限公司</t>
  </si>
  <si>
    <t>605081.SH</t>
  </si>
  <si>
    <t>太和水</t>
  </si>
  <si>
    <t>上海太和水科技发展股份有限公司</t>
  </si>
  <si>
    <t>000523.SZ</t>
  </si>
  <si>
    <t>广州浪奇</t>
  </si>
  <si>
    <t>广州市浪奇实业股份有限公司</t>
  </si>
  <si>
    <t>600249.SH</t>
  </si>
  <si>
    <t>两面针</t>
  </si>
  <si>
    <t>柳州两面针股份有限公司</t>
  </si>
  <si>
    <t>600315.SH</t>
  </si>
  <si>
    <t>上海家化</t>
  </si>
  <si>
    <t>上海家化联合股份有限公司</t>
  </si>
  <si>
    <t>603059.SH</t>
  </si>
  <si>
    <t>倍加洁</t>
  </si>
  <si>
    <t>倍加洁集团股份有限公司</t>
  </si>
  <si>
    <t>603605.SH</t>
  </si>
  <si>
    <t>珀莱雅</t>
  </si>
  <si>
    <t>珀莱雅化妆品股份有限公司</t>
  </si>
  <si>
    <t>603630.SH</t>
  </si>
  <si>
    <t>拉芳家化</t>
  </si>
  <si>
    <t>拉芳家化股份有限公司</t>
  </si>
  <si>
    <t>603983.SH</t>
  </si>
  <si>
    <t>丸美股份</t>
  </si>
  <si>
    <t>广东丸美生物技术股份有限公司</t>
  </si>
  <si>
    <t>000007.SZ</t>
  </si>
  <si>
    <t>全新好</t>
  </si>
  <si>
    <t>深圳市全新好股份有限公司</t>
  </si>
  <si>
    <t>000829.SZ</t>
  </si>
  <si>
    <t>天音控股</t>
  </si>
  <si>
    <t>天音通信控股股份有限公司</t>
  </si>
  <si>
    <t>000861.SZ</t>
  </si>
  <si>
    <t>海印股份</t>
  </si>
  <si>
    <t>广东海印集团股份有限公司</t>
  </si>
  <si>
    <t>000882.SZ</t>
  </si>
  <si>
    <t>华联股份</t>
  </si>
  <si>
    <t>北京华联商厦股份有限公司</t>
  </si>
  <si>
    <t>600122.SH</t>
  </si>
  <si>
    <t>ST宏图</t>
  </si>
  <si>
    <t>江苏宏图高科技股份有限公司</t>
  </si>
  <si>
    <t>601828.SH</t>
  </si>
  <si>
    <t>美凯龙</t>
  </si>
  <si>
    <t>红星美凯龙家居集团股份有限公司</t>
  </si>
  <si>
    <t>605136.SH</t>
  </si>
  <si>
    <t>丽人丽妆</t>
  </si>
  <si>
    <t>上海丽人丽妆化妆品股份有限公司</t>
  </si>
  <si>
    <t>000058.SZ</t>
  </si>
  <si>
    <t>深赛格</t>
  </si>
  <si>
    <t>深圳赛格股份有限公司</t>
  </si>
  <si>
    <t>600415.SH</t>
  </si>
  <si>
    <t>小商品城</t>
  </si>
  <si>
    <t>浙江中国小商品城集团股份有限公司</t>
  </si>
  <si>
    <t>600711.SH</t>
  </si>
  <si>
    <t>600790.SH</t>
  </si>
  <si>
    <t>轻纺城</t>
  </si>
  <si>
    <t>浙江中国轻纺城集团股份有限公司</t>
  </si>
  <si>
    <t>601118.SH</t>
  </si>
  <si>
    <t>海南橡胶</t>
  </si>
  <si>
    <t>海南天然橡胶产业集团股份有限公司</t>
  </si>
  <si>
    <t>603033.SH</t>
  </si>
  <si>
    <t>三维股份</t>
  </si>
  <si>
    <t>三维控股集团股份有限公司</t>
  </si>
  <si>
    <t>605008.SH</t>
  </si>
  <si>
    <t>长鸿高科</t>
  </si>
  <si>
    <t>宁波长鸿高分子科技股份有限公司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</si>
</sst>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14" borderId="2" applyNumberFormat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 applyAlignment="1">
      <alignment horizontal="right"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haredStrings" Target="sharedStrings.xml"/><Relationship Id="rId35" Type="http://schemas.openxmlformats.org/officeDocument/2006/relationships/styles" Target="styles.xml"/><Relationship Id="rId34" Type="http://schemas.openxmlformats.org/officeDocument/2006/relationships/theme" Target="theme/theme1.xml"/><Relationship Id="rId33" Type="http://schemas.openxmlformats.org/officeDocument/2006/relationships/pivotCacheDefinition" Target="pivotCache/pivotCacheDefinition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24102;&#31579;&#36873;&#32929;&#3108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945.3578009259" refreshedBy="sjgs" recordCount="2179">
  <cacheSource type="worksheet">
    <worksheetSource ref="A1:J1048576" sheet="tushare_stock_basic_20230119082" r:id="rId2"/>
  </cacheSource>
  <cacheFields count="10">
    <cacheField name="ts_code" numFmtId="0">
      <sharedItems containsBlank="1" count="2179">
        <s v="000001.SZ"/>
        <s v="000002.SZ"/>
        <s v="000004.SZ"/>
        <s v="000005.SZ"/>
        <s v="000006.SZ"/>
        <s v="000007.SZ"/>
        <s v="000008.SZ"/>
        <s v="000009.SZ"/>
        <s v="000010.SZ"/>
        <s v="000011.SZ"/>
        <s v="000012.SZ"/>
        <s v="000014.SZ"/>
        <s v="000016.SZ"/>
        <s v="000017.SZ"/>
        <s v="000019.SZ"/>
        <s v="000020.SZ"/>
        <s v="000021.SZ"/>
        <s v="000023.SZ"/>
        <s v="000025.SZ"/>
        <s v="000026.SZ"/>
        <s v="000027.SZ"/>
        <s v="000028.SZ"/>
        <s v="000029.SZ"/>
        <s v="000030.SZ"/>
        <s v="000031.SZ"/>
        <s v="000032.SZ"/>
        <s v="000034.SZ"/>
        <s v="000035.SZ"/>
        <s v="000036.SZ"/>
        <s v="000037.SZ"/>
        <s v="000038.SZ"/>
        <s v="000039.SZ"/>
        <s v="000040.SZ"/>
        <s v="000042.SZ"/>
        <s v="000045.SZ"/>
        <s v="000046.SZ"/>
        <s v="000048.SZ"/>
        <s v="000049.SZ"/>
        <s v="000050.SZ"/>
        <s v="000055.SZ"/>
        <s v="000056.SZ"/>
        <s v="000058.SZ"/>
        <s v="000059.SZ"/>
        <s v="000060.SZ"/>
        <s v="000061.SZ"/>
        <s v="000062.SZ"/>
        <s v="000063.SZ"/>
        <s v="000065.SZ"/>
        <s v="000066.SZ"/>
        <s v="000068.SZ"/>
        <s v="000069.SZ"/>
        <s v="000070.SZ"/>
        <s v="000078.SZ"/>
        <s v="000088.SZ"/>
        <s v="000089.SZ"/>
        <s v="000090.SZ"/>
        <s v="000096.SZ"/>
        <s v="000099.SZ"/>
        <s v="000100.SZ"/>
        <s v="000150.SZ"/>
        <s v="000151.SZ"/>
        <s v="000153.SZ"/>
        <s v="000155.SZ"/>
        <s v="000156.SZ"/>
        <s v="000157.SZ"/>
        <s v="000158.SZ"/>
        <s v="000159.SZ"/>
        <s v="000166.SZ"/>
        <s v="000301.SZ"/>
        <s v="000333.SZ"/>
        <s v="000338.SZ"/>
        <s v="000400.SZ"/>
        <s v="000401.SZ"/>
        <s v="000402.SZ"/>
        <s v="000403.SZ"/>
        <s v="000404.SZ"/>
        <s v="000407.SZ"/>
        <s v="000408.SZ"/>
        <s v="000409.SZ"/>
        <s v="000410.SZ"/>
        <s v="000411.SZ"/>
        <s v="000413.SZ"/>
        <s v="000415.SZ"/>
        <s v="000416.SZ"/>
        <s v="000417.SZ"/>
        <s v="000419.SZ"/>
        <s v="000420.SZ"/>
        <s v="000421.SZ"/>
        <s v="000422.SZ"/>
        <s v="000423.SZ"/>
        <s v="000425.SZ"/>
        <s v="000426.SZ"/>
        <s v="000428.SZ"/>
        <s v="000429.SZ"/>
        <s v="000430.SZ"/>
        <s v="000488.SZ"/>
        <s v="000498.SZ"/>
        <s v="000501.SZ"/>
        <s v="000503.SZ"/>
        <s v="000504.SZ"/>
        <s v="000505.SZ"/>
        <s v="000506.SZ"/>
        <s v="000507.SZ"/>
        <s v="000509.SZ"/>
        <s v="000510.SZ"/>
        <s v="000513.SZ"/>
        <s v="000514.SZ"/>
        <s v="000516.SZ"/>
        <s v="000517.SZ"/>
        <s v="000518.SZ"/>
        <s v="000519.SZ"/>
        <s v="000520.SZ"/>
        <s v="000521.SZ"/>
        <s v="000523.SZ"/>
        <s v="000524.SZ"/>
        <s v="000525.SZ"/>
        <s v="000526.SZ"/>
        <s v="000528.SZ"/>
        <s v="000529.SZ"/>
        <s v="000530.SZ"/>
        <s v="000531.SZ"/>
        <s v="000532.SZ"/>
        <s v="000533.SZ"/>
        <s v="000534.SZ"/>
        <s v="000536.SZ"/>
        <s v="000537.SZ"/>
        <s v="000538.SZ"/>
        <s v="000539.SZ"/>
        <s v="000540.SZ"/>
        <s v="000541.SZ"/>
        <s v="000543.SZ"/>
        <s v="000544.SZ"/>
        <s v="000545.SZ"/>
        <s v="000546.SZ"/>
        <s v="000547.SZ"/>
        <s v="000548.SZ"/>
        <s v="000550.SZ"/>
        <s v="000551.SZ"/>
        <s v="000552.SZ"/>
        <s v="000553.SZ"/>
        <s v="000554.SZ"/>
        <s v="000555.SZ"/>
        <s v="000557.SZ"/>
        <s v="000558.SZ"/>
        <s v="000559.SZ"/>
        <s v="000560.SZ"/>
        <s v="000561.SZ"/>
        <s v="000563.SZ"/>
        <s v="000564.SZ"/>
        <s v="000565.SZ"/>
        <s v="000566.SZ"/>
        <s v="000567.SZ"/>
        <s v="000568.SZ"/>
        <s v="000570.SZ"/>
        <s v="000571.SZ"/>
        <s v="000572.SZ"/>
        <s v="000573.SZ"/>
        <s v="000576.SZ"/>
        <s v="000581.SZ"/>
        <s v="000582.SZ"/>
        <s v="000584.SZ"/>
        <s v="000586.SZ"/>
        <s v="000587.SZ"/>
        <s v="000589.SZ"/>
        <s v="000590.SZ"/>
        <s v="000591.SZ"/>
        <s v="000592.SZ"/>
        <s v="000593.SZ"/>
        <s v="000595.SZ"/>
        <s v="000596.SZ"/>
        <s v="000597.SZ"/>
        <s v="000598.SZ"/>
        <s v="000599.SZ"/>
        <s v="000600.SZ"/>
        <s v="000601.SZ"/>
        <s v="000603.SZ"/>
        <s v="000605.SZ"/>
        <s v="000606.SZ"/>
        <s v="000607.SZ"/>
        <s v="000608.SZ"/>
        <s v="000609.SZ"/>
        <s v="000610.SZ"/>
        <s v="000612.SZ"/>
        <s v="000615.SZ"/>
        <s v="000616.SZ"/>
        <s v="000617.SZ"/>
        <s v="000619.SZ"/>
        <s v="000620.SZ"/>
        <s v="000622.SZ"/>
        <s v="000623.SZ"/>
        <s v="000625.SZ"/>
        <s v="000626.SZ"/>
        <s v="000627.SZ"/>
        <s v="000628.SZ"/>
        <s v="000629.SZ"/>
        <s v="000630.SZ"/>
        <s v="000631.SZ"/>
        <s v="000632.SZ"/>
        <s v="000633.SZ"/>
        <s v="000635.SZ"/>
        <s v="000636.SZ"/>
        <s v="000637.SZ"/>
        <s v="000638.SZ"/>
        <s v="000639.SZ"/>
        <s v="000650.SZ"/>
        <s v="000651.SZ"/>
        <s v="000652.SZ"/>
        <s v="000655.SZ"/>
        <s v="000656.SZ"/>
        <s v="000657.SZ"/>
        <s v="000659.SZ"/>
        <s v="000661.SZ"/>
        <s v="000663.SZ"/>
        <s v="000665.SZ"/>
        <s v="000666.SZ"/>
        <s v="000667.SZ"/>
        <s v="000668.SZ"/>
        <s v="000669.SZ"/>
        <s v="000670.SZ"/>
        <s v="000671.SZ"/>
        <s v="000672.SZ"/>
        <s v="000676.SZ"/>
        <s v="000677.SZ"/>
        <s v="000678.SZ"/>
        <s v="000679.SZ"/>
        <s v="000680.SZ"/>
        <s v="000681.SZ"/>
        <s v="000682.SZ"/>
        <s v="000683.SZ"/>
        <s v="000685.SZ"/>
        <s v="000686.SZ"/>
        <s v="000688.SZ"/>
        <s v="000690.SZ"/>
        <s v="000691.SZ"/>
        <s v="000692.SZ"/>
        <s v="000695.SZ"/>
        <s v="000697.SZ"/>
        <s v="000698.SZ"/>
        <s v="000700.SZ"/>
        <s v="000701.SZ"/>
        <s v="000702.SZ"/>
        <s v="000703.SZ"/>
        <s v="000705.SZ"/>
        <s v="000707.SZ"/>
        <s v="000708.SZ"/>
        <s v="000709.SZ"/>
        <s v="000710.SZ"/>
        <s v="000711.SZ"/>
        <s v="000712.SZ"/>
        <s v="000713.SZ"/>
        <s v="000715.SZ"/>
        <s v="000716.SZ"/>
        <s v="000717.SZ"/>
        <s v="000718.SZ"/>
        <s v="000719.SZ"/>
        <s v="000720.SZ"/>
        <s v="000721.SZ"/>
        <s v="000722.SZ"/>
        <s v="000723.SZ"/>
        <s v="000725.SZ"/>
        <s v="000726.SZ"/>
        <s v="000727.SZ"/>
        <s v="000728.SZ"/>
        <s v="000729.SZ"/>
        <s v="000731.SZ"/>
        <s v="000732.SZ"/>
        <s v="000733.SZ"/>
        <s v="000735.SZ"/>
        <s v="000736.SZ"/>
        <s v="000737.SZ"/>
        <s v="000738.SZ"/>
        <s v="000739.SZ"/>
        <s v="000750.SZ"/>
        <s v="000751.SZ"/>
        <s v="000752.SZ"/>
        <s v="000753.SZ"/>
        <s v="000755.SZ"/>
        <s v="000756.SZ"/>
        <s v="000757.SZ"/>
        <s v="000758.SZ"/>
        <s v="000759.SZ"/>
        <s v="000761.SZ"/>
        <s v="000762.SZ"/>
        <s v="000766.SZ"/>
        <s v="000767.SZ"/>
        <s v="000768.SZ"/>
        <s v="000776.SZ"/>
        <s v="000777.SZ"/>
        <s v="000778.SZ"/>
        <s v="000779.SZ"/>
        <s v="000782.SZ"/>
        <s v="000783.SZ"/>
        <s v="000785.SZ"/>
        <s v="000786.SZ"/>
        <s v="000788.SZ"/>
        <s v="000789.SZ"/>
        <s v="000790.SZ"/>
        <s v="000791.SZ"/>
        <s v="000792.SZ"/>
        <s v="000793.SZ"/>
        <s v="000795.SZ"/>
        <s v="000796.SZ"/>
        <s v="000797.SZ"/>
        <s v="000798.SZ"/>
        <s v="000799.SZ"/>
        <s v="000800.SZ"/>
        <s v="000801.SZ"/>
        <s v="000802.SZ"/>
        <s v="000803.SZ"/>
        <s v="000806.SZ"/>
        <s v="000807.SZ"/>
        <s v="000809.SZ"/>
        <s v="000810.SZ"/>
        <s v="000811.SZ"/>
        <s v="000812.SZ"/>
        <s v="000813.SZ"/>
        <s v="000815.SZ"/>
        <s v="000816.SZ"/>
        <s v="000818.SZ"/>
        <s v="000819.SZ"/>
        <s v="000820.SZ"/>
        <s v="000821.SZ"/>
        <s v="000822.SZ"/>
        <s v="000823.SZ"/>
        <s v="000825.SZ"/>
        <s v="000826.SZ"/>
        <s v="000828.SZ"/>
        <s v="000829.SZ"/>
        <s v="000830.SZ"/>
        <s v="000831.SZ"/>
        <s v="000833.SZ"/>
        <s v="000836.SZ"/>
        <s v="000837.SZ"/>
        <s v="000838.SZ"/>
        <s v="000839.SZ"/>
        <s v="000848.SZ"/>
        <s v="000850.SZ"/>
        <s v="000851.SZ"/>
        <s v="000852.SZ"/>
        <s v="000856.SZ"/>
        <s v="000858.SZ"/>
        <s v="000859.SZ"/>
        <s v="000860.SZ"/>
        <s v="000861.SZ"/>
        <s v="000862.SZ"/>
        <s v="000863.SZ"/>
        <s v="000868.SZ"/>
        <s v="000869.SZ"/>
        <s v="000875.SZ"/>
        <s v="000876.SZ"/>
        <s v="000877.SZ"/>
        <s v="000878.SZ"/>
        <s v="000880.SZ"/>
        <s v="000881.SZ"/>
        <s v="000882.SZ"/>
        <s v="000883.SZ"/>
        <s v="000885.SZ"/>
        <s v="000886.SZ"/>
        <s v="000887.SZ"/>
        <s v="000888.SZ"/>
        <s v="000889.SZ"/>
        <s v="000890.SZ"/>
        <s v="000892.SZ"/>
        <s v="000893.SZ"/>
        <s v="000895.SZ"/>
        <s v="000897.SZ"/>
        <s v="000898.SZ"/>
        <s v="000899.SZ"/>
        <s v="000900.SZ"/>
        <s v="000901.SZ"/>
        <s v="000902.SZ"/>
        <s v="000903.SZ"/>
        <s v="000905.SZ"/>
        <s v="000906.SZ"/>
        <s v="000908.SZ"/>
        <s v="000909.SZ"/>
        <s v="000910.SZ"/>
        <s v="000911.SZ"/>
        <s v="000912.SZ"/>
        <s v="000913.SZ"/>
        <s v="000915.SZ"/>
        <s v="000917.SZ"/>
        <s v="000918.SZ"/>
        <s v="000919.SZ"/>
        <s v="000920.SZ"/>
        <s v="000921.SZ"/>
        <s v="000922.SZ"/>
        <s v="000923.SZ"/>
        <s v="000925.SZ"/>
        <s v="000926.SZ"/>
        <s v="000927.SZ"/>
        <s v="000928.SZ"/>
        <s v="000929.SZ"/>
        <s v="000930.SZ"/>
        <s v="000931.SZ"/>
        <s v="000932.SZ"/>
        <s v="000933.SZ"/>
        <s v="000935.SZ"/>
        <s v="000936.SZ"/>
        <s v="000937.SZ"/>
        <s v="000938.SZ"/>
        <s v="000948.SZ"/>
        <s v="000949.SZ"/>
        <s v="000950.SZ"/>
        <s v="000951.SZ"/>
        <s v="000952.SZ"/>
        <s v="000953.SZ"/>
        <s v="000955.SZ"/>
        <s v="000957.SZ"/>
        <s v="000958.SZ"/>
        <s v="000959.SZ"/>
        <s v="000960.SZ"/>
        <s v="000961.SZ"/>
        <s v="000962.SZ"/>
        <s v="000963.SZ"/>
        <s v="000965.SZ"/>
        <s v="000966.SZ"/>
        <s v="000967.SZ"/>
        <s v="000968.SZ"/>
        <s v="000969.SZ"/>
        <s v="000970.SZ"/>
        <s v="000971.SZ"/>
        <s v="000972.SZ"/>
        <s v="000973.SZ"/>
        <s v="000975.SZ"/>
        <s v="000976.SZ"/>
        <s v="000977.SZ"/>
        <s v="000978.SZ"/>
        <s v="000980.SZ"/>
        <s v="000981.SZ"/>
        <s v="000982.SZ"/>
        <s v="000983.SZ"/>
        <s v="000985.SZ"/>
        <s v="000987.SZ"/>
        <s v="000988.SZ"/>
        <s v="000989.SZ"/>
        <s v="000990.SZ"/>
        <s v="000993.SZ"/>
        <s v="000995.SZ"/>
        <s v="000996.SZ"/>
        <s v="000997.SZ"/>
        <s v="000998.SZ"/>
        <s v="000999.SZ"/>
        <s v="001201.SZ"/>
        <s v="001202.SZ"/>
        <s v="001203.SZ"/>
        <s v="001205.SZ"/>
        <s v="001206.SZ"/>
        <s v="001207.SZ"/>
        <s v="001208.SZ"/>
        <s v="001209.SZ"/>
        <s v="001210.SZ"/>
        <s v="001211.SZ"/>
        <s v="001212.SZ"/>
        <s v="001213.SZ"/>
        <s v="001215.SZ"/>
        <s v="001216.SZ"/>
        <s v="001217.SZ"/>
        <s v="001218.SZ"/>
        <s v="001219.SZ"/>
        <s v="001222.SZ"/>
        <s v="001223.SZ"/>
        <s v="001226.SZ"/>
        <s v="001227.SZ"/>
        <s v="001228.SZ"/>
        <s v="001229.SZ"/>
        <s v="001230.SZ"/>
        <s v="001231.SZ"/>
        <s v="001234.SZ"/>
        <s v="001236.SZ"/>
        <s v="001238.SZ"/>
        <s v="001255.SZ"/>
        <s v="001256.SZ"/>
        <s v="001258.SZ"/>
        <s v="001259.SZ"/>
        <s v="001266.SZ"/>
        <s v="001267.SZ"/>
        <s v="001268.SZ"/>
        <s v="001269.SZ"/>
        <s v="001270.SZ"/>
        <s v="001283.SZ"/>
        <s v="001288.SZ"/>
        <s v="001289.SZ"/>
        <s v="001296.SZ"/>
        <s v="001298.SZ"/>
        <s v="001299.SZ"/>
        <s v="001300.SZ"/>
        <s v="001301.SZ"/>
        <s v="001308.SZ"/>
        <s v="001309.SZ"/>
        <s v="001313.SZ"/>
        <s v="001316.SZ"/>
        <s v="001317.SZ"/>
        <s v="001318.SZ"/>
        <s v="001319.SZ"/>
        <s v="001322.SZ"/>
        <s v="001323.SZ"/>
        <s v="001330.SZ"/>
        <s v="001331.SZ"/>
        <s v="001332.SZ"/>
        <s v="001333.SZ"/>
        <s v="001336.SZ"/>
        <s v="001338.SZ"/>
        <s v="001339.SZ"/>
        <s v="001696.SZ"/>
        <s v="001872.SZ"/>
        <s v="001896.SZ"/>
        <s v="001914.SZ"/>
        <s v="001965.SZ"/>
        <s v="001979.SZ"/>
        <s v="600000.SH"/>
        <s v="600004.SH"/>
        <s v="600006.SH"/>
        <s v="600007.SH"/>
        <s v="600008.SH"/>
        <s v="600009.SH"/>
        <s v="600010.SH"/>
        <s v="600011.SH"/>
        <s v="600012.SH"/>
        <s v="600015.SH"/>
        <s v="600016.SH"/>
        <s v="600017.SH"/>
        <s v="600018.SH"/>
        <s v="600019.SH"/>
        <s v="600020.SH"/>
        <s v="600021.SH"/>
        <s v="600022.SH"/>
        <s v="600023.SH"/>
        <s v="600025.SH"/>
        <s v="600026.SH"/>
        <s v="600027.SH"/>
        <s v="600028.SH"/>
        <s v="600029.SH"/>
        <s v="600030.SH"/>
        <s v="600031.SH"/>
        <s v="600032.SH"/>
        <s v="600033.SH"/>
        <s v="600035.SH"/>
        <s v="600036.SH"/>
        <s v="600037.SH"/>
        <s v="600038.SH"/>
        <s v="600039.SH"/>
        <s v="600048.SH"/>
        <s v="600050.SH"/>
        <s v="600051.SH"/>
        <s v="600052.SH"/>
        <s v="600053.SH"/>
        <s v="600054.SH"/>
        <s v="600055.SH"/>
        <s v="600056.SH"/>
        <s v="600057.SH"/>
        <s v="600058.SH"/>
        <s v="600059.SH"/>
        <s v="600060.SH"/>
        <s v="600061.SH"/>
        <s v="600062.SH"/>
        <s v="600063.SH"/>
        <s v="600064.SH"/>
        <s v="600066.SH"/>
        <s v="600067.SH"/>
        <s v="600070.SH"/>
        <s v="600071.SH"/>
        <s v="600072.SH"/>
        <s v="600073.SH"/>
        <s v="600075.SH"/>
        <s v="600076.SH"/>
        <s v="600077.SH"/>
        <s v="600078.SH"/>
        <s v="600079.SH"/>
        <s v="600080.SH"/>
        <s v="600081.SH"/>
        <s v="600082.SH"/>
        <s v="600083.SH"/>
        <s v="600084.SH"/>
        <s v="600085.SH"/>
        <s v="600088.SH"/>
        <s v="600089.SH"/>
        <s v="600094.SH"/>
        <s v="600095.SH"/>
        <s v="600096.SH"/>
        <s v="600097.SH"/>
        <s v="600098.SH"/>
        <s v="600099.SH"/>
        <s v="600100.SH"/>
        <s v="600101.SH"/>
        <s v="600103.SH"/>
        <s v="600104.SH"/>
        <s v="600105.SH"/>
        <s v="600106.SH"/>
        <s v="600107.SH"/>
        <s v="600108.SH"/>
        <s v="600109.SH"/>
        <s v="600110.SH"/>
        <s v="600111.SH"/>
        <s v="600112.SH"/>
        <s v="600113.SH"/>
        <s v="600114.SH"/>
        <s v="600115.SH"/>
        <s v="600116.SH"/>
        <s v="600117.SH"/>
        <s v="600118.SH"/>
        <s v="600119.SH"/>
        <s v="600120.SH"/>
        <s v="600121.SH"/>
        <s v="600122.SH"/>
        <s v="600123.SH"/>
        <s v="600125.SH"/>
        <s v="600126.SH"/>
        <s v="600127.SH"/>
        <s v="600128.SH"/>
        <s v="600129.SH"/>
        <s v="600130.SH"/>
        <s v="600131.SH"/>
        <s v="600132.SH"/>
        <s v="600133.SH"/>
        <s v="600135.SH"/>
        <s v="600136.SH"/>
        <s v="600137.SH"/>
        <s v="600138.SH"/>
        <s v="600139.SH"/>
        <s v="600141.SH"/>
        <s v="600143.SH"/>
        <s v="600148.SH"/>
        <s v="600149.SH"/>
        <s v="600150.SH"/>
        <s v="600151.SH"/>
        <s v="600152.SH"/>
        <s v="600153.SH"/>
        <s v="600155.SH"/>
        <s v="600156.SH"/>
        <s v="600157.SH"/>
        <s v="600158.SH"/>
        <s v="600159.SH"/>
        <s v="600160.SH"/>
        <s v="600161.SH"/>
        <s v="600162.SH"/>
        <s v="600163.SH"/>
        <s v="600165.SH"/>
        <s v="600166.SH"/>
        <s v="600167.SH"/>
        <s v="600168.SH"/>
        <s v="600169.SH"/>
        <s v="600170.SH"/>
        <s v="600171.SH"/>
        <s v="600172.SH"/>
        <s v="600173.SH"/>
        <s v="600176.SH"/>
        <s v="600177.SH"/>
        <s v="600178.SH"/>
        <s v="600179.SH"/>
        <s v="600180.SH"/>
        <s v="600182.SH"/>
        <s v="600183.SH"/>
        <s v="600184.SH"/>
        <s v="600185.SH"/>
        <s v="600186.SH"/>
        <s v="600187.SH"/>
        <s v="600188.SH"/>
        <s v="600189.SH"/>
        <s v="600190.SH"/>
        <s v="600191.SH"/>
        <s v="600192.SH"/>
        <s v="600193.SH"/>
        <s v="600195.SH"/>
        <s v="600196.SH"/>
        <s v="600197.SH"/>
        <s v="600198.SH"/>
        <s v="600199.SH"/>
        <s v="600200.SH"/>
        <s v="600201.SH"/>
        <s v="600202.SH"/>
        <s v="600203.SH"/>
        <s v="600206.SH"/>
        <s v="600207.SH"/>
        <s v="600208.SH"/>
        <s v="600210.SH"/>
        <s v="600211.SH"/>
        <s v="600212.SH"/>
        <s v="600213.SH"/>
        <s v="600215.SH"/>
        <s v="600216.SH"/>
        <s v="600217.SH"/>
        <s v="600218.SH"/>
        <s v="600219.SH"/>
        <s v="600220.SH"/>
        <s v="600221.SH"/>
        <s v="600222.SH"/>
        <s v="600223.SH"/>
        <s v="600225.SH"/>
        <s v="600226.SH"/>
        <s v="600227.SH"/>
        <s v="600228.SH"/>
        <s v="600229.SH"/>
        <s v="600230.SH"/>
        <s v="600231.SH"/>
        <s v="600232.SH"/>
        <s v="600233.SH"/>
        <s v="600234.SH"/>
        <s v="600235.SH"/>
        <s v="600236.SH"/>
        <s v="600237.SH"/>
        <s v="600238.SH"/>
        <s v="600239.SH"/>
        <s v="600241.SH"/>
        <s v="600242.SH"/>
        <s v="600243.SH"/>
        <s v="600246.SH"/>
        <s v="600248.SH"/>
        <s v="600249.SH"/>
        <s v="600250.SH"/>
        <s v="600251.SH"/>
        <s v="600252.SH"/>
        <s v="600255.SH"/>
        <s v="600256.SH"/>
        <s v="600257.SH"/>
        <s v="600258.SH"/>
        <s v="600259.SH"/>
        <s v="600260.SH"/>
        <s v="600261.SH"/>
        <s v="600262.SH"/>
        <s v="600265.SH"/>
        <s v="600266.SH"/>
        <s v="600267.SH"/>
        <s v="600268.SH"/>
        <s v="600269.SH"/>
        <s v="600271.SH"/>
        <s v="600272.SH"/>
        <s v="600273.SH"/>
        <s v="600276.SH"/>
        <s v="600277.SH"/>
        <s v="600278.SH"/>
        <s v="600279.SH"/>
        <s v="600280.SH"/>
        <s v="600281.SH"/>
        <s v="600282.SH"/>
        <s v="600283.SH"/>
        <s v="600284.SH"/>
        <s v="600285.SH"/>
        <s v="600287.SH"/>
        <s v="600288.SH"/>
        <s v="600289.SH"/>
        <s v="600290.SH"/>
        <s v="600292.SH"/>
        <s v="600293.SH"/>
        <s v="600295.SH"/>
        <s v="600297.SH"/>
        <s v="600298.SH"/>
        <s v="600299.SH"/>
        <s v="600300.SH"/>
        <s v="600301.SH"/>
        <s v="600302.SH"/>
        <s v="600303.SH"/>
        <s v="600305.SH"/>
        <s v="600306.SH"/>
        <s v="600307.SH"/>
        <s v="600308.SH"/>
        <s v="600309.SH"/>
        <s v="600310.SH"/>
        <s v="600311.SH"/>
        <s v="600312.SH"/>
        <s v="600313.SH"/>
        <s v="600315.SH"/>
        <s v="600316.SH"/>
        <s v="600318.SH"/>
        <s v="600319.SH"/>
        <s v="600320.SH"/>
        <s v="600321.SH"/>
        <s v="600322.SH"/>
        <s v="600323.SH"/>
        <s v="600325.SH"/>
        <s v="600326.SH"/>
        <s v="600327.SH"/>
        <s v="600328.SH"/>
        <s v="600329.SH"/>
        <s v="600330.SH"/>
        <s v="600331.SH"/>
        <s v="600332.SH"/>
        <s v="600333.SH"/>
        <s v="600335.SH"/>
        <s v="600336.SH"/>
        <s v="600337.SH"/>
        <s v="600338.SH"/>
        <s v="600339.SH"/>
        <s v="600340.SH"/>
        <s v="600343.SH"/>
        <s v="600345.SH"/>
        <s v="600346.SH"/>
        <s v="600348.SH"/>
        <s v="600350.SH"/>
        <s v="600351.SH"/>
        <s v="600352.SH"/>
        <s v="600353.SH"/>
        <s v="600354.SH"/>
        <s v="600355.SH"/>
        <s v="600356.SH"/>
        <s v="600358.SH"/>
        <s v="600359.SH"/>
        <s v="600360.SH"/>
        <s v="600361.SH"/>
        <s v="600362.SH"/>
        <s v="600363.SH"/>
        <s v="600365.SH"/>
        <s v="600366.SH"/>
        <s v="600367.SH"/>
        <s v="600368.SH"/>
        <s v="600369.SH"/>
        <s v="600370.SH"/>
        <s v="600371.SH"/>
        <s v="600372.SH"/>
        <s v="600373.SH"/>
        <s v="600375.SH"/>
        <s v="600376.SH"/>
        <s v="600377.SH"/>
        <s v="600378.SH"/>
        <s v="600379.SH"/>
        <s v="600380.SH"/>
        <s v="600381.SH"/>
        <s v="600382.SH"/>
        <s v="600383.SH"/>
        <s v="600386.SH"/>
        <s v="600387.SH"/>
        <s v="600388.SH"/>
        <s v="600389.SH"/>
        <s v="600390.SH"/>
        <s v="600391.SH"/>
        <s v="600392.SH"/>
        <s v="600393.SH"/>
        <s v="600395.SH"/>
        <s v="600396.SH"/>
        <s v="600397.SH"/>
        <s v="600398.SH"/>
        <s v="600399.SH"/>
        <s v="600400.SH"/>
        <s v="600403.SH"/>
        <s v="600405.SH"/>
        <s v="600406.SH"/>
        <s v="600408.SH"/>
        <s v="600409.SH"/>
        <s v="600410.SH"/>
        <s v="600415.SH"/>
        <s v="600416.SH"/>
        <s v="600418.SH"/>
        <s v="600419.SH"/>
        <s v="600420.SH"/>
        <s v="600421.SH"/>
        <s v="600422.SH"/>
        <s v="600423.SH"/>
        <s v="600425.SH"/>
        <s v="600426.SH"/>
        <s v="600428.SH"/>
        <s v="600429.SH"/>
        <s v="600433.SH"/>
        <s v="600435.SH"/>
        <s v="600436.SH"/>
        <s v="600438.SH"/>
        <s v="600439.SH"/>
        <s v="600444.SH"/>
        <s v="600446.SH"/>
        <s v="600448.SH"/>
        <s v="600449.SH"/>
        <s v="600452.SH"/>
        <s v="600455.SH"/>
        <s v="600456.SH"/>
        <s v="600458.SH"/>
        <s v="600459.SH"/>
        <s v="600460.SH"/>
        <s v="600461.SH"/>
        <s v="600462.SH"/>
        <s v="600463.SH"/>
        <s v="600466.SH"/>
        <s v="600467.SH"/>
        <s v="600468.SH"/>
        <s v="600469.SH"/>
        <s v="600470.SH"/>
        <s v="600475.SH"/>
        <s v="600476.SH"/>
        <s v="600477.SH"/>
        <s v="600478.SH"/>
        <s v="600479.SH"/>
        <s v="600480.SH"/>
        <s v="600481.SH"/>
        <s v="600482.SH"/>
        <s v="600483.SH"/>
        <s v="600486.SH"/>
        <s v="600487.SH"/>
        <s v="600488.SH"/>
        <s v="600489.SH"/>
        <s v="600490.SH"/>
        <s v="600491.SH"/>
        <s v="600493.SH"/>
        <s v="600495.SH"/>
        <s v="600496.SH"/>
        <s v="600497.SH"/>
        <s v="600498.SH"/>
        <s v="600499.SH"/>
        <s v="600500.SH"/>
        <s v="600501.SH"/>
        <s v="600502.SH"/>
        <s v="600503.SH"/>
        <s v="600505.SH"/>
        <s v="600506.SH"/>
        <s v="600507.SH"/>
        <s v="600508.SH"/>
        <s v="600509.SH"/>
        <s v="600510.SH"/>
        <s v="600511.SH"/>
        <s v="600512.SH"/>
        <s v="600513.SH"/>
        <s v="600515.SH"/>
        <s v="600516.SH"/>
        <s v="600517.SH"/>
        <s v="600518.SH"/>
        <s v="600519.SH"/>
        <s v="600520.SH"/>
        <s v="600521.SH"/>
        <s v="600522.SH"/>
        <s v="600523.SH"/>
        <s v="600525.SH"/>
        <s v="600526.SH"/>
        <s v="600527.SH"/>
        <s v="600528.SH"/>
        <s v="600529.SH"/>
        <s v="600530.SH"/>
        <s v="600531.SH"/>
        <s v="600532.SH"/>
        <s v="600533.SH"/>
        <s v="600535.SH"/>
        <s v="600536.SH"/>
        <s v="600537.SH"/>
        <s v="600538.SH"/>
        <s v="600539.SH"/>
        <s v="600540.SH"/>
        <s v="600543.SH"/>
        <s v="600545.SH"/>
        <s v="600546.SH"/>
        <s v="600547.SH"/>
        <s v="600548.SH"/>
        <s v="600549.SH"/>
        <s v="600550.SH"/>
        <s v="600551.SH"/>
        <s v="600552.SH"/>
        <s v="600556.SH"/>
        <s v="600557.SH"/>
        <s v="600558.SH"/>
        <s v="600559.SH"/>
        <s v="600560.SH"/>
        <s v="600561.SH"/>
        <s v="600562.SH"/>
        <s v="600563.SH"/>
        <s v="600565.SH"/>
        <s v="600566.SH"/>
        <s v="600567.SH"/>
        <s v="600568.SH"/>
        <s v="600569.SH"/>
        <s v="600570.SH"/>
        <s v="600571.SH"/>
        <s v="600572.SH"/>
        <s v="600573.SH"/>
        <s v="600575.SH"/>
        <s v="600576.SH"/>
        <s v="600577.SH"/>
        <s v="600578.SH"/>
        <s v="600579.SH"/>
        <s v="600580.SH"/>
        <s v="600581.SH"/>
        <s v="600582.SH"/>
        <s v="600583.SH"/>
        <s v="600584.SH"/>
        <s v="600585.SH"/>
        <s v="600586.SH"/>
        <s v="600587.SH"/>
        <s v="600588.SH"/>
        <s v="600589.SH"/>
        <s v="600590.SH"/>
        <s v="600592.SH"/>
        <s v="600593.SH"/>
        <s v="600594.SH"/>
        <s v="600595.SH"/>
        <s v="600596.SH"/>
        <s v="600597.SH"/>
        <s v="600598.SH"/>
        <s v="600599.SH"/>
        <s v="600600.SH"/>
        <s v="600601.SH"/>
        <s v="600602.SH"/>
        <s v="600603.SH"/>
        <s v="600604.SH"/>
        <s v="600605.SH"/>
        <s v="600606.SH"/>
        <s v="600608.SH"/>
        <s v="600609.SH"/>
        <s v="600610.SH"/>
        <s v="600611.SH"/>
        <s v="600612.SH"/>
        <s v="600613.SH"/>
        <s v="600615.SH"/>
        <s v="600616.SH"/>
        <s v="600617.SH"/>
        <s v="600618.SH"/>
        <s v="600619.SH"/>
        <s v="600620.SH"/>
        <s v="600621.SH"/>
        <s v="600622.SH"/>
        <s v="600623.SH"/>
        <s v="600624.SH"/>
        <s v="600626.SH"/>
        <s v="600628.SH"/>
        <s v="600629.SH"/>
        <s v="600630.SH"/>
        <s v="600633.SH"/>
        <s v="600635.SH"/>
        <s v="600636.SH"/>
        <s v="600637.SH"/>
        <s v="600638.SH"/>
        <s v="600639.SH"/>
        <s v="600640.SH"/>
        <s v="600641.SH"/>
        <s v="600642.SH"/>
        <s v="600643.SH"/>
        <s v="600644.SH"/>
        <s v="600645.SH"/>
        <s v="600647.SH"/>
        <s v="600648.SH"/>
        <s v="600649.SH"/>
        <s v="600650.SH"/>
        <s v="600651.SH"/>
        <s v="600653.SH"/>
        <s v="600654.SH"/>
        <s v="600655.SH"/>
        <s v="600657.SH"/>
        <s v="600658.SH"/>
        <s v="600660.SH"/>
        <s v="600661.SH"/>
        <s v="600662.SH"/>
        <s v="600663.SH"/>
        <s v="600664.SH"/>
        <s v="600665.SH"/>
        <s v="600666.SH"/>
        <s v="600667.SH"/>
        <s v="600668.SH"/>
        <s v="600671.SH"/>
        <s v="600673.SH"/>
        <s v="600674.SH"/>
        <s v="600675.SH"/>
        <s v="600676.SH"/>
        <s v="600678.SH"/>
        <s v="600679.SH"/>
        <s v="600681.SH"/>
        <s v="600682.SH"/>
        <s v="600683.SH"/>
        <s v="600684.SH"/>
        <s v="600685.SH"/>
        <s v="600686.SH"/>
        <s v="600688.SH"/>
        <s v="600689.SH"/>
        <s v="600690.SH"/>
        <s v="600691.SH"/>
        <s v="600692.SH"/>
        <s v="600693.SH"/>
        <s v="600694.SH"/>
        <s v="600696.SH"/>
        <s v="600697.SH"/>
        <s v="600698.SH"/>
        <s v="600699.SH"/>
        <s v="600702.SH"/>
        <s v="600703.SH"/>
        <s v="600704.SH"/>
        <s v="600705.SH"/>
        <s v="600706.SH"/>
        <s v="600707.SH"/>
        <s v="600708.SH"/>
        <s v="600710.SH"/>
        <s v="600711.SH"/>
        <s v="600712.SH"/>
        <s v="600713.SH"/>
        <s v="600714.SH"/>
        <s v="600715.SH"/>
        <s v="600716.SH"/>
        <s v="600717.SH"/>
        <s v="600718.SH"/>
        <s v="600719.SH"/>
        <s v="600720.SH"/>
        <s v="600721.SH"/>
        <s v="600722.SH"/>
        <s v="600724.SH"/>
        <s v="600725.SH"/>
        <s v="600726.SH"/>
        <s v="600727.SH"/>
        <s v="600728.SH"/>
        <s v="600729.SH"/>
        <s v="600730.SH"/>
        <s v="600731.SH"/>
        <s v="600732.SH"/>
        <s v="600733.SH"/>
        <s v="600734.SH"/>
        <s v="600735.SH"/>
        <s v="600736.SH"/>
        <s v="600737.SH"/>
        <s v="600738.SH"/>
        <s v="600739.SH"/>
        <s v="600740.SH"/>
        <s v="600741.SH"/>
        <s v="600742.SH"/>
        <s v="600743.SH"/>
        <s v="600744.SH"/>
        <s v="600745.SH"/>
        <s v="600746.SH"/>
        <s v="600748.SH"/>
        <s v="600749.SH"/>
        <s v="600750.SH"/>
        <s v="600751.SH"/>
        <s v="600753.SH"/>
        <s v="600754.SH"/>
        <s v="600755.SH"/>
        <s v="600756.SH"/>
        <s v="600757.SH"/>
        <s v="600758.SH"/>
        <s v="600759.SH"/>
        <s v="600760.SH"/>
        <s v="600761.SH"/>
        <s v="600763.SH"/>
        <s v="600764.SH"/>
        <s v="600765.SH"/>
        <s v="600766.SH"/>
        <s v="600767.SH"/>
        <s v="600768.SH"/>
        <s v="600769.SH"/>
        <s v="600770.SH"/>
        <s v="600771.SH"/>
        <s v="600773.SH"/>
        <s v="600774.SH"/>
        <s v="600775.SH"/>
        <s v="600776.SH"/>
        <s v="600777.SH"/>
        <s v="600778.SH"/>
        <s v="600779.SH"/>
        <s v="600780.SH"/>
        <s v="600781.SH"/>
        <s v="600782.SH"/>
        <s v="600783.SH"/>
        <s v="600784.SH"/>
        <s v="600785.SH"/>
        <s v="600787.SH"/>
        <s v="600789.SH"/>
        <s v="600790.SH"/>
        <s v="600791.SH"/>
        <s v="600792.SH"/>
        <s v="600793.SH"/>
        <s v="600794.SH"/>
        <s v="600795.SH"/>
        <s v="600796.SH"/>
        <s v="600797.SH"/>
        <s v="600798.SH"/>
        <s v="600800.SH"/>
        <s v="600801.SH"/>
        <s v="600802.SH"/>
        <s v="600803.SH"/>
        <s v="600804.SH"/>
        <s v="600805.SH"/>
        <s v="600807.SH"/>
        <s v="600808.SH"/>
        <s v="600809.SH"/>
        <s v="600810.SH"/>
        <s v="600811.SH"/>
        <s v="600812.SH"/>
        <s v="600814.SH"/>
        <s v="600815.SH"/>
        <s v="600816.SH"/>
        <s v="600817.SH"/>
        <s v="600818.SH"/>
        <s v="600819.SH"/>
        <s v="600820.SH"/>
        <s v="600821.SH"/>
        <s v="600822.SH"/>
        <s v="600823.SH"/>
        <s v="600824.SH"/>
        <s v="600825.SH"/>
        <s v="600826.SH"/>
        <s v="600827.SH"/>
        <s v="600828.SH"/>
        <s v="600829.SH"/>
        <s v="600830.SH"/>
        <s v="600831.SH"/>
        <s v="600833.SH"/>
        <s v="600834.SH"/>
        <s v="600835.SH"/>
        <s v="600836.SH"/>
        <s v="600837.SH"/>
        <s v="600838.SH"/>
        <s v="600839.SH"/>
        <s v="600841.SH"/>
        <s v="600843.SH"/>
        <s v="600844.SH"/>
        <s v="600845.SH"/>
        <s v="600846.SH"/>
        <s v="600847.SH"/>
        <s v="600848.SH"/>
        <s v="600850.SH"/>
        <s v="600851.SH"/>
        <s v="600853.SH"/>
        <s v="600854.SH"/>
        <s v="600855.SH"/>
        <s v="600857.SH"/>
        <s v="600858.SH"/>
        <s v="600859.SH"/>
        <s v="600860.SH"/>
        <s v="600861.SH"/>
        <s v="600862.SH"/>
        <s v="600863.SH"/>
        <s v="600864.SH"/>
        <s v="600865.SH"/>
        <s v="600866.SH"/>
        <s v="600867.SH"/>
        <s v="600868.SH"/>
        <s v="600869.SH"/>
        <s v="600871.SH"/>
        <s v="600872.SH"/>
        <s v="600873.SH"/>
        <s v="600874.SH"/>
        <s v="600875.SH"/>
        <s v="600876.SH"/>
        <s v="600877.SH"/>
        <s v="600879.SH"/>
        <s v="600880.SH"/>
        <s v="600881.SH"/>
        <s v="600882.SH"/>
        <s v="600883.SH"/>
        <s v="600884.SH"/>
        <s v="600885.SH"/>
        <s v="600886.SH"/>
        <s v="600887.SH"/>
        <s v="600888.SH"/>
        <s v="600889.SH"/>
        <s v="600892.SH"/>
        <s v="600893.SH"/>
        <s v="600894.SH"/>
        <s v="600895.SH"/>
        <s v="600897.SH"/>
        <s v="600898.SH"/>
        <s v="600900.SH"/>
        <s v="600901.SH"/>
        <s v="600903.SH"/>
        <s v="600905.SH"/>
        <s v="600906.SH"/>
        <s v="600908.SH"/>
        <s v="600909.SH"/>
        <s v="600916.SH"/>
        <s v="600917.SH"/>
        <s v="600918.SH"/>
        <s v="600919.SH"/>
        <s v="600926.SH"/>
        <s v="600927.SH"/>
        <s v="600928.SH"/>
        <s v="600929.SH"/>
        <s v="600933.SH"/>
        <s v="600935.SH"/>
        <s v="600936.SH"/>
        <s v="600938.SH"/>
        <s v="600939.SH"/>
        <s v="600941.SH"/>
        <s v="600955.SH"/>
        <s v="600956.SH"/>
        <s v="600958.SH"/>
        <s v="600959.SH"/>
        <s v="600960.SH"/>
        <s v="600961.SH"/>
        <s v="600962.SH"/>
        <s v="600963.SH"/>
        <s v="600965.SH"/>
        <s v="600966.SH"/>
        <s v="600967.SH"/>
        <s v="600968.SH"/>
        <s v="600969.SH"/>
        <s v="600970.SH"/>
        <s v="600971.SH"/>
        <s v="600973.SH"/>
        <s v="600975.SH"/>
        <s v="600976.SH"/>
        <s v="600977.SH"/>
        <s v="600979.SH"/>
        <s v="600980.SH"/>
        <s v="600981.SH"/>
        <s v="600982.SH"/>
        <s v="600983.SH"/>
        <s v="600984.SH"/>
        <s v="600985.SH"/>
        <s v="600986.SH"/>
        <s v="600987.SH"/>
        <s v="600988.SH"/>
        <s v="600989.SH"/>
        <s v="600990.SH"/>
        <s v="600992.SH"/>
        <s v="600993.SH"/>
        <s v="600995.SH"/>
        <s v="600996.SH"/>
        <s v="600997.SH"/>
        <s v="600998.SH"/>
        <s v="600999.SH"/>
        <s v="601000.SH"/>
        <s v="601001.SH"/>
        <s v="601002.SH"/>
        <s v="601003.SH"/>
        <s v="601005.SH"/>
        <s v="601006.SH"/>
        <s v="601007.SH"/>
        <s v="601008.SH"/>
        <s v="601009.SH"/>
        <s v="601010.SH"/>
        <s v="601011.SH"/>
        <s v="601012.SH"/>
        <s v="601015.SH"/>
        <s v="601016.SH"/>
        <s v="601018.SH"/>
        <s v="601019.SH"/>
        <s v="601020.SH"/>
        <s v="601021.SH"/>
        <s v="601022.SH"/>
        <s v="601028.SH"/>
        <s v="601038.SH"/>
        <s v="601058.SH"/>
        <s v="601066.SH"/>
        <s v="601068.SH"/>
        <s v="601069.SH"/>
        <s v="601077.SH"/>
        <s v="601086.SH"/>
        <s v="601088.SH"/>
        <s v="601089.SH"/>
        <s v="601098.SH"/>
        <s v="601099.SH"/>
        <s v="601100.SH"/>
        <s v="601101.SH"/>
        <s v="601106.SH"/>
        <s v="601107.SH"/>
        <s v="601108.SH"/>
        <s v="601111.SH"/>
        <s v="601113.SH"/>
        <s v="601116.SH"/>
        <s v="601117.SH"/>
        <s v="601118.SH"/>
        <s v="601126.SH"/>
        <s v="601127.SH"/>
        <s v="601128.SH"/>
        <s v="601136.SH"/>
        <s v="601137.SH"/>
        <s v="601138.SH"/>
        <s v="601139.SH"/>
        <s v="601155.SH"/>
        <s v="601156.SH"/>
        <s v="601158.SH"/>
        <s v="601162.SH"/>
        <s v="601163.SH"/>
        <s v="601166.SH"/>
        <s v="601168.SH"/>
        <s v="601169.SH"/>
        <s v="601177.SH"/>
        <s v="601179.SH"/>
        <s v="601186.SH"/>
        <s v="601187.SH"/>
        <s v="601188.SH"/>
        <s v="601198.SH"/>
        <s v="601199.SH"/>
        <s v="601200.SH"/>
        <s v="601208.SH"/>
        <s v="601211.SH"/>
        <s v="601212.SH"/>
        <s v="601216.SH"/>
        <s v="601218.SH"/>
        <s v="601222.SH"/>
        <s v="601225.SH"/>
        <s v="601226.SH"/>
        <s v="601228.SH"/>
        <s v="601229.SH"/>
        <s v="601231.SH"/>
        <s v="601233.SH"/>
        <s v="601236.SH"/>
        <s v="601238.SH"/>
        <s v="601258.SH"/>
        <s v="601279.SH"/>
        <s v="601288.SH"/>
        <s v="601298.SH"/>
        <s v="601311.SH"/>
        <s v="601318.SH"/>
        <s v="601319.SH"/>
        <s v="601326.SH"/>
        <s v="601328.SH"/>
        <s v="601330.SH"/>
        <s v="601333.SH"/>
        <s v="601336.SH"/>
        <s v="601339.SH"/>
        <s v="601360.SH"/>
        <s v="601366.SH"/>
        <s v="601368.SH"/>
        <s v="601369.SH"/>
        <s v="601375.SH"/>
        <s v="601377.SH"/>
        <s v="601388.SH"/>
        <s v="601390.SH"/>
        <s v="601398.SH"/>
        <s v="601399.SH"/>
        <s v="601456.SH"/>
        <s v="601500.SH"/>
        <s v="601512.SH"/>
        <s v="601515.SH"/>
        <s v="601518.SH"/>
        <s v="601519.SH"/>
        <s v="601528.SH"/>
        <s v="601555.SH"/>
        <s v="601566.SH"/>
        <s v="601567.SH"/>
        <s v="601568.SH"/>
        <s v="601577.SH"/>
        <s v="601579.SH"/>
        <s v="601588.SH"/>
        <s v="601595.SH"/>
        <s v="601598.SH"/>
        <s v="601599.SH"/>
        <s v="601600.SH"/>
        <s v="601601.SH"/>
        <s v="601606.SH"/>
        <s v="601607.SH"/>
        <s v="601608.SH"/>
        <s v="601609.SH"/>
        <s v="601611.SH"/>
        <s v="601615.SH"/>
        <s v="601616.SH"/>
        <s v="601618.SH"/>
        <s v="601619.SH"/>
        <s v="601628.SH"/>
        <s v="601633.SH"/>
        <s v="601636.SH"/>
        <s v="601658.SH"/>
        <s v="601665.SH"/>
        <s v="601666.SH"/>
        <s v="601668.SH"/>
        <s v="601669.SH"/>
        <s v="601677.SH"/>
        <s v="601678.SH"/>
        <s v="601686.SH"/>
        <s v="601688.SH"/>
        <s v="601689.SH"/>
        <s v="601696.SH"/>
        <s v="601698.SH"/>
        <s v="601699.SH"/>
        <s v="601700.SH"/>
        <s v="601702.SH"/>
        <s v="601717.SH"/>
        <s v="601718.SH"/>
        <s v="601727.SH"/>
        <s v="601728.SH"/>
        <s v="601766.SH"/>
        <s v="601777.SH"/>
        <s v="601778.SH"/>
        <s v="601788.SH"/>
        <s v="601789.SH"/>
        <s v="601798.SH"/>
        <s v="601799.SH"/>
        <s v="601800.SH"/>
        <s v="601801.SH"/>
        <s v="601808.SH"/>
        <s v="601811.SH"/>
        <s v="601816.SH"/>
        <s v="601818.SH"/>
        <s v="601825.SH"/>
        <s v="601827.SH"/>
        <s v="601828.SH"/>
        <s v="601838.SH"/>
        <s v="601857.SH"/>
        <s v="601858.SH"/>
        <s v="601860.SH"/>
        <s v="601865.SH"/>
        <s v="601866.SH"/>
        <s v="601868.SH"/>
        <s v="601869.SH"/>
        <s v="601872.SH"/>
        <s v="601877.SH"/>
        <s v="601878.SH"/>
        <s v="601880.SH"/>
        <s v="601881.SH"/>
        <s v="601882.SH"/>
        <s v="601886.SH"/>
        <s v="601888.SH"/>
        <s v="601890.SH"/>
        <s v="601898.SH"/>
        <s v="601899.SH"/>
        <s v="601900.SH"/>
        <s v="601901.SH"/>
        <s v="601908.SH"/>
        <s v="601916.SH"/>
        <s v="601918.SH"/>
        <s v="601919.SH"/>
        <s v="601921.SH"/>
        <s v="601928.SH"/>
        <s v="601929.SH"/>
        <s v="601933.SH"/>
        <s v="601939.SH"/>
        <s v="601949.SH"/>
        <s v="601952.SH"/>
        <s v="601956.SH"/>
        <s v="601958.SH"/>
        <s v="601963.SH"/>
        <s v="601965.SH"/>
        <s v="601966.SH"/>
        <s v="601968.SH"/>
        <s v="601969.SH"/>
        <s v="601975.SH"/>
        <s v="601985.SH"/>
        <s v="601988.SH"/>
        <s v="601989.SH"/>
        <s v="601990.SH"/>
        <s v="601991.SH"/>
        <s v="601992.SH"/>
        <s v="601995.SH"/>
        <s v="601996.SH"/>
        <s v="601997.SH"/>
        <s v="601998.SH"/>
        <s v="601999.SH"/>
        <s v="603000.SH"/>
        <s v="603001.SH"/>
        <s v="603002.SH"/>
        <s v="603003.SH"/>
        <s v="603005.SH"/>
        <s v="603006.SH"/>
        <s v="603007.SH"/>
        <s v="603008.SH"/>
        <s v="603009.SH"/>
        <s v="603010.SH"/>
        <s v="603011.SH"/>
        <s v="603012.SH"/>
        <s v="603013.SH"/>
        <s v="603015.SH"/>
        <s v="603016.SH"/>
        <s v="603017.SH"/>
        <s v="603018.SH"/>
        <s v="603019.SH"/>
        <s v="603020.SH"/>
        <s v="603021.SH"/>
        <s v="603022.SH"/>
        <s v="603023.SH"/>
        <s v="603025.SH"/>
        <s v="603026.SH"/>
        <s v="603027.SH"/>
        <s v="603028.SH"/>
        <s v="603029.SH"/>
        <s v="603030.SH"/>
        <s v="603031.SH"/>
        <s v="603032.SH"/>
        <s v="603033.SH"/>
        <s v="603035.SH"/>
        <s v="603036.SH"/>
        <s v="603037.SH"/>
        <s v="603038.SH"/>
        <s v="603039.SH"/>
        <s v="603040.SH"/>
        <s v="603041.SH"/>
        <s v="603042.SH"/>
        <s v="603043.SH"/>
        <s v="603045.SH"/>
        <s v="603048.SH"/>
        <s v="603050.SH"/>
        <s v="603051.SH"/>
        <s v="603052.SH"/>
        <s v="603053.SH"/>
        <s v="603055.SH"/>
        <s v="603056.SH"/>
        <s v="603057.SH"/>
        <s v="603058.SH"/>
        <s v="603059.SH"/>
        <s v="603060.SH"/>
        <s v="603063.SH"/>
        <s v="603066.SH"/>
        <s v="603067.SH"/>
        <s v="603068.SH"/>
        <s v="603069.SH"/>
        <s v="603070.SH"/>
        <s v="603071.SH"/>
        <s v="603076.SH"/>
        <s v="603077.SH"/>
        <s v="603078.SH"/>
        <s v="603079.SH"/>
        <s v="603080.SH"/>
        <s v="603081.SH"/>
        <s v="603083.SH"/>
        <s v="603085.SH"/>
        <s v="603086.SH"/>
        <s v="603087.SH"/>
        <s v="603088.SH"/>
        <s v="603089.SH"/>
        <s v="603090.SH"/>
        <s v="603093.SH"/>
        <s v="603095.SH"/>
        <s v="603096.SH"/>
        <s v="603097.SH"/>
        <s v="603098.SH"/>
        <s v="603099.SH"/>
        <s v="603100.SH"/>
        <s v="603101.SH"/>
        <s v="603102.SH"/>
        <s v="603103.SH"/>
        <s v="603105.SH"/>
        <s v="603106.SH"/>
        <s v="603108.SH"/>
        <s v="603109.SH"/>
        <s v="603110.SH"/>
        <s v="603111.SH"/>
        <s v="603112.SH"/>
        <s v="603113.SH"/>
        <s v="603115.SH"/>
        <s v="603116.SH"/>
        <s v="603117.SH"/>
        <s v="603118.SH"/>
        <s v="603121.SH"/>
        <s v="603122.SH"/>
        <s v="603123.SH"/>
        <s v="603126.SH"/>
        <s v="603127.SH"/>
        <s v="603128.SH"/>
        <s v="603129.SH"/>
        <s v="603130.SH"/>
        <s v="603131.SH"/>
        <s v="603132.SH"/>
        <s v="603133.SH"/>
        <s v="603136.SH"/>
        <s v="603138.SH"/>
        <s v="603139.SH"/>
        <s v="603150.SH"/>
        <s v="603151.SH"/>
        <s v="603155.SH"/>
        <s v="603156.SH"/>
        <s v="603158.SH"/>
        <s v="603159.SH"/>
        <s v="603160.SH"/>
        <s v="603161.SH"/>
        <s v="603163.SH"/>
        <s v="603165.SH"/>
        <s v="603166.SH"/>
        <s v="603167.SH"/>
        <s v="603168.SH"/>
        <s v="603169.SH"/>
        <s v="603170.SH"/>
        <s v="603171.SH"/>
        <s v="603176.SH"/>
        <s v="603177.SH"/>
        <s v="603178.SH"/>
        <s v="603179.SH"/>
        <s v="603180.SH"/>
        <s v="603181.SH"/>
        <s v="603182.SH"/>
        <s v="603183.SH"/>
        <s v="603185.SH"/>
        <s v="603186.SH"/>
        <s v="603187.SH"/>
        <s v="603188.SH"/>
        <s v="603189.SH"/>
        <s v="603191.SH"/>
        <s v="603192.SH"/>
        <s v="603195.SH"/>
        <s v="603196.SH"/>
        <s v="603197.SH"/>
        <s v="603198.SH"/>
        <s v="603199.SH"/>
        <s v="603200.SH"/>
        <s v="603201.SH"/>
        <s v="603203.SH"/>
        <s v="603206.SH"/>
        <s v="603208.SH"/>
        <s v="603209.SH"/>
        <s v="603211.SH"/>
        <s v="603212.SH"/>
        <s v="603213.SH"/>
        <s v="603214.SH"/>
        <s v="603215.SH"/>
        <s v="603216.SH"/>
        <s v="603217.SH"/>
        <s v="603218.SH"/>
        <s v="603219.SH"/>
        <s v="603220.SH"/>
        <s v="603221.SH"/>
        <s v="603222.SH"/>
        <s v="603223.SH"/>
        <s v="603225.SH"/>
        <s v="603226.SH"/>
        <s v="603227.SH"/>
        <s v="603228.SH"/>
        <s v="603229.SH"/>
        <s v="603230.SH"/>
        <s v="603232.SH"/>
        <s v="603233.SH"/>
        <s v="603235.SH"/>
        <s v="603236.SH"/>
        <s v="603237.SH"/>
        <s v="603238.SH"/>
        <s v="603239.SH"/>
        <s v="603255.SH"/>
        <s v="603256.SH"/>
        <s v="603258.SH"/>
        <s v="603259.SH"/>
        <s v="603260.SH"/>
        <s v="603261.SH"/>
        <s v="603266.SH"/>
        <s v="603267.SH"/>
        <s v="603268.SH"/>
        <s v="603269.SH"/>
        <s v="603272.SH"/>
        <s v="603277.SH"/>
        <s v="603278.SH"/>
        <s v="603279.SH"/>
        <s v="603280.SH"/>
        <s v="603283.SH"/>
        <s v="603286.SH"/>
        <s v="603288.SH"/>
        <s v="603289.SH"/>
        <s v="603290.SH"/>
        <s v="603297.SH"/>
        <s v="603298.SH"/>
        <s v="603299.SH"/>
        <s v="603300.SH"/>
        <s v="603301.SH"/>
        <s v="603303.SH"/>
        <s v="603305.SH"/>
        <s v="603306.SH"/>
        <s v="603308.SH"/>
        <s v="603309.SH"/>
        <s v="603311.SH"/>
        <s v="603313.SH"/>
        <s v="603315.SH"/>
        <s v="603316.SH"/>
        <s v="603317.SH"/>
        <s v="603318.SH"/>
        <s v="603319.SH"/>
        <s v="603320.SH"/>
        <s v="603321.SH"/>
        <s v="603322.SH"/>
        <s v="603323.SH"/>
        <s v="603324.SH"/>
        <s v="603326.SH"/>
        <s v="603327.SH"/>
        <s v="603328.SH"/>
        <s v="603329.SH"/>
        <s v="603330.SH"/>
        <s v="603331.SH"/>
        <s v="603332.SH"/>
        <s v="603333.SH"/>
        <s v="603335.SH"/>
        <s v="603336.SH"/>
        <s v="603337.SH"/>
        <s v="603338.SH"/>
        <s v="603339.SH"/>
        <s v="603345.SH"/>
        <s v="603348.SH"/>
        <s v="603351.SH"/>
        <s v="603353.SH"/>
        <s v="603355.SH"/>
        <s v="603356.SH"/>
        <s v="603357.SH"/>
        <s v="603358.SH"/>
        <s v="603359.SH"/>
        <s v="603360.SH"/>
        <s v="603363.SH"/>
        <s v="603365.SH"/>
        <s v="603366.SH"/>
        <s v="603367.SH"/>
        <s v="603368.SH"/>
        <s v="603369.SH"/>
        <s v="603377.SH"/>
        <s v="603378.SH"/>
        <s v="603379.SH"/>
        <s v="603380.SH"/>
        <s v="603383.SH"/>
        <s v="603385.SH"/>
        <s v="603386.SH"/>
        <s v="603387.SH"/>
        <s v="603388.SH"/>
        <s v="603389.SH"/>
        <s v="603390.SH"/>
        <s v="603392.SH"/>
        <s v="603393.SH"/>
        <s v="603396.SH"/>
        <s v="603398.SH"/>
        <s v="603399.SH"/>
        <s v="603408.SH"/>
        <s v="603416.SH"/>
        <s v="603421.SH"/>
        <s v="603429.SH"/>
        <s v="603439.SH"/>
        <s v="603444.SH"/>
        <s v="603456.SH"/>
        <s v="603458.SH"/>
        <s v="603466.SH"/>
        <s v="603477.SH"/>
        <s v="603486.SH"/>
        <s v="603488.SH"/>
        <s v="603489.SH"/>
        <s v="603496.SH"/>
        <s v="603499.SH"/>
        <s v="603500.SH"/>
        <s v="603501.SH"/>
        <s v="603505.SH"/>
        <s v="603506.SH"/>
        <s v="603507.SH"/>
        <s v="603508.SH"/>
        <s v="603511.SH"/>
        <s v="603515.SH"/>
        <s v="603516.SH"/>
        <s v="603517.SH"/>
        <s v="603518.SH"/>
        <s v="603519.SH"/>
        <s v="603520.SH"/>
        <s v="603527.SH"/>
        <s v="603528.SH"/>
        <s v="603529.SH"/>
        <s v="603530.SH"/>
        <s v="603533.SH"/>
        <s v="603535.SH"/>
        <s v="603536.SH"/>
        <s v="603538.SH"/>
        <s v="603551.SH"/>
        <s v="603555.SH"/>
        <s v="603556.SH"/>
        <s v="603557.SH"/>
        <s v="603558.SH"/>
        <s v="603559.SH"/>
        <s v="603565.SH"/>
        <s v="603566.SH"/>
        <s v="603567.SH"/>
        <s v="603568.SH"/>
        <s v="603569.SH"/>
        <s v="603577.SH"/>
        <s v="603578.SH"/>
        <s v="603579.SH"/>
        <s v="603580.SH"/>
        <s v="603583.SH"/>
        <s v="603585.SH"/>
        <s v="603586.SH"/>
        <s v="603587.SH"/>
        <s v="603588.SH"/>
        <s v="603589.SH"/>
        <s v="603590.SH"/>
        <s v="603595.SH"/>
        <s v="603596.SH"/>
        <s v="603598.SH"/>
        <s v="603599.SH"/>
        <s v="603600.SH"/>
        <s v="603601.SH"/>
        <s v="603602.SH"/>
        <s v="603603.SH"/>
        <s v="603605.SH"/>
        <s v="603606.SH"/>
        <s v="603607.SH"/>
        <s v="603608.SH"/>
        <s v="603609.SH"/>
        <s v="603610.SH"/>
        <s v="603611.SH"/>
        <s v="603612.SH"/>
        <s v="603613.SH"/>
        <s v="603615.SH"/>
        <s v="603616.SH"/>
        <s v="603617.SH"/>
        <s v="603618.SH"/>
        <s v="603619.SH"/>
        <s v="603626.SH"/>
        <s v="603628.SH"/>
        <s v="603629.SH"/>
        <s v="603630.SH"/>
        <s v="603633.SH"/>
        <s v="603636.SH"/>
        <s v="603637.SH"/>
        <s v="603638.SH"/>
        <s v="603639.SH"/>
        <s v="603648.SH"/>
        <s v="603650.SH"/>
        <s v="603655.SH"/>
        <s v="603656.SH"/>
        <s v="603657.SH"/>
        <s v="603658.SH"/>
        <s v="603659.SH"/>
        <s v="603660.SH"/>
        <s v="603661.SH"/>
        <s v="603662.SH"/>
        <s v="603663.SH"/>
        <s v="603665.SH"/>
        <s v="603666.SH"/>
        <s v="603667.SH"/>
        <s v="603668.SH"/>
        <s v="603669.SH"/>
        <s v="603676.SH"/>
        <s v="603677.SH"/>
        <s v="603678.SH"/>
        <s v="603679.SH"/>
        <s v="603680.SH"/>
        <s v="603681.SH"/>
        <s v="603682.SH"/>
        <s v="603683.SH"/>
        <s v="603685.SH"/>
        <s v="603686.SH"/>
        <s v="603687.SH"/>
        <s v="603688.SH"/>
        <s v="603689.SH"/>
        <s v="603690.SH"/>
        <s v="603693.SH"/>
        <s v="603696.SH"/>
        <s v="603697.SH"/>
        <s v="603698.SH"/>
        <s v="603699.SH"/>
        <s v="603700.SH"/>
        <s v="603701.SH"/>
        <s v="603703.SH"/>
        <s v="603706.SH"/>
        <s v="603707.SH"/>
        <s v="603708.SH"/>
        <s v="603709.SH"/>
        <s v="603711.SH"/>
        <s v="603712.SH"/>
        <s v="603713.SH"/>
        <s v="603716.SH"/>
        <s v="603717.SH"/>
        <s v="603718.SH"/>
        <s v="603719.SH"/>
        <s v="603721.SH"/>
        <s v="603722.SH"/>
        <s v="603725.SH"/>
        <s v="603726.SH"/>
        <s v="603727.SH"/>
        <s v="603728.SH"/>
        <s v="603729.SH"/>
        <s v="603730.SH"/>
        <s v="603733.SH"/>
        <s v="603737.SH"/>
        <s v="603738.SH"/>
        <s v="603739.SH"/>
        <s v="603755.SH"/>
        <s v="603757.SH"/>
        <s v="603758.SH"/>
        <s v="603759.SH"/>
        <s v="603766.SH"/>
        <s v="603767.SH"/>
        <s v="603768.SH"/>
        <s v="603773.SH"/>
        <s v="603776.SH"/>
        <s v="603777.SH"/>
        <s v="603778.SH"/>
        <s v="603779.SH"/>
        <s v="603786.SH"/>
        <s v="603787.SH"/>
        <s v="603788.SH"/>
        <s v="603789.SH"/>
        <s v="603790.SH"/>
        <s v="603797.SH"/>
        <s v="603798.SH"/>
        <s v="603799.SH"/>
        <s v="603800.SH"/>
        <s v="603801.SH"/>
        <s v="603803.SH"/>
        <s v="603806.SH"/>
        <s v="603808.SH"/>
        <s v="603809.SH"/>
        <s v="603810.SH"/>
        <s v="603811.SH"/>
        <s v="603813.SH"/>
        <s v="603815.SH"/>
        <s v="603816.SH"/>
        <s v="603817.SH"/>
        <s v="603818.SH"/>
        <s v="603819.SH"/>
        <s v="603822.SH"/>
        <s v="603823.SH"/>
        <s v="603825.SH"/>
        <s v="603826.SH"/>
        <s v="603828.SH"/>
        <s v="603829.SH"/>
        <s v="603833.SH"/>
        <s v="603836.SH"/>
        <s v="603838.SH"/>
        <s v="603839.SH"/>
        <s v="603843.SH"/>
        <s v="603848.SH"/>
        <s v="603855.SH"/>
        <s v="603856.SH"/>
        <s v="603858.SH"/>
        <s v="603859.SH"/>
        <s v="603860.SH"/>
        <s v="603861.SH"/>
        <s v="603863.SH"/>
        <s v="603866.SH"/>
        <s v="603867.SH"/>
        <s v="603868.SH"/>
        <s v="603869.SH"/>
        <s v="603871.SH"/>
        <s v="603876.SH"/>
        <s v="603877.SH"/>
        <s v="603878.SH"/>
        <s v="603879.SH"/>
        <s v="603880.SH"/>
        <s v="603881.SH"/>
        <s v="603882.SH"/>
        <s v="603883.SH"/>
        <s v="603885.SH"/>
        <s v="603886.SH"/>
        <s v="603887.SH"/>
        <s v="603888.SH"/>
        <s v="603889.SH"/>
        <s v="603890.SH"/>
        <s v="603893.SH"/>
        <s v="603895.SH"/>
        <s v="603896.SH"/>
        <s v="603897.SH"/>
        <s v="603898.SH"/>
        <s v="603899.SH"/>
        <s v="603900.SH"/>
        <s v="603901.SH"/>
        <s v="603903.SH"/>
        <s v="603906.SH"/>
        <s v="603908.SH"/>
        <s v="603909.SH"/>
        <s v="603912.SH"/>
        <s v="603915.SH"/>
        <s v="603916.SH"/>
        <s v="603917.SH"/>
        <s v="603918.SH"/>
        <s v="603919.SH"/>
        <s v="603920.SH"/>
        <s v="603922.SH"/>
        <s v="603926.SH"/>
        <s v="603927.SH"/>
        <s v="603928.SH"/>
        <s v="603929.SH"/>
        <s v="603931.SH"/>
        <s v="603933.SH"/>
        <s v="603936.SH"/>
        <s v="603937.SH"/>
        <s v="603938.SH"/>
        <s v="603939.SH"/>
        <s v="603948.SH"/>
        <s v="603949.SH"/>
        <s v="603950.SH"/>
        <s v="603955.SH"/>
        <s v="603956.SH"/>
        <s v="603958.SH"/>
        <s v="603959.SH"/>
        <s v="603960.SH"/>
        <s v="603963.SH"/>
        <s v="603966.SH"/>
        <s v="603967.SH"/>
        <s v="603968.SH"/>
        <s v="603969.SH"/>
        <s v="603970.SH"/>
        <s v="603976.SH"/>
        <s v="603977.SH"/>
        <s v="603978.SH"/>
        <s v="603979.SH"/>
        <s v="603980.SH"/>
        <s v="603982.SH"/>
        <s v="603983.SH"/>
        <s v="603985.SH"/>
        <s v="603986.SH"/>
        <s v="603987.SH"/>
        <s v="603988.SH"/>
        <s v="603989.SH"/>
        <s v="603990.SH"/>
        <s v="603991.SH"/>
        <s v="603992.SH"/>
        <s v="603993.SH"/>
        <s v="603995.SH"/>
        <s v="603997.SH"/>
        <s v="603998.SH"/>
        <s v="603999.SH"/>
        <s v="605001.SH"/>
        <s v="605003.SH"/>
        <s v="605005.SH"/>
        <s v="605006.SH"/>
        <s v="605007.SH"/>
        <s v="605008.SH"/>
        <s v="605009.SH"/>
        <s v="605011.SH"/>
        <s v="605016.SH"/>
        <s v="605018.SH"/>
        <s v="605020.SH"/>
        <s v="605028.SH"/>
        <s v="605033.SH"/>
        <s v="605050.SH"/>
        <s v="605055.SH"/>
        <s v="605056.SH"/>
        <s v="605058.SH"/>
        <s v="605060.SH"/>
        <s v="605066.SH"/>
        <s v="605068.SH"/>
        <s v="605069.SH"/>
        <s v="605077.SH"/>
        <s v="605080.SH"/>
        <s v="605081.SH"/>
        <s v="605086.SH"/>
        <s v="605088.SH"/>
        <s v="605089.SH"/>
        <s v="605090.SH"/>
        <s v="605098.SH"/>
        <s v="605099.SH"/>
        <s v="605100.SH"/>
        <s v="605108.SH"/>
        <s v="605111.SH"/>
        <s v="605116.SH"/>
        <s v="605117.SH"/>
        <s v="605118.SH"/>
        <s v="605122.SH"/>
        <s v="605123.SH"/>
        <s v="605128.SH"/>
        <s v="605133.SH"/>
        <s v="605136.SH"/>
        <s v="605138.SH"/>
        <s v="605151.SH"/>
        <s v="605155.SH"/>
        <s v="605158.SH"/>
        <s v="605162.SH"/>
        <s v="605166.SH"/>
        <s v="605167.SH"/>
        <s v="605168.SH"/>
        <s v="605169.SH"/>
        <s v="605177.SH"/>
        <s v="605178.SH"/>
        <s v="605179.SH"/>
        <s v="605180.SH"/>
        <s v="605183.SH"/>
        <s v="605186.SH"/>
        <s v="605188.SH"/>
        <s v="605189.SH"/>
        <s v="605196.SH"/>
        <s v="605198.SH"/>
        <s v="605199.SH"/>
        <s v="605208.SH"/>
        <s v="605218.SH"/>
        <s v="605222.SH"/>
        <s v="605228.SH"/>
        <s v="605255.SH"/>
        <s v="605258.SH"/>
        <s v="605259.SH"/>
        <s v="605266.SH"/>
        <s v="605268.SH"/>
        <s v="605277.SH"/>
        <s v="605286.SH"/>
        <s v="605287.SH"/>
        <s v="605288.SH"/>
        <s v="605289.SH"/>
        <s v="605296.SH"/>
        <s v="605298.SH"/>
        <s v="605299.SH"/>
        <s v="605300.SH"/>
        <s v="605303.SH"/>
        <s v="605305.SH"/>
        <s v="605318.SH"/>
        <s v="605319.SH"/>
        <s v="605333.SH"/>
        <s v="605336.SH"/>
        <s v="605337.SH"/>
        <s v="605338.SH"/>
        <s v="605339.SH"/>
        <s v="605358.SH"/>
        <s v="605365.SH"/>
        <s v="605366.SH"/>
        <s v="605368.SH"/>
        <s v="605369.SH"/>
        <s v="605376.SH"/>
        <s v="605377.SH"/>
        <s v="605378.SH"/>
        <s v="605388.SH"/>
        <s v="605389.SH"/>
        <s v="605398.SH"/>
        <s v="605399.SH"/>
        <s v="605488.SH"/>
        <s v="605499.SH"/>
        <s v="605500.SH"/>
        <s v="605507.SH"/>
        <s v="605555.SH"/>
        <s v="605566.SH"/>
        <s v="605567.SH"/>
        <s v="605577.SH"/>
        <s v="605580.SH"/>
        <s v="605588.SH"/>
        <s v="605589.SH"/>
        <s v="605598.SH"/>
        <s v="605599.SH"/>
        <m/>
      </sharedItems>
    </cacheField>
    <cacheField name="symbol" numFmtId="0">
      <sharedItems containsString="0" containsBlank="1" containsNumber="1" containsInteger="1" minValue="0" maxValue="605599" count="2179">
        <n v="1"/>
        <n v="2"/>
        <n v="4"/>
        <n v="5"/>
        <n v="6"/>
        <n v="7"/>
        <n v="8"/>
        <n v="9"/>
        <n v="10"/>
        <n v="11"/>
        <n v="12"/>
        <n v="14"/>
        <n v="16"/>
        <n v="17"/>
        <n v="19"/>
        <n v="20"/>
        <n v="21"/>
        <n v="23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0"/>
        <n v="42"/>
        <n v="45"/>
        <n v="46"/>
        <n v="48"/>
        <n v="49"/>
        <n v="50"/>
        <n v="55"/>
        <n v="56"/>
        <n v="58"/>
        <n v="59"/>
        <n v="60"/>
        <n v="61"/>
        <n v="62"/>
        <n v="63"/>
        <n v="65"/>
        <n v="66"/>
        <n v="68"/>
        <n v="69"/>
        <n v="70"/>
        <n v="78"/>
        <n v="88"/>
        <n v="89"/>
        <n v="90"/>
        <n v="96"/>
        <n v="99"/>
        <n v="100"/>
        <n v="150"/>
        <n v="151"/>
        <n v="153"/>
        <n v="155"/>
        <n v="156"/>
        <n v="157"/>
        <n v="158"/>
        <n v="159"/>
        <n v="166"/>
        <n v="301"/>
        <n v="333"/>
        <n v="338"/>
        <n v="400"/>
        <n v="401"/>
        <n v="402"/>
        <n v="403"/>
        <n v="404"/>
        <n v="407"/>
        <n v="408"/>
        <n v="409"/>
        <n v="410"/>
        <n v="411"/>
        <n v="413"/>
        <n v="415"/>
        <n v="416"/>
        <n v="417"/>
        <n v="419"/>
        <n v="420"/>
        <n v="421"/>
        <n v="422"/>
        <n v="423"/>
        <n v="425"/>
        <n v="426"/>
        <n v="428"/>
        <n v="429"/>
        <n v="430"/>
        <n v="488"/>
        <n v="498"/>
        <n v="501"/>
        <n v="503"/>
        <n v="504"/>
        <n v="505"/>
        <n v="506"/>
        <n v="507"/>
        <n v="509"/>
        <n v="510"/>
        <n v="513"/>
        <n v="514"/>
        <n v="516"/>
        <n v="517"/>
        <n v="518"/>
        <n v="519"/>
        <n v="520"/>
        <n v="521"/>
        <n v="523"/>
        <n v="524"/>
        <n v="525"/>
        <n v="526"/>
        <n v="528"/>
        <n v="529"/>
        <n v="530"/>
        <n v="531"/>
        <n v="532"/>
        <n v="533"/>
        <n v="534"/>
        <n v="536"/>
        <n v="537"/>
        <n v="538"/>
        <n v="539"/>
        <n v="540"/>
        <n v="541"/>
        <n v="543"/>
        <n v="544"/>
        <n v="545"/>
        <n v="546"/>
        <n v="547"/>
        <n v="548"/>
        <n v="550"/>
        <n v="551"/>
        <n v="552"/>
        <n v="553"/>
        <n v="554"/>
        <n v="555"/>
        <n v="557"/>
        <n v="558"/>
        <n v="559"/>
        <n v="560"/>
        <n v="561"/>
        <n v="563"/>
        <n v="564"/>
        <n v="565"/>
        <n v="566"/>
        <n v="567"/>
        <n v="568"/>
        <n v="570"/>
        <n v="571"/>
        <n v="572"/>
        <n v="573"/>
        <n v="576"/>
        <n v="581"/>
        <n v="582"/>
        <n v="584"/>
        <n v="586"/>
        <n v="587"/>
        <n v="589"/>
        <n v="590"/>
        <n v="591"/>
        <n v="592"/>
        <n v="593"/>
        <n v="595"/>
        <n v="596"/>
        <n v="597"/>
        <n v="598"/>
        <n v="599"/>
        <n v="600"/>
        <n v="601"/>
        <n v="603"/>
        <n v="605"/>
        <n v="606"/>
        <n v="607"/>
        <n v="608"/>
        <n v="609"/>
        <n v="610"/>
        <n v="612"/>
        <n v="615"/>
        <n v="616"/>
        <n v="617"/>
        <n v="619"/>
        <n v="620"/>
        <n v="622"/>
        <n v="623"/>
        <n v="625"/>
        <n v="626"/>
        <n v="627"/>
        <n v="628"/>
        <n v="629"/>
        <n v="630"/>
        <n v="631"/>
        <n v="632"/>
        <n v="633"/>
        <n v="635"/>
        <n v="636"/>
        <n v="637"/>
        <n v="638"/>
        <n v="639"/>
        <n v="650"/>
        <n v="651"/>
        <n v="652"/>
        <n v="655"/>
        <n v="656"/>
        <n v="657"/>
        <n v="659"/>
        <n v="661"/>
        <n v="663"/>
        <n v="665"/>
        <n v="666"/>
        <n v="667"/>
        <n v="668"/>
        <n v="669"/>
        <n v="670"/>
        <n v="671"/>
        <n v="672"/>
        <n v="676"/>
        <n v="677"/>
        <n v="678"/>
        <n v="679"/>
        <n v="680"/>
        <n v="681"/>
        <n v="682"/>
        <n v="683"/>
        <n v="685"/>
        <n v="686"/>
        <n v="688"/>
        <n v="690"/>
        <n v="691"/>
        <n v="692"/>
        <n v="695"/>
        <n v="697"/>
        <n v="698"/>
        <n v="700"/>
        <n v="701"/>
        <n v="702"/>
        <n v="703"/>
        <n v="705"/>
        <n v="707"/>
        <n v="708"/>
        <n v="709"/>
        <n v="710"/>
        <n v="711"/>
        <n v="712"/>
        <n v="713"/>
        <n v="715"/>
        <n v="716"/>
        <n v="717"/>
        <n v="718"/>
        <n v="719"/>
        <n v="720"/>
        <n v="721"/>
        <n v="722"/>
        <n v="723"/>
        <n v="725"/>
        <n v="726"/>
        <n v="727"/>
        <n v="728"/>
        <n v="729"/>
        <n v="731"/>
        <n v="732"/>
        <n v="733"/>
        <n v="735"/>
        <n v="736"/>
        <n v="737"/>
        <n v="738"/>
        <n v="739"/>
        <n v="750"/>
        <n v="751"/>
        <n v="752"/>
        <n v="753"/>
        <n v="755"/>
        <n v="756"/>
        <n v="757"/>
        <n v="758"/>
        <n v="759"/>
        <n v="761"/>
        <n v="762"/>
        <n v="766"/>
        <n v="767"/>
        <n v="768"/>
        <n v="776"/>
        <n v="777"/>
        <n v="778"/>
        <n v="779"/>
        <n v="782"/>
        <n v="783"/>
        <n v="785"/>
        <n v="786"/>
        <n v="788"/>
        <n v="789"/>
        <n v="790"/>
        <n v="791"/>
        <n v="792"/>
        <n v="793"/>
        <n v="795"/>
        <n v="796"/>
        <n v="797"/>
        <n v="798"/>
        <n v="799"/>
        <n v="800"/>
        <n v="801"/>
        <n v="802"/>
        <n v="803"/>
        <n v="806"/>
        <n v="807"/>
        <n v="809"/>
        <n v="810"/>
        <n v="811"/>
        <n v="812"/>
        <n v="813"/>
        <n v="815"/>
        <n v="816"/>
        <n v="818"/>
        <n v="819"/>
        <n v="820"/>
        <n v="821"/>
        <n v="822"/>
        <n v="823"/>
        <n v="825"/>
        <n v="826"/>
        <n v="828"/>
        <n v="829"/>
        <n v="830"/>
        <n v="831"/>
        <n v="833"/>
        <n v="836"/>
        <n v="837"/>
        <n v="838"/>
        <n v="839"/>
        <n v="848"/>
        <n v="850"/>
        <n v="851"/>
        <n v="852"/>
        <n v="856"/>
        <n v="858"/>
        <n v="859"/>
        <n v="860"/>
        <n v="861"/>
        <n v="862"/>
        <n v="863"/>
        <n v="868"/>
        <n v="869"/>
        <n v="875"/>
        <n v="876"/>
        <n v="877"/>
        <n v="878"/>
        <n v="880"/>
        <n v="881"/>
        <n v="882"/>
        <n v="883"/>
        <n v="885"/>
        <n v="886"/>
        <n v="887"/>
        <n v="888"/>
        <n v="889"/>
        <n v="890"/>
        <n v="892"/>
        <n v="893"/>
        <n v="895"/>
        <n v="897"/>
        <n v="898"/>
        <n v="899"/>
        <n v="900"/>
        <n v="901"/>
        <n v="902"/>
        <n v="903"/>
        <n v="905"/>
        <n v="906"/>
        <n v="908"/>
        <n v="909"/>
        <n v="910"/>
        <n v="911"/>
        <n v="912"/>
        <n v="913"/>
        <n v="915"/>
        <n v="917"/>
        <n v="918"/>
        <n v="919"/>
        <n v="920"/>
        <n v="921"/>
        <n v="922"/>
        <n v="923"/>
        <n v="925"/>
        <n v="926"/>
        <n v="927"/>
        <n v="928"/>
        <n v="929"/>
        <n v="930"/>
        <n v="931"/>
        <n v="932"/>
        <n v="933"/>
        <n v="935"/>
        <n v="936"/>
        <n v="937"/>
        <n v="938"/>
        <n v="948"/>
        <n v="949"/>
        <n v="950"/>
        <n v="951"/>
        <n v="952"/>
        <n v="953"/>
        <n v="955"/>
        <n v="957"/>
        <n v="958"/>
        <n v="959"/>
        <n v="960"/>
        <n v="961"/>
        <n v="962"/>
        <n v="963"/>
        <n v="965"/>
        <n v="966"/>
        <n v="967"/>
        <n v="968"/>
        <n v="969"/>
        <n v="970"/>
        <n v="971"/>
        <n v="972"/>
        <n v="973"/>
        <n v="975"/>
        <n v="976"/>
        <n v="977"/>
        <n v="978"/>
        <n v="980"/>
        <n v="981"/>
        <n v="982"/>
        <n v="983"/>
        <n v="985"/>
        <n v="987"/>
        <n v="988"/>
        <n v="989"/>
        <n v="990"/>
        <n v="993"/>
        <n v="995"/>
        <n v="996"/>
        <n v="997"/>
        <n v="998"/>
        <n v="999"/>
        <n v="1201"/>
        <n v="1202"/>
        <n v="1203"/>
        <n v="1205"/>
        <n v="1206"/>
        <n v="1207"/>
        <n v="1208"/>
        <n v="1209"/>
        <n v="1210"/>
        <n v="1211"/>
        <n v="1212"/>
        <n v="1213"/>
        <n v="1215"/>
        <n v="1216"/>
        <n v="1217"/>
        <n v="1218"/>
        <n v="1219"/>
        <n v="1222"/>
        <n v="1223"/>
        <n v="1226"/>
        <n v="1227"/>
        <n v="1228"/>
        <n v="1229"/>
        <n v="1230"/>
        <n v="1231"/>
        <n v="1234"/>
        <n v="1236"/>
        <n v="1238"/>
        <n v="1255"/>
        <n v="1256"/>
        <n v="1258"/>
        <n v="1259"/>
        <n v="1266"/>
        <n v="1267"/>
        <n v="1268"/>
        <n v="1269"/>
        <n v="1270"/>
        <n v="1283"/>
        <n v="1288"/>
        <n v="1289"/>
        <n v="1296"/>
        <n v="1298"/>
        <n v="1299"/>
        <n v="1300"/>
        <n v="1301"/>
        <n v="1308"/>
        <n v="1309"/>
        <n v="1313"/>
        <n v="1316"/>
        <n v="1317"/>
        <n v="1318"/>
        <n v="1319"/>
        <n v="1322"/>
        <n v="1323"/>
        <n v="1330"/>
        <n v="1331"/>
        <n v="1332"/>
        <n v="1333"/>
        <n v="1336"/>
        <n v="1338"/>
        <n v="1339"/>
        <n v="1696"/>
        <n v="1872"/>
        <n v="1896"/>
        <n v="1914"/>
        <n v="1965"/>
        <n v="1979"/>
        <n v="600000"/>
        <n v="600004"/>
        <n v="600006"/>
        <n v="600007"/>
        <n v="600008"/>
        <n v="600009"/>
        <n v="600010"/>
        <n v="600011"/>
        <n v="600012"/>
        <n v="600015"/>
        <n v="600016"/>
        <n v="600017"/>
        <n v="600018"/>
        <n v="600019"/>
        <n v="600020"/>
        <n v="600021"/>
        <n v="600022"/>
        <n v="600023"/>
        <n v="600025"/>
        <n v="600026"/>
        <n v="600027"/>
        <n v="600028"/>
        <n v="600029"/>
        <n v="600030"/>
        <n v="600031"/>
        <n v="600032"/>
        <n v="600033"/>
        <n v="600035"/>
        <n v="600036"/>
        <n v="600037"/>
        <n v="600038"/>
        <n v="600039"/>
        <n v="600048"/>
        <n v="600050"/>
        <n v="600051"/>
        <n v="600052"/>
        <n v="600053"/>
        <n v="600054"/>
        <n v="600055"/>
        <n v="600056"/>
        <n v="600057"/>
        <n v="600058"/>
        <n v="600059"/>
        <n v="600060"/>
        <n v="600061"/>
        <n v="600062"/>
        <n v="600063"/>
        <n v="600064"/>
        <n v="600066"/>
        <n v="600067"/>
        <n v="600070"/>
        <n v="600071"/>
        <n v="600072"/>
        <n v="600073"/>
        <n v="600075"/>
        <n v="600076"/>
        <n v="600077"/>
        <n v="600078"/>
        <n v="600079"/>
        <n v="600080"/>
        <n v="600081"/>
        <n v="600082"/>
        <n v="600083"/>
        <n v="600084"/>
        <n v="600085"/>
        <n v="600088"/>
        <n v="600089"/>
        <n v="600094"/>
        <n v="600095"/>
        <n v="600096"/>
        <n v="600097"/>
        <n v="600098"/>
        <n v="600099"/>
        <n v="600100"/>
        <n v="600101"/>
        <n v="600103"/>
        <n v="600104"/>
        <n v="600105"/>
        <n v="600106"/>
        <n v="600107"/>
        <n v="600108"/>
        <n v="600109"/>
        <n v="600110"/>
        <n v="600111"/>
        <n v="600112"/>
        <n v="600113"/>
        <n v="600114"/>
        <n v="600115"/>
        <n v="600116"/>
        <n v="600117"/>
        <n v="600118"/>
        <n v="600119"/>
        <n v="600120"/>
        <n v="600121"/>
        <n v="600122"/>
        <n v="600123"/>
        <n v="600125"/>
        <n v="600126"/>
        <n v="600127"/>
        <n v="600128"/>
        <n v="600129"/>
        <n v="600130"/>
        <n v="600131"/>
        <n v="600132"/>
        <n v="600133"/>
        <n v="600135"/>
        <n v="600136"/>
        <n v="600137"/>
        <n v="600138"/>
        <n v="600139"/>
        <n v="600141"/>
        <n v="600143"/>
        <n v="600148"/>
        <n v="600149"/>
        <n v="600150"/>
        <n v="600151"/>
        <n v="600152"/>
        <n v="600153"/>
        <n v="600155"/>
        <n v="600156"/>
        <n v="600157"/>
        <n v="600158"/>
        <n v="600159"/>
        <n v="600160"/>
        <n v="600161"/>
        <n v="600162"/>
        <n v="600163"/>
        <n v="600165"/>
        <n v="600166"/>
        <n v="600167"/>
        <n v="600168"/>
        <n v="600169"/>
        <n v="600170"/>
        <n v="600171"/>
        <n v="600172"/>
        <n v="600173"/>
        <n v="600176"/>
        <n v="600177"/>
        <n v="600178"/>
        <n v="600179"/>
        <n v="600180"/>
        <n v="600182"/>
        <n v="600183"/>
        <n v="600184"/>
        <n v="600185"/>
        <n v="600186"/>
        <n v="600187"/>
        <n v="600188"/>
        <n v="600189"/>
        <n v="600190"/>
        <n v="600191"/>
        <n v="600192"/>
        <n v="600193"/>
        <n v="600195"/>
        <n v="600196"/>
        <n v="600197"/>
        <n v="600198"/>
        <n v="600199"/>
        <n v="600200"/>
        <n v="600201"/>
        <n v="600202"/>
        <n v="600203"/>
        <n v="600206"/>
        <n v="600207"/>
        <n v="600208"/>
        <n v="600210"/>
        <n v="600211"/>
        <n v="600212"/>
        <n v="600213"/>
        <n v="600215"/>
        <n v="600216"/>
        <n v="600217"/>
        <n v="600218"/>
        <n v="600219"/>
        <n v="600220"/>
        <n v="600221"/>
        <n v="600222"/>
        <n v="600223"/>
        <n v="600225"/>
        <n v="600226"/>
        <n v="600227"/>
        <n v="600228"/>
        <n v="600229"/>
        <n v="600230"/>
        <n v="600231"/>
        <n v="600232"/>
        <n v="600233"/>
        <n v="600234"/>
        <n v="600235"/>
        <n v="600236"/>
        <n v="600237"/>
        <n v="600238"/>
        <n v="600239"/>
        <n v="600241"/>
        <n v="600242"/>
        <n v="600243"/>
        <n v="600246"/>
        <n v="600248"/>
        <n v="600249"/>
        <n v="600250"/>
        <n v="600251"/>
        <n v="600252"/>
        <n v="600255"/>
        <n v="600256"/>
        <n v="600257"/>
        <n v="600258"/>
        <n v="600259"/>
        <n v="600260"/>
        <n v="600261"/>
        <n v="600262"/>
        <n v="600265"/>
        <n v="600266"/>
        <n v="600267"/>
        <n v="600268"/>
        <n v="600269"/>
        <n v="600271"/>
        <n v="600272"/>
        <n v="600273"/>
        <n v="600276"/>
        <n v="600277"/>
        <n v="600278"/>
        <n v="600279"/>
        <n v="600280"/>
        <n v="600281"/>
        <n v="600282"/>
        <n v="600283"/>
        <n v="600284"/>
        <n v="600285"/>
        <n v="600287"/>
        <n v="600288"/>
        <n v="600289"/>
        <n v="600290"/>
        <n v="600292"/>
        <n v="600293"/>
        <n v="600295"/>
        <n v="600297"/>
        <n v="600298"/>
        <n v="600299"/>
        <n v="600300"/>
        <n v="600301"/>
        <n v="600302"/>
        <n v="600303"/>
        <n v="600305"/>
        <n v="600306"/>
        <n v="600307"/>
        <n v="600308"/>
        <n v="600309"/>
        <n v="600310"/>
        <n v="600311"/>
        <n v="600312"/>
        <n v="600313"/>
        <n v="600315"/>
        <n v="600316"/>
        <n v="600318"/>
        <n v="600319"/>
        <n v="600320"/>
        <n v="600321"/>
        <n v="600322"/>
        <n v="600323"/>
        <n v="600325"/>
        <n v="600326"/>
        <n v="600327"/>
        <n v="600328"/>
        <n v="600329"/>
        <n v="600330"/>
        <n v="600331"/>
        <n v="600332"/>
        <n v="600333"/>
        <n v="600335"/>
        <n v="600336"/>
        <n v="600337"/>
        <n v="600338"/>
        <n v="600339"/>
        <n v="600340"/>
        <n v="600343"/>
        <n v="600345"/>
        <n v="600346"/>
        <n v="600348"/>
        <n v="600350"/>
        <n v="600351"/>
        <n v="600352"/>
        <n v="600353"/>
        <n v="600354"/>
        <n v="600355"/>
        <n v="600356"/>
        <n v="600358"/>
        <n v="600359"/>
        <n v="600360"/>
        <n v="600361"/>
        <n v="600362"/>
        <n v="600363"/>
        <n v="600365"/>
        <n v="600366"/>
        <n v="600367"/>
        <n v="600368"/>
        <n v="600369"/>
        <n v="600370"/>
        <n v="600371"/>
        <n v="600372"/>
        <n v="600373"/>
        <n v="600375"/>
        <n v="600376"/>
        <n v="600377"/>
        <n v="600378"/>
        <n v="600379"/>
        <n v="600380"/>
        <n v="600381"/>
        <n v="600382"/>
        <n v="600383"/>
        <n v="600386"/>
        <n v="600387"/>
        <n v="600388"/>
        <n v="600389"/>
        <n v="600390"/>
        <n v="600391"/>
        <n v="600392"/>
        <n v="600393"/>
        <n v="600395"/>
        <n v="600396"/>
        <n v="600397"/>
        <n v="600398"/>
        <n v="600399"/>
        <n v="600400"/>
        <n v="600403"/>
        <n v="600405"/>
        <n v="600406"/>
        <n v="600408"/>
        <n v="600409"/>
        <n v="600410"/>
        <n v="600415"/>
        <n v="600416"/>
        <n v="600418"/>
        <n v="600419"/>
        <n v="600420"/>
        <n v="600421"/>
        <n v="600422"/>
        <n v="600423"/>
        <n v="600425"/>
        <n v="600426"/>
        <n v="600428"/>
        <n v="600429"/>
        <n v="600433"/>
        <n v="600435"/>
        <n v="600436"/>
        <n v="600438"/>
        <n v="600439"/>
        <n v="600444"/>
        <n v="600446"/>
        <n v="600448"/>
        <n v="600449"/>
        <n v="600452"/>
        <n v="600455"/>
        <n v="600456"/>
        <n v="600458"/>
        <n v="600459"/>
        <n v="600460"/>
        <n v="600461"/>
        <n v="600462"/>
        <n v="600463"/>
        <n v="600466"/>
        <n v="600467"/>
        <n v="600468"/>
        <n v="600469"/>
        <n v="600470"/>
        <n v="600475"/>
        <n v="600476"/>
        <n v="600477"/>
        <n v="600478"/>
        <n v="600479"/>
        <n v="600480"/>
        <n v="600481"/>
        <n v="600482"/>
        <n v="600483"/>
        <n v="600486"/>
        <n v="600487"/>
        <n v="600488"/>
        <n v="600489"/>
        <n v="600490"/>
        <n v="600491"/>
        <n v="600493"/>
        <n v="600495"/>
        <n v="600496"/>
        <n v="600497"/>
        <n v="600498"/>
        <n v="600499"/>
        <n v="600500"/>
        <n v="600501"/>
        <n v="600502"/>
        <n v="600503"/>
        <n v="600505"/>
        <n v="600506"/>
        <n v="600507"/>
        <n v="600508"/>
        <n v="600509"/>
        <n v="600510"/>
        <n v="600511"/>
        <n v="600512"/>
        <n v="600513"/>
        <n v="600515"/>
        <n v="600516"/>
        <n v="600517"/>
        <n v="600518"/>
        <n v="600519"/>
        <n v="600520"/>
        <n v="600521"/>
        <n v="600522"/>
        <n v="600523"/>
        <n v="600525"/>
        <n v="600526"/>
        <n v="600527"/>
        <n v="600528"/>
        <n v="600529"/>
        <n v="600530"/>
        <n v="600531"/>
        <n v="600532"/>
        <n v="600533"/>
        <n v="600535"/>
        <n v="600536"/>
        <n v="600537"/>
        <n v="600538"/>
        <n v="600539"/>
        <n v="600540"/>
        <n v="600543"/>
        <n v="600545"/>
        <n v="600546"/>
        <n v="600547"/>
        <n v="600548"/>
        <n v="600549"/>
        <n v="600550"/>
        <n v="600551"/>
        <n v="600552"/>
        <n v="600556"/>
        <n v="600557"/>
        <n v="600558"/>
        <n v="600559"/>
        <n v="600560"/>
        <n v="600561"/>
        <n v="600562"/>
        <n v="600563"/>
        <n v="600565"/>
        <n v="600566"/>
        <n v="600567"/>
        <n v="600568"/>
        <n v="600569"/>
        <n v="600570"/>
        <n v="600571"/>
        <n v="600572"/>
        <n v="600573"/>
        <n v="600575"/>
        <n v="600576"/>
        <n v="600577"/>
        <n v="600578"/>
        <n v="600579"/>
        <n v="600580"/>
        <n v="600581"/>
        <n v="600582"/>
        <n v="600583"/>
        <n v="600584"/>
        <n v="600585"/>
        <n v="600586"/>
        <n v="600587"/>
        <n v="600588"/>
        <n v="600589"/>
        <n v="600590"/>
        <n v="600592"/>
        <n v="600593"/>
        <n v="600594"/>
        <n v="600595"/>
        <n v="600596"/>
        <n v="600597"/>
        <n v="600598"/>
        <n v="600599"/>
        <n v="600600"/>
        <n v="600601"/>
        <n v="600602"/>
        <n v="600603"/>
        <n v="600604"/>
        <n v="600605"/>
        <n v="600606"/>
        <n v="600608"/>
        <n v="600609"/>
        <n v="600610"/>
        <n v="600611"/>
        <n v="600612"/>
        <n v="600613"/>
        <n v="600615"/>
        <n v="600616"/>
        <n v="600617"/>
        <n v="600618"/>
        <n v="600619"/>
        <n v="600620"/>
        <n v="600621"/>
        <n v="600622"/>
        <n v="600623"/>
        <n v="600624"/>
        <n v="600626"/>
        <n v="600628"/>
        <n v="600629"/>
        <n v="600630"/>
        <n v="600633"/>
        <n v="600635"/>
        <n v="600636"/>
        <n v="600637"/>
        <n v="600638"/>
        <n v="600639"/>
        <n v="600640"/>
        <n v="600641"/>
        <n v="600642"/>
        <n v="600643"/>
        <n v="600644"/>
        <n v="600645"/>
        <n v="600647"/>
        <n v="600648"/>
        <n v="600649"/>
        <n v="600650"/>
        <n v="600651"/>
        <n v="600653"/>
        <n v="600654"/>
        <n v="600655"/>
        <n v="600657"/>
        <n v="600658"/>
        <n v="600660"/>
        <n v="600661"/>
        <n v="600662"/>
        <n v="600663"/>
        <n v="600664"/>
        <n v="600665"/>
        <n v="600666"/>
        <n v="600667"/>
        <n v="600668"/>
        <n v="600671"/>
        <n v="600673"/>
        <n v="600674"/>
        <n v="600675"/>
        <n v="600676"/>
        <n v="600678"/>
        <n v="600679"/>
        <n v="600681"/>
        <n v="600682"/>
        <n v="600683"/>
        <n v="600684"/>
        <n v="600685"/>
        <n v="600686"/>
        <n v="600688"/>
        <n v="600689"/>
        <n v="600690"/>
        <n v="600691"/>
        <n v="600692"/>
        <n v="600693"/>
        <n v="600694"/>
        <n v="600696"/>
        <n v="600697"/>
        <n v="600698"/>
        <n v="600699"/>
        <n v="600702"/>
        <n v="600703"/>
        <n v="600704"/>
        <n v="600705"/>
        <n v="600706"/>
        <n v="600707"/>
        <n v="600708"/>
        <n v="600710"/>
        <n v="600711"/>
        <n v="600712"/>
        <n v="600713"/>
        <n v="600714"/>
        <n v="600715"/>
        <n v="600716"/>
        <n v="600717"/>
        <n v="600718"/>
        <n v="600719"/>
        <n v="600720"/>
        <n v="600721"/>
        <n v="600722"/>
        <n v="600724"/>
        <n v="600725"/>
        <n v="600726"/>
        <n v="600727"/>
        <n v="600728"/>
        <n v="600729"/>
        <n v="600730"/>
        <n v="600731"/>
        <n v="600732"/>
        <n v="600733"/>
        <n v="600734"/>
        <n v="600735"/>
        <n v="600736"/>
        <n v="600737"/>
        <n v="600738"/>
        <n v="600739"/>
        <n v="600740"/>
        <n v="600741"/>
        <n v="600742"/>
        <n v="600743"/>
        <n v="600744"/>
        <n v="600745"/>
        <n v="600746"/>
        <n v="600748"/>
        <n v="600749"/>
        <n v="600750"/>
        <n v="600751"/>
        <n v="600753"/>
        <n v="600754"/>
        <n v="600755"/>
        <n v="600756"/>
        <n v="600757"/>
        <n v="600758"/>
        <n v="600759"/>
        <n v="600760"/>
        <n v="600761"/>
        <n v="600763"/>
        <n v="600764"/>
        <n v="600765"/>
        <n v="600766"/>
        <n v="600767"/>
        <n v="600768"/>
        <n v="600769"/>
        <n v="600770"/>
        <n v="600771"/>
        <n v="600773"/>
        <n v="600774"/>
        <n v="600775"/>
        <n v="600776"/>
        <n v="600777"/>
        <n v="600778"/>
        <n v="600779"/>
        <n v="600780"/>
        <n v="600781"/>
        <n v="600782"/>
        <n v="600783"/>
        <n v="600784"/>
        <n v="600785"/>
        <n v="600787"/>
        <n v="600789"/>
        <n v="600790"/>
        <n v="600791"/>
        <n v="600792"/>
        <n v="600793"/>
        <n v="600794"/>
        <n v="600795"/>
        <n v="600796"/>
        <n v="600797"/>
        <n v="600798"/>
        <n v="600800"/>
        <n v="600801"/>
        <n v="600802"/>
        <n v="600803"/>
        <n v="600804"/>
        <n v="600805"/>
        <n v="600807"/>
        <n v="600808"/>
        <n v="600809"/>
        <n v="600810"/>
        <n v="600811"/>
        <n v="600812"/>
        <n v="600814"/>
        <n v="600815"/>
        <n v="600816"/>
        <n v="600817"/>
        <n v="600818"/>
        <n v="600819"/>
        <n v="600820"/>
        <n v="600821"/>
        <n v="600822"/>
        <n v="600823"/>
        <n v="600824"/>
        <n v="600825"/>
        <n v="600826"/>
        <n v="600827"/>
        <n v="600828"/>
        <n v="600829"/>
        <n v="600830"/>
        <n v="600831"/>
        <n v="600833"/>
        <n v="600834"/>
        <n v="600835"/>
        <n v="600836"/>
        <n v="600837"/>
        <n v="600838"/>
        <n v="600839"/>
        <n v="600841"/>
        <n v="600843"/>
        <n v="600844"/>
        <n v="600845"/>
        <n v="600846"/>
        <n v="600847"/>
        <n v="600848"/>
        <n v="600850"/>
        <n v="600851"/>
        <n v="600853"/>
        <n v="600854"/>
        <n v="600855"/>
        <n v="600857"/>
        <n v="600858"/>
        <n v="600859"/>
        <n v="600860"/>
        <n v="600861"/>
        <n v="600862"/>
        <n v="600863"/>
        <n v="600864"/>
        <n v="600865"/>
        <n v="600866"/>
        <n v="600867"/>
        <n v="600868"/>
        <n v="600869"/>
        <n v="600871"/>
        <n v="600872"/>
        <n v="600873"/>
        <n v="600874"/>
        <n v="600875"/>
        <n v="600876"/>
        <n v="600877"/>
        <n v="600879"/>
        <n v="600880"/>
        <n v="600881"/>
        <n v="600882"/>
        <n v="600883"/>
        <n v="600884"/>
        <n v="600885"/>
        <n v="600886"/>
        <n v="600887"/>
        <n v="600888"/>
        <n v="600889"/>
        <n v="600892"/>
        <n v="600893"/>
        <n v="600894"/>
        <n v="600895"/>
        <n v="600897"/>
        <n v="600898"/>
        <n v="600900"/>
        <n v="600901"/>
        <n v="600903"/>
        <n v="600905"/>
        <n v="600906"/>
        <n v="600908"/>
        <n v="600909"/>
        <n v="600916"/>
        <n v="600917"/>
        <n v="600918"/>
        <n v="600919"/>
        <n v="600926"/>
        <n v="600927"/>
        <n v="600928"/>
        <n v="600929"/>
        <n v="600933"/>
        <n v="600935"/>
        <n v="600936"/>
        <n v="600938"/>
        <n v="600939"/>
        <n v="600941"/>
        <n v="600955"/>
        <n v="600956"/>
        <n v="600958"/>
        <n v="600959"/>
        <n v="600960"/>
        <n v="600961"/>
        <n v="600962"/>
        <n v="600963"/>
        <n v="600965"/>
        <n v="600966"/>
        <n v="600967"/>
        <n v="600968"/>
        <n v="600969"/>
        <n v="600970"/>
        <n v="600971"/>
        <n v="600973"/>
        <n v="600975"/>
        <n v="600976"/>
        <n v="600977"/>
        <n v="600979"/>
        <n v="600980"/>
        <n v="600981"/>
        <n v="600982"/>
        <n v="600983"/>
        <n v="600984"/>
        <n v="600985"/>
        <n v="600986"/>
        <n v="600987"/>
        <n v="600988"/>
        <n v="600989"/>
        <n v="600990"/>
        <n v="600992"/>
        <n v="600993"/>
        <n v="600995"/>
        <n v="600996"/>
        <n v="600997"/>
        <n v="600998"/>
        <n v="600999"/>
        <n v="601000"/>
        <n v="601001"/>
        <n v="601002"/>
        <n v="601003"/>
        <n v="601005"/>
        <n v="601006"/>
        <n v="601007"/>
        <n v="601008"/>
        <n v="601009"/>
        <n v="601010"/>
        <n v="601011"/>
        <n v="601012"/>
        <n v="601015"/>
        <n v="601016"/>
        <n v="601018"/>
        <n v="601019"/>
        <n v="601020"/>
        <n v="601021"/>
        <n v="601022"/>
        <n v="601028"/>
        <n v="601038"/>
        <n v="601058"/>
        <n v="601066"/>
        <n v="601068"/>
        <n v="601069"/>
        <n v="601077"/>
        <n v="601086"/>
        <n v="601088"/>
        <n v="601089"/>
        <n v="601098"/>
        <n v="601099"/>
        <n v="601100"/>
        <n v="601101"/>
        <n v="601106"/>
        <n v="601107"/>
        <n v="601108"/>
        <n v="601111"/>
        <n v="601113"/>
        <n v="601116"/>
        <n v="601117"/>
        <n v="601118"/>
        <n v="601126"/>
        <n v="601127"/>
        <n v="601128"/>
        <n v="601136"/>
        <n v="601137"/>
        <n v="601138"/>
        <n v="601139"/>
        <n v="601155"/>
        <n v="601156"/>
        <n v="601158"/>
        <n v="601162"/>
        <n v="601163"/>
        <n v="601166"/>
        <n v="601168"/>
        <n v="601169"/>
        <n v="601177"/>
        <n v="601179"/>
        <n v="601186"/>
        <n v="601187"/>
        <n v="601188"/>
        <n v="601198"/>
        <n v="601199"/>
        <n v="601200"/>
        <n v="601208"/>
        <n v="601211"/>
        <n v="601212"/>
        <n v="601216"/>
        <n v="601218"/>
        <n v="601222"/>
        <n v="601225"/>
        <n v="601226"/>
        <n v="601228"/>
        <n v="601229"/>
        <n v="601231"/>
        <n v="601233"/>
        <n v="601236"/>
        <n v="601238"/>
        <n v="601258"/>
        <n v="601279"/>
        <n v="601288"/>
        <n v="601298"/>
        <n v="601311"/>
        <n v="601318"/>
        <n v="601319"/>
        <n v="601326"/>
        <n v="601328"/>
        <n v="601330"/>
        <n v="601333"/>
        <n v="601336"/>
        <n v="601339"/>
        <n v="601360"/>
        <n v="601366"/>
        <n v="601368"/>
        <n v="601369"/>
        <n v="601375"/>
        <n v="601377"/>
        <n v="601388"/>
        <n v="601390"/>
        <n v="601398"/>
        <n v="601399"/>
        <n v="601456"/>
        <n v="601500"/>
        <n v="601512"/>
        <n v="601515"/>
        <n v="601518"/>
        <n v="601519"/>
        <n v="601528"/>
        <n v="601555"/>
        <n v="601566"/>
        <n v="601567"/>
        <n v="601568"/>
        <n v="601577"/>
        <n v="601579"/>
        <n v="601588"/>
        <n v="601595"/>
        <n v="601598"/>
        <n v="601599"/>
        <n v="601600"/>
        <n v="601601"/>
        <n v="601606"/>
        <n v="601607"/>
        <n v="601608"/>
        <n v="601609"/>
        <n v="601611"/>
        <n v="601615"/>
        <n v="601616"/>
        <n v="601618"/>
        <n v="601619"/>
        <n v="601628"/>
        <n v="601633"/>
        <n v="601636"/>
        <n v="601658"/>
        <n v="601665"/>
        <n v="601666"/>
        <n v="601668"/>
        <n v="601669"/>
        <n v="601677"/>
        <n v="601678"/>
        <n v="601686"/>
        <n v="601688"/>
        <n v="601689"/>
        <n v="601696"/>
        <n v="601698"/>
        <n v="601699"/>
        <n v="601700"/>
        <n v="601702"/>
        <n v="601717"/>
        <n v="601718"/>
        <n v="601727"/>
        <n v="601728"/>
        <n v="601766"/>
        <n v="601777"/>
        <n v="601778"/>
        <n v="601788"/>
        <n v="601789"/>
        <n v="601798"/>
        <n v="601799"/>
        <n v="601800"/>
        <n v="601801"/>
        <n v="601808"/>
        <n v="601811"/>
        <n v="601816"/>
        <n v="601818"/>
        <n v="601825"/>
        <n v="601827"/>
        <n v="601828"/>
        <n v="601838"/>
        <n v="601857"/>
        <n v="601858"/>
        <n v="601860"/>
        <n v="601865"/>
        <n v="601866"/>
        <n v="601868"/>
        <n v="601869"/>
        <n v="601872"/>
        <n v="601877"/>
        <n v="601878"/>
        <n v="601880"/>
        <n v="601881"/>
        <n v="601882"/>
        <n v="601886"/>
        <n v="601888"/>
        <n v="601890"/>
        <n v="601898"/>
        <n v="601899"/>
        <n v="601900"/>
        <n v="601901"/>
        <n v="601908"/>
        <n v="601916"/>
        <n v="601918"/>
        <n v="601919"/>
        <n v="601921"/>
        <n v="601928"/>
        <n v="601929"/>
        <n v="601933"/>
        <n v="601939"/>
        <n v="601949"/>
        <n v="601952"/>
        <n v="601956"/>
        <n v="601958"/>
        <n v="601963"/>
        <n v="601965"/>
        <n v="601966"/>
        <n v="601968"/>
        <n v="601969"/>
        <n v="601975"/>
        <n v="601985"/>
        <n v="601988"/>
        <n v="601989"/>
        <n v="601990"/>
        <n v="601991"/>
        <n v="601992"/>
        <n v="601995"/>
        <n v="601996"/>
        <n v="601997"/>
        <n v="601998"/>
        <n v="601999"/>
        <n v="603000"/>
        <n v="603001"/>
        <n v="603002"/>
        <n v="603003"/>
        <n v="603005"/>
        <n v="603006"/>
        <n v="603007"/>
        <n v="603008"/>
        <n v="603009"/>
        <n v="603010"/>
        <n v="603011"/>
        <n v="603012"/>
        <n v="603013"/>
        <n v="603015"/>
        <n v="603016"/>
        <n v="603017"/>
        <n v="603018"/>
        <n v="603019"/>
        <n v="603020"/>
        <n v="603021"/>
        <n v="603022"/>
        <n v="603023"/>
        <n v="603025"/>
        <n v="603026"/>
        <n v="603027"/>
        <n v="603028"/>
        <n v="603029"/>
        <n v="603030"/>
        <n v="603031"/>
        <n v="603032"/>
        <n v="603033"/>
        <n v="603035"/>
        <n v="603036"/>
        <n v="603037"/>
        <n v="603038"/>
        <n v="603039"/>
        <n v="603040"/>
        <n v="603041"/>
        <n v="603042"/>
        <n v="603043"/>
        <n v="603045"/>
        <n v="603048"/>
        <n v="603050"/>
        <n v="603051"/>
        <n v="603052"/>
        <n v="603053"/>
        <n v="603055"/>
        <n v="603056"/>
        <n v="603057"/>
        <n v="603058"/>
        <n v="603059"/>
        <n v="603060"/>
        <n v="603063"/>
        <n v="603066"/>
        <n v="603067"/>
        <n v="603068"/>
        <n v="603069"/>
        <n v="603070"/>
        <n v="603071"/>
        <n v="603076"/>
        <n v="603077"/>
        <n v="603078"/>
        <n v="603079"/>
        <n v="603080"/>
        <n v="603081"/>
        <n v="603083"/>
        <n v="603085"/>
        <n v="603086"/>
        <n v="603087"/>
        <n v="603088"/>
        <n v="603089"/>
        <n v="603090"/>
        <n v="603093"/>
        <n v="603095"/>
        <n v="603096"/>
        <n v="603097"/>
        <n v="603098"/>
        <n v="603099"/>
        <n v="603100"/>
        <n v="603101"/>
        <n v="603102"/>
        <n v="603103"/>
        <n v="603105"/>
        <n v="603106"/>
        <n v="603108"/>
        <n v="603109"/>
        <n v="603110"/>
        <n v="603111"/>
        <n v="603112"/>
        <n v="603113"/>
        <n v="603115"/>
        <n v="603116"/>
        <n v="603117"/>
        <n v="603118"/>
        <n v="603121"/>
        <n v="603122"/>
        <n v="603123"/>
        <n v="603126"/>
        <n v="603127"/>
        <n v="603128"/>
        <n v="603129"/>
        <n v="603130"/>
        <n v="603131"/>
        <n v="603132"/>
        <n v="603133"/>
        <n v="603136"/>
        <n v="603138"/>
        <n v="603139"/>
        <n v="603150"/>
        <n v="603151"/>
        <n v="603155"/>
        <n v="603156"/>
        <n v="603158"/>
        <n v="603159"/>
        <n v="603160"/>
        <n v="603161"/>
        <n v="603163"/>
        <n v="603165"/>
        <n v="603166"/>
        <n v="603167"/>
        <n v="603168"/>
        <n v="603169"/>
        <n v="603170"/>
        <n v="603171"/>
        <n v="603176"/>
        <n v="603177"/>
        <n v="603178"/>
        <n v="603179"/>
        <n v="603180"/>
        <n v="603181"/>
        <n v="603182"/>
        <n v="603183"/>
        <n v="603185"/>
        <n v="603186"/>
        <n v="603187"/>
        <n v="603188"/>
        <n v="603189"/>
        <n v="603191"/>
        <n v="603192"/>
        <n v="603195"/>
        <n v="603196"/>
        <n v="603197"/>
        <n v="603198"/>
        <n v="603199"/>
        <n v="603200"/>
        <n v="603201"/>
        <n v="603203"/>
        <n v="603206"/>
        <n v="603208"/>
        <n v="603209"/>
        <n v="603211"/>
        <n v="603212"/>
        <n v="603213"/>
        <n v="603214"/>
        <n v="603215"/>
        <n v="603216"/>
        <n v="603217"/>
        <n v="603218"/>
        <n v="603219"/>
        <n v="603220"/>
        <n v="603221"/>
        <n v="603222"/>
        <n v="603223"/>
        <n v="603225"/>
        <n v="603226"/>
        <n v="603227"/>
        <n v="603228"/>
        <n v="603229"/>
        <n v="603230"/>
        <n v="603232"/>
        <n v="603233"/>
        <n v="603235"/>
        <n v="603236"/>
        <n v="603237"/>
        <n v="603238"/>
        <n v="603239"/>
        <n v="603255"/>
        <n v="603256"/>
        <n v="603258"/>
        <n v="603259"/>
        <n v="603260"/>
        <n v="603261"/>
        <n v="603266"/>
        <n v="603267"/>
        <n v="603268"/>
        <n v="603269"/>
        <n v="603272"/>
        <n v="603277"/>
        <n v="603278"/>
        <n v="603279"/>
        <n v="603280"/>
        <n v="603283"/>
        <n v="603286"/>
        <n v="603288"/>
        <n v="603289"/>
        <n v="603290"/>
        <n v="603297"/>
        <n v="603298"/>
        <n v="603299"/>
        <n v="603300"/>
        <n v="603301"/>
        <n v="603303"/>
        <n v="603305"/>
        <n v="603306"/>
        <n v="603308"/>
        <n v="603309"/>
        <n v="603311"/>
        <n v="603313"/>
        <n v="603315"/>
        <n v="603316"/>
        <n v="603317"/>
        <n v="603318"/>
        <n v="603319"/>
        <n v="603320"/>
        <n v="603321"/>
        <n v="603322"/>
        <n v="603323"/>
        <n v="603324"/>
        <n v="603326"/>
        <n v="603327"/>
        <n v="603328"/>
        <n v="603329"/>
        <n v="603330"/>
        <n v="603331"/>
        <n v="603332"/>
        <n v="603333"/>
        <n v="603335"/>
        <n v="603336"/>
        <n v="603337"/>
        <n v="603338"/>
        <n v="603339"/>
        <n v="603345"/>
        <n v="603348"/>
        <n v="603351"/>
        <n v="603353"/>
        <n v="603355"/>
        <n v="603356"/>
        <n v="603357"/>
        <n v="603358"/>
        <n v="603359"/>
        <n v="603360"/>
        <n v="603363"/>
        <n v="603365"/>
        <n v="603366"/>
        <n v="603367"/>
        <n v="603368"/>
        <n v="603369"/>
        <n v="603377"/>
        <n v="603378"/>
        <n v="603379"/>
        <n v="603380"/>
        <n v="603383"/>
        <n v="603385"/>
        <n v="603386"/>
        <n v="603387"/>
        <n v="603388"/>
        <n v="603389"/>
        <n v="603390"/>
        <n v="603392"/>
        <n v="603393"/>
        <n v="603396"/>
        <n v="603398"/>
        <n v="603399"/>
        <n v="603408"/>
        <n v="603416"/>
        <n v="603421"/>
        <n v="603429"/>
        <n v="603439"/>
        <n v="603444"/>
        <n v="603456"/>
        <n v="603458"/>
        <n v="603466"/>
        <n v="603477"/>
        <n v="603486"/>
        <n v="603488"/>
        <n v="603489"/>
        <n v="603496"/>
        <n v="603499"/>
        <n v="603500"/>
        <n v="603501"/>
        <n v="603505"/>
        <n v="603506"/>
        <n v="603507"/>
        <n v="603508"/>
        <n v="603511"/>
        <n v="603515"/>
        <n v="603516"/>
        <n v="603517"/>
        <n v="603518"/>
        <n v="603519"/>
        <n v="603520"/>
        <n v="603527"/>
        <n v="603528"/>
        <n v="603529"/>
        <n v="603530"/>
        <n v="603533"/>
        <n v="603535"/>
        <n v="603536"/>
        <n v="603538"/>
        <n v="603551"/>
        <n v="603555"/>
        <n v="603556"/>
        <n v="603557"/>
        <n v="603558"/>
        <n v="603559"/>
        <n v="603565"/>
        <n v="603566"/>
        <n v="603567"/>
        <n v="603568"/>
        <n v="603569"/>
        <n v="603577"/>
        <n v="603578"/>
        <n v="603579"/>
        <n v="603580"/>
        <n v="603583"/>
        <n v="603585"/>
        <n v="603586"/>
        <n v="603587"/>
        <n v="603588"/>
        <n v="603589"/>
        <n v="603590"/>
        <n v="603595"/>
        <n v="603596"/>
        <n v="603598"/>
        <n v="603599"/>
        <n v="603600"/>
        <n v="603601"/>
        <n v="603602"/>
        <n v="603603"/>
        <n v="603605"/>
        <n v="603606"/>
        <n v="603607"/>
        <n v="603608"/>
        <n v="603609"/>
        <n v="603610"/>
        <n v="603611"/>
        <n v="603612"/>
        <n v="603613"/>
        <n v="603615"/>
        <n v="603616"/>
        <n v="603617"/>
        <n v="603618"/>
        <n v="603619"/>
        <n v="603626"/>
        <n v="603628"/>
        <n v="603629"/>
        <n v="603630"/>
        <n v="603633"/>
        <n v="603636"/>
        <n v="603637"/>
        <n v="603638"/>
        <n v="603639"/>
        <n v="603648"/>
        <n v="603650"/>
        <n v="603655"/>
        <n v="603656"/>
        <n v="603657"/>
        <n v="603658"/>
        <n v="603659"/>
        <n v="603660"/>
        <n v="603661"/>
        <n v="603662"/>
        <n v="603663"/>
        <n v="603665"/>
        <n v="603666"/>
        <n v="603667"/>
        <n v="603668"/>
        <n v="603669"/>
        <n v="603676"/>
        <n v="603677"/>
        <n v="603678"/>
        <n v="603679"/>
        <n v="603680"/>
        <n v="603681"/>
        <n v="603682"/>
        <n v="603683"/>
        <n v="603685"/>
        <n v="603686"/>
        <n v="603687"/>
        <n v="603688"/>
        <n v="603689"/>
        <n v="603690"/>
        <n v="603693"/>
        <n v="603696"/>
        <n v="603697"/>
        <n v="603698"/>
        <n v="603699"/>
        <n v="603700"/>
        <n v="603701"/>
        <n v="603703"/>
        <n v="603706"/>
        <n v="603707"/>
        <n v="603708"/>
        <n v="603709"/>
        <n v="603711"/>
        <n v="603712"/>
        <n v="603713"/>
        <n v="603716"/>
        <n v="603717"/>
        <n v="603718"/>
        <n v="603719"/>
        <n v="603721"/>
        <n v="603722"/>
        <n v="603725"/>
        <n v="603726"/>
        <n v="603727"/>
        <n v="603728"/>
        <n v="603729"/>
        <n v="603730"/>
        <n v="603733"/>
        <n v="603737"/>
        <n v="603738"/>
        <n v="603739"/>
        <n v="603755"/>
        <n v="603757"/>
        <n v="603758"/>
        <n v="603759"/>
        <n v="603766"/>
        <n v="603767"/>
        <n v="603768"/>
        <n v="603773"/>
        <n v="603776"/>
        <n v="603777"/>
        <n v="603778"/>
        <n v="603779"/>
        <n v="603786"/>
        <n v="603787"/>
        <n v="603788"/>
        <n v="603789"/>
        <n v="603790"/>
        <n v="603797"/>
        <n v="603798"/>
        <n v="603799"/>
        <n v="603800"/>
        <n v="603801"/>
        <n v="603803"/>
        <n v="603806"/>
        <n v="603808"/>
        <n v="603809"/>
        <n v="603810"/>
        <n v="603811"/>
        <n v="603813"/>
        <n v="603815"/>
        <n v="603816"/>
        <n v="603817"/>
        <n v="603818"/>
        <n v="603819"/>
        <n v="603822"/>
        <n v="603823"/>
        <n v="603825"/>
        <n v="603826"/>
        <n v="603828"/>
        <n v="603829"/>
        <n v="603833"/>
        <n v="603836"/>
        <n v="603838"/>
        <n v="603839"/>
        <n v="603843"/>
        <n v="603848"/>
        <n v="603855"/>
        <n v="603856"/>
        <n v="603858"/>
        <n v="603859"/>
        <n v="603860"/>
        <n v="603861"/>
        <n v="603863"/>
        <n v="603866"/>
        <n v="603867"/>
        <n v="603868"/>
        <n v="603869"/>
        <n v="603871"/>
        <n v="603876"/>
        <n v="603877"/>
        <n v="603878"/>
        <n v="603879"/>
        <n v="603880"/>
        <n v="603881"/>
        <n v="603882"/>
        <n v="603883"/>
        <n v="603885"/>
        <n v="603886"/>
        <n v="603887"/>
        <n v="603888"/>
        <n v="603889"/>
        <n v="603890"/>
        <n v="603893"/>
        <n v="603895"/>
        <n v="603896"/>
        <n v="603897"/>
        <n v="603898"/>
        <n v="603899"/>
        <n v="603900"/>
        <n v="603901"/>
        <n v="603903"/>
        <n v="603906"/>
        <n v="603908"/>
        <n v="603909"/>
        <n v="603912"/>
        <n v="603915"/>
        <n v="603916"/>
        <n v="603917"/>
        <n v="603918"/>
        <n v="603919"/>
        <n v="603920"/>
        <n v="603922"/>
        <n v="603926"/>
        <n v="603927"/>
        <n v="603928"/>
        <n v="603929"/>
        <n v="603931"/>
        <n v="603933"/>
        <n v="603936"/>
        <n v="603937"/>
        <n v="603938"/>
        <n v="603939"/>
        <n v="603948"/>
        <n v="603949"/>
        <n v="603950"/>
        <n v="603955"/>
        <n v="603956"/>
        <n v="603958"/>
        <n v="603959"/>
        <n v="603960"/>
        <n v="603963"/>
        <n v="603966"/>
        <n v="603967"/>
        <n v="603968"/>
        <n v="603969"/>
        <n v="603970"/>
        <n v="603976"/>
        <n v="603977"/>
        <n v="603978"/>
        <n v="603979"/>
        <n v="603980"/>
        <n v="603982"/>
        <n v="603983"/>
        <n v="603985"/>
        <n v="603986"/>
        <n v="603987"/>
        <n v="603988"/>
        <n v="603989"/>
        <n v="603990"/>
        <n v="603991"/>
        <n v="603992"/>
        <n v="603993"/>
        <n v="603995"/>
        <n v="603997"/>
        <n v="603998"/>
        <n v="603999"/>
        <n v="605001"/>
        <n v="605003"/>
        <n v="605005"/>
        <n v="605006"/>
        <n v="605007"/>
        <n v="605008"/>
        <n v="605009"/>
        <n v="605011"/>
        <n v="605016"/>
        <n v="605018"/>
        <n v="605020"/>
        <n v="605028"/>
        <n v="605033"/>
        <n v="605050"/>
        <n v="605055"/>
        <n v="605056"/>
        <n v="605058"/>
        <n v="605060"/>
        <n v="605066"/>
        <n v="605068"/>
        <n v="605069"/>
        <n v="605077"/>
        <n v="605080"/>
        <n v="605081"/>
        <n v="605086"/>
        <n v="605088"/>
        <n v="605089"/>
        <n v="605090"/>
        <n v="605098"/>
        <n v="605099"/>
        <n v="605100"/>
        <n v="605108"/>
        <n v="605111"/>
        <n v="605116"/>
        <n v="605117"/>
        <n v="605118"/>
        <n v="605122"/>
        <n v="605123"/>
        <n v="605128"/>
        <n v="605133"/>
        <n v="605136"/>
        <n v="605138"/>
        <n v="605151"/>
        <n v="605155"/>
        <n v="605158"/>
        <n v="605162"/>
        <n v="605166"/>
        <n v="605167"/>
        <n v="605168"/>
        <n v="605169"/>
        <n v="605177"/>
        <n v="605178"/>
        <n v="605179"/>
        <n v="605180"/>
        <n v="605183"/>
        <n v="605186"/>
        <n v="605188"/>
        <n v="605189"/>
        <n v="605196"/>
        <n v="605198"/>
        <n v="605199"/>
        <n v="605208"/>
        <n v="605218"/>
        <n v="605222"/>
        <n v="605228"/>
        <n v="605255"/>
        <n v="605258"/>
        <n v="605259"/>
        <n v="605266"/>
        <n v="605268"/>
        <n v="605277"/>
        <n v="605286"/>
        <n v="605287"/>
        <n v="605288"/>
        <n v="605289"/>
        <n v="605296"/>
        <n v="605298"/>
        <n v="605299"/>
        <n v="605300"/>
        <n v="605303"/>
        <n v="605305"/>
        <n v="605318"/>
        <n v="605319"/>
        <n v="605333"/>
        <n v="605336"/>
        <n v="605337"/>
        <n v="605338"/>
        <n v="605339"/>
        <n v="605358"/>
        <n v="605365"/>
        <n v="605366"/>
        <n v="605368"/>
        <n v="605369"/>
        <n v="605376"/>
        <n v="605377"/>
        <n v="605378"/>
        <n v="605388"/>
        <n v="605389"/>
        <n v="605398"/>
        <n v="605399"/>
        <n v="605488"/>
        <n v="605499"/>
        <n v="605500"/>
        <n v="605507"/>
        <n v="605555"/>
        <n v="605566"/>
        <n v="605567"/>
        <n v="605577"/>
        <n v="605580"/>
        <n v="605588"/>
        <n v="605589"/>
        <n v="605598"/>
        <n v="605599"/>
        <m/>
      </sharedItems>
    </cacheField>
    <cacheField name="name" numFmtId="0">
      <sharedItems containsBlank="1" count="2179">
        <s v="平安银行"/>
        <s v="万科A"/>
        <s v="ST国华"/>
        <s v="ST星源"/>
        <s v="深振业A"/>
        <s v="全新好"/>
        <s v="神州高铁"/>
        <s v="中国宝安"/>
        <s v="美丽生态"/>
        <s v="深物业A"/>
        <s v="南玻A"/>
        <s v="沙河股份"/>
        <s v="深康佳A"/>
        <s v="深中华A"/>
        <s v="深粮控股"/>
        <s v="深华发A"/>
        <s v="深科技"/>
        <s v="深天地A"/>
        <s v="特力A"/>
        <s v="飞亚达"/>
        <s v="深圳能源"/>
        <s v="国药一致"/>
        <s v="深深房A"/>
        <s v="富奥股份"/>
        <s v="大悦城"/>
        <s v="深桑达A"/>
        <s v="神州数码"/>
        <s v="中国天楹"/>
        <s v="华联控股"/>
        <s v="深南电A"/>
        <s v="*ST大通"/>
        <s v="中集集团"/>
        <s v="东旭蓝天"/>
        <s v="中洲控股"/>
        <s v="深纺织A"/>
        <s v="泛海控股"/>
        <s v="京基智农"/>
        <s v="德赛电池"/>
        <s v="深天马A"/>
        <s v="方大集团"/>
        <s v="皇庭国际"/>
        <s v="深赛格"/>
        <s v="华锦股份"/>
        <s v="中金岭南"/>
        <s v="农产品"/>
        <s v="深圳华强"/>
        <s v="中兴通讯"/>
        <s v="北方国际"/>
        <s v="中国长城"/>
        <s v="华控赛格"/>
        <s v="华侨城A"/>
        <s v="特发信息"/>
        <s v="海王生物"/>
        <s v="盐田港"/>
        <s v="深圳机场"/>
        <s v="天健集团"/>
        <s v="广聚能源"/>
        <s v="中信海直"/>
        <s v="TCL科技"/>
        <s v="*ST宜康"/>
        <s v="中成股份"/>
        <s v="丰原药业"/>
        <s v="川能动力"/>
        <s v="华数传媒"/>
        <s v="中联重科"/>
        <s v="常山北明"/>
        <s v="国际实业"/>
        <s v="申万宏源"/>
        <s v="东方盛虹"/>
        <s v="美的集团"/>
        <s v="潍柴动力"/>
        <s v="许继电气"/>
        <s v="冀东水泥"/>
        <s v="金融街"/>
        <s v="派林生物"/>
        <s v="长虹华意"/>
        <s v="胜利股份"/>
        <s v="藏格矿业"/>
        <s v="云鼎科技"/>
        <s v="*ST沈机"/>
        <s v="英特集团"/>
        <s v="东旭光电"/>
        <s v="渤海租赁"/>
        <s v="民生控股"/>
        <s v="合肥百货"/>
        <s v="通程控股"/>
        <s v="吉林化纤"/>
        <s v="南京公用"/>
        <s v="湖北宜化"/>
        <s v="东阿阿胶"/>
        <s v="徐工机械"/>
        <s v="兴业矿业"/>
        <s v="华天酒店"/>
        <s v="粤高速A"/>
        <s v="张家界"/>
        <s v="晨鸣纸业"/>
        <s v="山东路桥"/>
        <s v="武商集团"/>
        <s v="国新健康"/>
        <s v="南华生物"/>
        <s v="京粮控股"/>
        <s v="中润资源"/>
        <s v="珠海港"/>
        <s v="华塑控股"/>
        <s v="新金路"/>
        <s v="丽珠集团"/>
        <s v="渝开发"/>
        <s v="国际医学"/>
        <s v="荣安地产"/>
        <s v="四环生物"/>
        <s v="中兵红箭"/>
        <s v="长航凤凰"/>
        <s v="长虹美菱"/>
        <s v="广州浪奇"/>
        <s v="岭南控股"/>
        <s v="ST红太阳"/>
        <s v="学大教育"/>
        <s v="柳工"/>
        <s v="广弘控股"/>
        <s v="冰山冷热"/>
        <s v="穗恒运A"/>
        <s v="华金资本"/>
        <s v="顺钠股份"/>
        <s v="万泽股份"/>
        <s v="华映科技"/>
        <s v="广宇发展"/>
        <s v="云南白药"/>
        <s v="粤电力A"/>
        <s v="中天金融"/>
        <s v="佛山照明"/>
        <s v="皖能电力"/>
        <s v="中原环保"/>
        <s v="金浦钛业"/>
        <s v="金圆股份"/>
        <s v="航天发展"/>
        <s v="湖南投资"/>
        <s v="江铃汽车"/>
        <s v="创元科技"/>
        <s v="靖远煤电"/>
        <s v="安道麦A"/>
        <s v="泰山石油"/>
        <s v="神州信息"/>
        <s v="西部创业"/>
        <s v="莱茵体育"/>
        <s v="万向钱潮"/>
        <s v="我爱我家"/>
        <s v="烽火电子"/>
        <s v="陕国投A"/>
        <s v="ST大集"/>
        <s v="渝三峡A"/>
        <s v="海南海药"/>
        <s v="海德股份"/>
        <s v="泸州老窖"/>
        <s v="苏常柴A"/>
        <s v="ST大洲"/>
        <s v="海马汽车"/>
        <s v="粤宏远A"/>
        <s v="甘化科工"/>
        <s v="威孚高科"/>
        <s v="北部湾港"/>
        <s v="哈工智能"/>
        <s v="汇源通信"/>
        <s v="*ST金洲"/>
        <s v="贵州轮胎"/>
        <s v="启迪药业"/>
        <s v="太阳能"/>
        <s v="平潭发展"/>
        <s v="德龙汇能"/>
        <s v="宝塔实业"/>
        <s v="古井贡酒"/>
        <s v="东北制药"/>
        <s v="兴蓉环境"/>
        <s v="青岛双星"/>
        <s v="建投能源"/>
        <s v="韶能股份"/>
        <s v="盛达资源"/>
        <s v="渤海股份"/>
        <s v="*ST顺利"/>
        <s v="华媒控股"/>
        <s v="阳光股份"/>
        <s v="中迪投资"/>
        <s v="西安旅游"/>
        <s v="焦作万方"/>
        <s v="奥园美谷"/>
        <s v="ST海投"/>
        <s v="中油资本"/>
        <s v="海螺新材"/>
        <s v="新华联"/>
        <s v="恒立实业"/>
        <s v="吉林敖东"/>
        <s v="长安汽车"/>
        <s v="远大控股"/>
        <s v="天茂集团"/>
        <s v="高新发展"/>
        <s v="钒钛股份"/>
        <s v="铜陵有色"/>
        <s v="顺发恒业"/>
        <s v="三木集团"/>
        <s v="合金投资"/>
        <s v="英力特"/>
        <s v="风华高科"/>
        <s v="茂化实华"/>
        <s v="万方发展"/>
        <s v="西王食品"/>
        <s v="仁和药业"/>
        <s v="格力电器"/>
        <s v="泰达股份"/>
        <s v="金岭矿业"/>
        <s v="金科股份"/>
        <s v="中钨高新"/>
        <s v="珠海中富"/>
        <s v="长春高新"/>
        <s v="永安林业"/>
        <s v="湖北广电"/>
        <s v="经纬纺机"/>
        <s v="美好置业"/>
        <s v="荣丰控股"/>
        <s v="ST金鸿"/>
        <s v="盈方微"/>
        <s v="阳光城"/>
        <s v="上峰水泥"/>
        <s v="智度股份"/>
        <s v="恒天海龙"/>
        <s v="襄阳轴承"/>
        <s v="大连友谊"/>
        <s v="山推股份"/>
        <s v="视觉中国"/>
        <s v="东方电子"/>
        <s v="远兴能源"/>
        <s v="中山公用"/>
        <s v="东北证券"/>
        <s v="国城矿业"/>
        <s v="宝新能源"/>
        <s v="亚太实业"/>
        <s v="惠天热电"/>
        <s v="滨海能源"/>
        <s v="炼石航空"/>
        <s v="沈阳化工"/>
        <s v="模塑科技"/>
        <s v="厦门信达"/>
        <s v="正虹科技"/>
        <s v="恒逸石化"/>
        <s v="浙江震元"/>
        <s v="双环科技"/>
        <s v="中信特钢"/>
        <s v="河钢股份"/>
        <s v="贝瑞基因"/>
        <s v="京蓝科技"/>
        <s v="锦龙股份"/>
        <s v="丰乐种业"/>
        <s v="中兴商业"/>
        <s v="黑芝麻"/>
        <s v="中南股份"/>
        <s v="苏宁环球"/>
        <s v="中原传媒"/>
        <s v="新能泰山"/>
        <s v="西安饮食"/>
        <s v="湖南发展"/>
        <s v="美锦能源"/>
        <s v="京东方A"/>
        <s v="鲁泰A"/>
        <s v="冠捷科技"/>
        <s v="国元证券"/>
        <s v="燕京啤酒"/>
        <s v="四川美丰"/>
        <s v="ST泰禾"/>
        <s v="振华科技"/>
        <s v="罗牛山"/>
        <s v="中交地产"/>
        <s v="北方铜业"/>
        <s v="航发控制"/>
        <s v="普洛药业"/>
        <s v="国海证券"/>
        <s v="锌业股份"/>
        <s v="*ST西发"/>
        <s v="漳州发展"/>
        <s v="山西路桥"/>
        <s v="新华制药"/>
        <s v="浩物股份"/>
        <s v="中色股份"/>
        <s v="中百集团"/>
        <s v="本钢板材"/>
        <s v="西藏矿业"/>
        <s v="通化金马"/>
        <s v="晋控电力"/>
        <s v="中航西飞"/>
        <s v="广发证券"/>
        <s v="中核科技"/>
        <s v="新兴铸管"/>
        <s v="甘咨询"/>
        <s v="美达股份"/>
        <s v="长江证券"/>
        <s v="居然之家"/>
        <s v="北新建材"/>
        <s v="北大医药"/>
        <s v="万年青"/>
        <s v="华神科技"/>
        <s v="甘肃电投"/>
        <s v="盐湖股份"/>
        <s v="华闻集团"/>
        <s v="英洛华"/>
        <s v="ST凯撒"/>
        <s v="中国武夷"/>
        <s v="中水渔业"/>
        <s v="酒鬼酒"/>
        <s v="一汽解放"/>
        <s v="四川九洲"/>
        <s v="北京文化"/>
        <s v="山高环能"/>
        <s v="*ST银河"/>
        <s v="云铝股份"/>
        <s v="ST新城"/>
        <s v="创维数字"/>
        <s v="冰轮环境"/>
        <s v="陕西金叶"/>
        <s v="德展健康"/>
        <s v="美利云"/>
        <s v="智慧农业"/>
        <s v="航锦科技"/>
        <s v="岳阳兴长"/>
        <s v="神雾节能"/>
        <s v="京山轻机"/>
        <s v="山东海化"/>
        <s v="超声电子"/>
        <s v="太钢不锈"/>
        <s v="启迪环境"/>
        <s v="东莞控股"/>
        <s v="天音控股"/>
        <s v="鲁西化工"/>
        <s v="中国稀土"/>
        <s v="粤桂股份"/>
        <s v="富通信息"/>
        <s v="秦川机床"/>
        <s v="财信发展"/>
        <s v="ST国安"/>
        <s v="承德露露"/>
        <s v="华茂股份"/>
        <s v="高鸿股份"/>
        <s v="石化机械"/>
        <s v="冀东装备"/>
        <s v="五粮液"/>
        <s v="国风新材"/>
        <s v="顺鑫农业"/>
        <s v="海印股份"/>
        <s v="银星能源"/>
        <s v="三湘印象"/>
        <s v="安凯客车"/>
        <s v="张裕A"/>
        <s v="吉电股份"/>
        <s v="新希望"/>
        <s v="天山股份"/>
        <s v="云南铜业"/>
        <s v="潍柴重机"/>
        <s v="中广核技"/>
        <s v="华联股份"/>
        <s v="湖北能源"/>
        <s v="城发环境"/>
        <s v="海南高速"/>
        <s v="中鼎股份"/>
        <s v="峨眉山A"/>
        <s v="ST中嘉"/>
        <s v="法尔胜"/>
        <s v="欢瑞世纪"/>
        <s v="亚钾国际"/>
        <s v="双汇发展"/>
        <s v="津滨发展"/>
        <s v="鞍钢股份"/>
        <s v="赣能股份"/>
        <s v="现代投资"/>
        <s v="航天科技"/>
        <s v="新洋丰"/>
        <s v="云内动力"/>
        <s v="厦门港务"/>
        <s v="浙商中拓"/>
        <s v="景峰医药"/>
        <s v="数源科技"/>
        <s v="大亚圣象"/>
        <s v="南宁糖业"/>
        <s v="泸天化"/>
        <s v="钱江摩托"/>
        <s v="华特达因"/>
        <s v="电广传媒"/>
        <s v="嘉凯城"/>
        <s v="金陵药业"/>
        <s v="沃顿科技"/>
        <s v="海信家电"/>
        <s v="佳电股份"/>
        <s v="河钢资源"/>
        <s v="众合科技"/>
        <s v="福星股份"/>
        <s v="中国铁物"/>
        <s v="中钢国际"/>
        <s v="兰州黄河"/>
        <s v="中粮科技"/>
        <s v="中关村"/>
        <s v="华菱钢铁"/>
        <s v="神火股份"/>
        <s v="四川双马"/>
        <s v="华西股份"/>
        <s v="冀中能源"/>
        <s v="紫光股份"/>
        <s v="南天信息"/>
        <s v="新乡化纤"/>
        <s v="重药控股"/>
        <s v="中国重汽"/>
        <s v="广济药业"/>
        <s v="河化股份"/>
        <s v="欣龙控股"/>
        <s v="中通客车"/>
        <s v="电投产融"/>
        <s v="首钢股份"/>
        <s v="锡业股份"/>
        <s v="中南建设"/>
        <s v="东方钽业"/>
        <s v="华东医药"/>
        <s v="天保基建"/>
        <s v="长源电力"/>
        <s v="盈峰环境"/>
        <s v="蓝焰控股"/>
        <s v="安泰科技"/>
        <s v="中科三环"/>
        <s v="ST高升"/>
        <s v="ST中基"/>
        <s v="佛塑科技"/>
        <s v="银泰黄金"/>
        <s v="华铁股份"/>
        <s v="浪潮信息"/>
        <s v="桂林旅游"/>
        <s v="众泰汽车"/>
        <s v="山子股份"/>
        <s v="中银绒业"/>
        <s v="山西焦煤"/>
        <s v="大庆华科"/>
        <s v="越秀资本"/>
        <s v="华工科技"/>
        <s v="九芝堂"/>
        <s v="诚志股份"/>
        <s v="闽东电力"/>
        <s v="*ST皇台"/>
        <s v="中国中期"/>
        <s v="新大陆"/>
        <s v="隆平高科"/>
        <s v="华润三九"/>
        <s v="东瑞股份"/>
        <s v="炬申股份"/>
        <s v="大中矿业"/>
        <s v="盛航股份"/>
        <s v="依依股份"/>
        <s v="联科科技"/>
        <s v="华菱线缆"/>
        <s v="洪兴股份"/>
        <s v="金房节能"/>
        <s v="双枪科技"/>
        <s v="中旗新材"/>
        <s v="中铁特货"/>
        <s v="千味央厨"/>
        <s v="华瓷股份"/>
        <s v="华尔泰"/>
        <s v="丽臣实业"/>
        <s v="青岛食品"/>
        <s v="源飞宠物"/>
        <s v="欧克科技"/>
        <s v="拓山重工"/>
        <s v="兰州银行"/>
        <s v="永泰运"/>
        <s v="魅视科技"/>
        <s v="劲旅环境"/>
        <s v="农心科技"/>
        <s v="泰慕士"/>
        <s v="弘业期货"/>
        <s v="浙江正特"/>
        <s v="博菲电气"/>
        <s v="炜冈科技"/>
        <s v="立新能源"/>
        <s v="利仁科技"/>
        <s v="宏英智能"/>
        <s v="汇绿生态"/>
        <s v="联合精密"/>
        <s v="欧晶科技"/>
        <s v="铖昌科技"/>
        <s v="豪鹏科技"/>
        <s v="运机集团"/>
        <s v="龙源电力"/>
        <s v="长江材料"/>
        <s v="好上好"/>
        <s v="美能能源"/>
        <s v="三柏硕"/>
        <s v="尚太科技"/>
        <s v="康冠科技"/>
        <s v="德明利"/>
        <s v="粤海饲料"/>
        <s v="润贝航科"/>
        <s v="三羊马"/>
        <s v="阳光乳业"/>
        <s v="铭科精技"/>
        <s v="箭牌家居"/>
        <s v="慕思股份"/>
        <s v="博纳影业"/>
        <s v="胜通能源"/>
        <s v="锡装股份"/>
        <s v="光华股份"/>
        <s v="楚环科技"/>
        <s v="永顺泰"/>
        <s v="智微智能"/>
        <s v="宗申动力"/>
        <s v="招商港口"/>
        <s v="豫能控股"/>
        <s v="招商积余"/>
        <s v="招商公路"/>
        <s v="招商蛇口"/>
        <s v="浦发银行"/>
        <s v="白云机场"/>
        <s v="东风汽车"/>
        <s v="中国国贸"/>
        <s v="首创环保"/>
        <s v="上海机场"/>
        <s v="包钢股份"/>
        <s v="华能国际"/>
        <s v="皖通高速"/>
        <s v="华夏银行"/>
        <s v="民生银行"/>
        <s v="日照港"/>
        <s v="上港集团"/>
        <s v="宝钢股份"/>
        <s v="中原高速"/>
        <s v="上海电力"/>
        <s v="山东钢铁"/>
        <s v="浙能电力"/>
        <s v="华能水电"/>
        <s v="中远海能"/>
        <s v="华电国际"/>
        <s v="中国石化"/>
        <s v="南方航空"/>
        <s v="中信证券"/>
        <s v="三一重工"/>
        <s v="浙江新能"/>
        <s v="福建高速"/>
        <s v="楚天高速"/>
        <s v="招商银行"/>
        <s v="歌华有线"/>
        <s v="中直股份"/>
        <s v="四川路桥"/>
        <s v="保利发展"/>
        <s v="中国联通"/>
        <s v="宁波联合"/>
        <s v="东望时代"/>
        <s v="九鼎投资"/>
        <s v="黄山旅游"/>
        <s v="万东医疗"/>
        <s v="中国医药"/>
        <s v="厦门象屿"/>
        <s v="五矿发展"/>
        <s v="古越龙山"/>
        <s v="海信视像"/>
        <s v="国投资本"/>
        <s v="华润双鹤"/>
        <s v="皖维高新"/>
        <s v="南京高科"/>
        <s v="宇通客车"/>
        <s v="冠城大通"/>
        <s v="浙江富润"/>
        <s v="凤凰光学"/>
        <s v="中船科技"/>
        <s v="上海梅林"/>
        <s v="新疆天业"/>
        <s v="康欣新材"/>
        <s v="宋都股份"/>
        <s v="ST澄星"/>
        <s v="人福医药"/>
        <s v="金花股份"/>
        <s v="东风科技"/>
        <s v="海泰发展"/>
        <s v="博信股份"/>
        <s v="中葡股份"/>
        <s v="同仁堂"/>
        <s v="中视传媒"/>
        <s v="特变电工"/>
        <s v="大名城"/>
        <s v="湘财股份"/>
        <s v="云天化"/>
        <s v="开创国际"/>
        <s v="广州发展"/>
        <s v="林海股份"/>
        <s v="同方股份"/>
        <s v="明星电力"/>
        <s v="青山纸业"/>
        <s v="上汽集团"/>
        <s v="永鼎股份"/>
        <s v="重庆路桥"/>
        <s v="美尔雅"/>
        <s v="亚盛集团"/>
        <s v="国金证券"/>
        <s v="诺德股份"/>
        <s v="北方稀土"/>
        <s v="ST天成"/>
        <s v="浙江东日"/>
        <s v="东睦股份"/>
        <s v="中国东航"/>
        <s v="三峡水利"/>
        <s v="西宁特钢"/>
        <s v="中国卫星"/>
        <s v="长江投资"/>
        <s v="浙江东方"/>
        <s v="郑州煤电"/>
        <s v="ST宏图"/>
        <s v="兰花科创"/>
        <s v="铁龙物流"/>
        <s v="杭钢股份"/>
        <s v="金健米业"/>
        <s v="弘业股份"/>
        <s v="太极集团"/>
        <s v="波导股份"/>
        <s v="国网信通"/>
        <s v="重庆啤酒"/>
        <s v="东湖高新"/>
        <s v="乐凯胶片"/>
        <s v="ST明诚"/>
        <s v="浪莎股份"/>
        <s v="中青旅"/>
        <s v="*ST西源"/>
        <s v="兴发集团"/>
        <s v="金发科技"/>
        <s v="长春一东"/>
        <s v="廊坊发展"/>
        <s v="中国船舶"/>
        <s v="航天机电"/>
        <s v="维科技术"/>
        <s v="建发股份"/>
        <s v="华创阳安"/>
        <s v="华升股份"/>
        <s v="永泰能源"/>
        <s v="中体产业"/>
        <s v="大龙地产"/>
        <s v="巨化股份"/>
        <s v="天坛生物"/>
        <s v="香江控股"/>
        <s v="中闽能源"/>
        <s v="新日恒力"/>
        <s v="福田汽车"/>
        <s v="联美控股"/>
        <s v="武汉控股"/>
        <s v="太原重工"/>
        <s v="上海建工"/>
        <s v="上海贝岭"/>
        <s v="黄河旋风"/>
        <s v="卧龙地产"/>
        <s v="中国巨石"/>
        <s v="雅戈尔"/>
        <s v="东安动力"/>
        <s v="安通控股"/>
        <s v="瑞茂通"/>
        <s v="S*ST佳通"/>
        <s v="生益科技"/>
        <s v="光电股份"/>
        <s v="格力地产"/>
        <s v="莲花健康"/>
        <s v="国中水务"/>
        <s v="兖矿能源"/>
        <s v="泉阳泉"/>
        <s v="锦州港"/>
        <s v="华资实业"/>
        <s v="长城电工"/>
        <s v="创兴资源"/>
        <s v="中牧股份"/>
        <s v="复星医药"/>
        <s v="伊力特"/>
        <s v="大唐电信"/>
        <s v="金种子酒"/>
        <s v="江苏吴中"/>
        <s v="生物股份"/>
        <s v="哈空调"/>
        <s v="福日电子"/>
        <s v="有研新材"/>
        <s v="安彩高科"/>
        <s v="新湖中宝"/>
        <s v="紫江企业"/>
        <s v="西藏药业"/>
        <s v="绿能慧充"/>
        <s v="亚星客车"/>
        <s v="派斯林"/>
        <s v="浙江医药"/>
        <s v="中再资环"/>
        <s v="全柴动力"/>
        <s v="南山铝业"/>
        <s v="江苏阳光"/>
        <s v="海航控股"/>
        <s v="太龙药业"/>
        <s v="鲁商发展"/>
        <s v="卓朗科技"/>
        <s v="ST瀚叶"/>
        <s v="圣济堂"/>
        <s v="返利科技"/>
        <s v="城市传媒"/>
        <s v="沧州大化"/>
        <s v="凌钢股份"/>
        <s v="金鹰股份"/>
        <s v="圆通速递"/>
        <s v="科新发展"/>
        <s v="民丰特纸"/>
        <s v="桂冠电力"/>
        <s v="铜峰电子"/>
        <s v="海南椰岛"/>
        <s v="ST云城"/>
        <s v="ST时万"/>
        <s v="*ST中昌"/>
        <s v="青海华鼎"/>
        <s v="万通发展"/>
        <s v="陕西建工"/>
        <s v="两面针"/>
        <s v="南纺股份"/>
        <s v="冠农股份"/>
        <s v="中恒集团"/>
        <s v="鑫科材料"/>
        <s v="广汇能源"/>
        <s v="大湖股份"/>
        <s v="首旅酒店"/>
        <s v="广晟有色"/>
        <s v="*ST凯乐"/>
        <s v="阳光照明"/>
        <s v="北方股份"/>
        <s v="ST景谷"/>
        <s v="城建发展"/>
        <s v="海正药业"/>
        <s v="国电南自"/>
        <s v="赣粤高速"/>
        <s v="航天信息"/>
        <s v="开开实业"/>
        <s v="嘉化能源"/>
        <s v="恒瑞医药"/>
        <s v="亿利洁能"/>
        <s v="东方创业"/>
        <s v="重庆港"/>
        <s v="中央商场"/>
        <s v="华阳新材"/>
        <s v="南钢股份"/>
        <s v="钱江水利"/>
        <s v="浦东建设"/>
        <s v="羚锐制药"/>
        <s v="江苏舜天"/>
        <s v="大恒科技"/>
        <s v="ST信通"/>
        <s v="ST华仪"/>
        <s v="远达环保"/>
        <s v="三峡新材"/>
        <s v="鄂尔多斯"/>
        <s v="广汇汽车"/>
        <s v="安琪酵母"/>
        <s v="安迪苏"/>
        <s v="维维股份"/>
        <s v="南化股份"/>
        <s v="标准股份"/>
        <s v="ST曙光"/>
        <s v="恒顺醋业"/>
        <s v="ST商城"/>
        <s v="酒钢宏兴"/>
        <s v="华泰股份"/>
        <s v="万华化学"/>
        <s v="桂东电力"/>
        <s v="*ST荣华"/>
        <s v="平高电气"/>
        <s v="农发种业"/>
        <s v="上海家化"/>
        <s v="洪都航空"/>
        <s v="新力金融"/>
        <s v="亚星化学"/>
        <s v="振华重工"/>
        <s v="正源股份"/>
        <s v="天房发展"/>
        <s v="瀚蓝环境"/>
        <s v="华发股份"/>
        <s v="西藏天路"/>
        <s v="大东方"/>
        <s v="中盐化工"/>
        <s v="达仁堂"/>
        <s v="天通股份"/>
        <s v="宏达股份"/>
        <s v="白云山"/>
        <s v="长春燃气"/>
        <s v="国机汽车"/>
        <s v="澳柯玛"/>
        <s v="美克家居"/>
        <s v="西藏珠峰"/>
        <s v="中油工程"/>
        <s v="华夏幸福"/>
        <s v="航天动力"/>
        <s v="长江通信"/>
        <s v="恒力石化"/>
        <s v="华阳股份"/>
        <s v="山东高速"/>
        <s v="亚宝药业"/>
        <s v="浙江龙盛"/>
        <s v="旭光电子"/>
        <s v="敦煌种业"/>
        <s v="精伦电子"/>
        <s v="恒丰纸业"/>
        <s v="国旅联合"/>
        <s v="新农开发"/>
        <s v="华微电子"/>
        <s v="创新新材"/>
        <s v="江西铜业"/>
        <s v="联创光电"/>
        <s v="ST通葡"/>
        <s v="宁波韵升"/>
        <s v="红星发展"/>
        <s v="五洲交通"/>
        <s v="西南证券"/>
        <s v="三房巷"/>
        <s v="万向德农"/>
        <s v="中航电子"/>
        <s v="中文传媒"/>
        <s v="汉马科技"/>
        <s v="首开股份"/>
        <s v="宁沪高速"/>
        <s v="昊华科技"/>
        <s v="宝光股份"/>
        <s v="健康元"/>
        <s v="青海春天"/>
        <s v="ST广珠"/>
        <s v="金地集团"/>
        <s v="北巴传媒"/>
        <s v="海越能源"/>
        <s v="ST龙净"/>
        <s v="江山股份"/>
        <s v="五矿资本"/>
        <s v="航发科技"/>
        <s v="盛和资源"/>
        <s v="粤泰股份"/>
        <s v="盘江股份"/>
        <s v="金山股份"/>
        <s v="安源煤业"/>
        <s v="海澜之家"/>
        <s v="抚顺特钢"/>
        <s v="红豆股份"/>
        <s v="大有能源"/>
        <s v="动力源"/>
        <s v="国电南瑞"/>
        <s v="安泰集团"/>
        <s v="三友化工"/>
        <s v="华胜天成"/>
        <s v="小商品城"/>
        <s v="湘电股份"/>
        <s v="江淮汽车"/>
        <s v="天润乳业"/>
        <s v="国药现代"/>
        <s v="华嵘控股"/>
        <s v="昆药集团"/>
        <s v="柳化股份"/>
        <s v="青松建化"/>
        <s v="华鲁恒升"/>
        <s v="中远海特"/>
        <s v="三元股份"/>
        <s v="冠豪高新"/>
        <s v="北方导航"/>
        <s v="片仔癀"/>
        <s v="通威股份"/>
        <s v="瑞贝卡"/>
        <s v="国机通用"/>
        <s v="金证股份"/>
        <s v="华纺股份"/>
        <s v="宁夏建材"/>
        <s v="涪陵电力"/>
        <s v="博通股份"/>
        <s v="宝钛股份"/>
        <s v="时代新材"/>
        <s v="贵研铂业"/>
        <s v="士兰微"/>
        <s v="洪城环境"/>
        <s v="ST九有"/>
        <s v="空港股份"/>
        <s v="蓝光发展"/>
        <s v="好当家"/>
        <s v="百利电气"/>
        <s v="风神股份"/>
        <s v="六国化工"/>
        <s v="华光环能"/>
        <s v="湘邮科技"/>
        <s v="杭萧钢构"/>
        <s v="科力远"/>
        <s v="千金药业"/>
        <s v="凌云股份"/>
        <s v="双良节能"/>
        <s v="中国动力"/>
        <s v="福能股份"/>
        <s v="扬农化工"/>
        <s v="亨通光电"/>
        <s v="津药药业"/>
        <s v="中金黄金"/>
        <s v="鹏欣资源"/>
        <s v="龙元建设"/>
        <s v="凤竹纺织"/>
        <s v="晋西车轴"/>
        <s v="精工钢构"/>
        <s v="驰宏锌锗"/>
        <s v="烽火通信"/>
        <s v="科达制造"/>
        <s v="中化国际"/>
        <s v="航天晨光"/>
        <s v="安徽建工"/>
        <s v="华丽家族"/>
        <s v="西昌电力"/>
        <s v="香梨股份"/>
        <s v="方大特钢"/>
        <s v="上海能源"/>
        <s v="天富能源"/>
        <s v="黑牡丹"/>
        <s v="国药股份"/>
        <s v="腾达建设"/>
        <s v="联环药业"/>
        <s v="海南机场"/>
        <s v="方大炭素"/>
        <s v="国网英大"/>
        <s v="ST康美"/>
        <s v="贵州茅台"/>
        <s v="文一科技"/>
        <s v="华海药业"/>
        <s v="中天科技"/>
        <s v="贵航股份"/>
        <s v="长园集团"/>
        <s v="菲达环保"/>
        <s v="江南高纤"/>
        <s v="中铁工业"/>
        <s v="山东药玻"/>
        <s v="交大昂立"/>
        <s v="豫光金铅"/>
        <s v="*ST未来"/>
        <s v="栖霞建设"/>
        <s v="天士力"/>
        <s v="中国软件"/>
        <s v="亿晶光电"/>
        <s v="国发股份"/>
        <s v="狮头股份"/>
        <s v="新赛股份"/>
        <s v="莫高股份"/>
        <s v="卓郎智能"/>
        <s v="山煤国际"/>
        <s v="山东黄金"/>
        <s v="深高速"/>
        <s v="厦门钨业"/>
        <s v="保变电气"/>
        <s v="时代出版"/>
        <s v="凯盛科技"/>
        <s v="天下秀"/>
        <s v="康缘药业"/>
        <s v="大西洋"/>
        <s v="老白干酒"/>
        <s v="金自天正"/>
        <s v="江西长运"/>
        <s v="国睿科技"/>
        <s v="法拉电子"/>
        <s v="迪马股份"/>
        <s v="济川药业"/>
        <s v="山鹰国际"/>
        <s v="ST中珠"/>
        <s v="安阳钢铁"/>
        <s v="恒生电子"/>
        <s v="信雅达"/>
        <s v="康恩贝"/>
        <s v="惠泉啤酒"/>
        <s v="淮河能源"/>
        <s v="祥源文旅"/>
        <s v="精达股份"/>
        <s v="京能电力"/>
        <s v="克劳斯"/>
        <s v="卧龙电驱"/>
        <s v="八一钢铁"/>
        <s v="天地科技"/>
        <s v="海油工程"/>
        <s v="长电科技"/>
        <s v="海螺水泥"/>
        <s v="金晶科技"/>
        <s v="新华医疗"/>
        <s v="用友网络"/>
        <s v="ST榕泰"/>
        <s v="泰豪科技"/>
        <s v="龙溪股份"/>
        <s v="大连圣亚"/>
        <s v="益佰制药"/>
        <s v="中孚实业"/>
        <s v="新安股份"/>
        <s v="光明乳业"/>
        <s v="北大荒"/>
        <s v="ST熊猫"/>
        <s v="青岛啤酒"/>
        <s v="*ST方科"/>
        <s v="云赛智联"/>
        <s v="广汇物流"/>
        <s v="市北高新"/>
        <s v="汇通能源"/>
        <s v="绿地控股"/>
        <s v="ST沪科"/>
        <s v="金杯汽车"/>
        <s v="中毅达"/>
        <s v="大众交通"/>
        <s v="老凤祥"/>
        <s v="神奇制药"/>
        <s v="丰华股份"/>
        <s v="金枫酒业"/>
        <s v="国新能源"/>
        <s v="氯碱化工"/>
        <s v="海立股份"/>
        <s v="天宸股份"/>
        <s v="华鑫股份"/>
        <s v="光大嘉宝"/>
        <s v="华谊集团"/>
        <s v="复旦复华"/>
        <s v="申达股份"/>
        <s v="新世界"/>
        <s v="华建集团"/>
        <s v="龙头股份"/>
        <s v="浙数文化"/>
        <s v="大众公用"/>
        <s v="国新文化"/>
        <s v="东方明珠"/>
        <s v="新黄浦"/>
        <s v="浦东金桥"/>
        <s v="国脉文化"/>
        <s v="万业企业"/>
        <s v="申能股份"/>
        <s v="爱建集团"/>
        <s v="乐山电力"/>
        <s v="中源协和"/>
        <s v="同达创业"/>
        <s v="外高桥"/>
        <s v="城投控股"/>
        <s v="锦江在线"/>
        <s v="飞乐音响"/>
        <s v="申华控股"/>
        <s v="*ST中安"/>
        <s v="豫园股份"/>
        <s v="信达地产"/>
        <s v="电子城"/>
        <s v="福耀玻璃"/>
        <s v="昂立教育"/>
        <s v="外服控股"/>
        <s v="陆家嘴"/>
        <s v="哈药股份"/>
        <s v="天地源"/>
        <s v="*ST瑞德"/>
        <s v="太极实业"/>
        <s v="尖峰集团"/>
        <s v="ST目药"/>
        <s v="东阳光"/>
        <s v="川投能源"/>
        <s v="中华企业"/>
        <s v="交运股份"/>
        <s v="四川金顶"/>
        <s v="上海凤凰"/>
        <s v="百川能源"/>
        <s v="南京新百"/>
        <s v="京投发展"/>
        <s v="珠江股份"/>
        <s v="中船防务"/>
        <s v="金龙汽车"/>
        <s v="上海石化"/>
        <s v="上海三毛"/>
        <s v="海尔智家"/>
        <s v="阳煤化工"/>
        <s v="亚通股份"/>
        <s v="东百集团"/>
        <s v="大商股份"/>
        <s v="岩石股份"/>
        <s v="欧亚集团"/>
        <s v="湖南天雁"/>
        <s v="均胜电子"/>
        <s v="舍得酒业"/>
        <s v="三安光电"/>
        <s v="物产中大"/>
        <s v="中航产融"/>
        <s v="曲江文旅"/>
        <s v="彩虹股份"/>
        <s v="光明地产"/>
        <s v="苏美达"/>
        <s v="盛屯矿业"/>
        <s v="南宁百货"/>
        <s v="南京医药"/>
        <s v="金瑞矿业"/>
        <s v="文投控股"/>
        <s v="凤凰股份"/>
        <s v="天津港"/>
        <s v="东软集团"/>
        <s v="ST热电"/>
        <s v="祁连山"/>
        <s v="百花医药"/>
        <s v="金牛化工"/>
        <s v="宁波富达"/>
        <s v="云维股份"/>
        <s v="*ST华源"/>
        <s v="鲁北化工"/>
        <s v="佳都科技"/>
        <s v="重庆百货"/>
        <s v="中国高科"/>
        <s v="湖南海利"/>
        <s v="爱旭股份"/>
        <s v="北汽蓝谷"/>
        <s v="ST实达"/>
        <s v="新华锦"/>
        <s v="苏州高新"/>
        <s v="中粮糖业"/>
        <s v="丽尚国潮"/>
        <s v="辽宁成大"/>
        <s v="山西焦化"/>
        <s v="华域汽车"/>
        <s v="一汽富维"/>
        <s v="华远地产"/>
        <s v="华银电力"/>
        <s v="闻泰科技"/>
        <s v="江苏索普"/>
        <s v="上实发展"/>
        <s v="西藏旅游"/>
        <s v="江中药业"/>
        <s v="海航科技"/>
        <s v="东方银星"/>
        <s v="锦江酒店"/>
        <s v="厦门国贸"/>
        <s v="浪潮软件"/>
        <s v="长江传媒"/>
        <s v="辽宁能源"/>
        <s v="ST洲际"/>
        <s v="中航沈飞"/>
        <s v="安徽合力"/>
        <s v="通策医疗"/>
        <s v="中国海防"/>
        <s v="中航重机"/>
        <s v="园城黄金"/>
        <s v="*ST运盛"/>
        <s v="宁波富邦"/>
        <s v="祥龙电业"/>
        <s v="综艺股份"/>
        <s v="广誉远"/>
        <s v="西藏城投"/>
        <s v="汉商集团"/>
        <s v="南京熊猫"/>
        <s v="东方通信"/>
        <s v="新潮能源"/>
        <s v="友好集团"/>
        <s v="水井坊"/>
        <s v="通宝能源"/>
        <s v="*ST辅仁"/>
        <s v="新钢股份"/>
        <s v="鲁信创投"/>
        <s v="鲁银投资"/>
        <s v="新华百货"/>
        <s v="中储股份"/>
        <s v="鲁抗医药"/>
        <s v="轻纺城"/>
        <s v="京能置业"/>
        <s v="云煤能源"/>
        <s v="宜宾纸业"/>
        <s v="保税科技"/>
        <s v="国电电力"/>
        <s v="钱江生化"/>
        <s v="浙大网新"/>
        <s v="宁波海运"/>
        <s v="渤海化学"/>
        <s v="华新水泥"/>
        <s v="福建水泥"/>
        <s v="新奥股份"/>
        <s v="ST鹏博士"/>
        <s v="悦达投资"/>
        <s v="济南高新"/>
        <s v="马钢股份"/>
        <s v="山西汾酒"/>
        <s v="神马股份"/>
        <s v="东方集团"/>
        <s v="华北制药"/>
        <s v="杭州解百"/>
        <s v="厦工股份"/>
        <s v="ST安信"/>
        <s v="宇通重工"/>
        <s v="中路股份"/>
        <s v="耀皮玻璃"/>
        <s v="隧道股份"/>
        <s v="金开新能"/>
        <s v="上海物贸"/>
        <s v="世茂股份"/>
        <s v="益民集团"/>
        <s v="新华传媒"/>
        <s v="兰生股份"/>
        <s v="百联股份"/>
        <s v="茂业商业"/>
        <s v="人民同泰"/>
        <s v="香溢融通"/>
        <s v="广电网络"/>
        <s v="第一医药"/>
        <s v="申通地铁"/>
        <s v="上海机电"/>
        <s v="上海易连"/>
        <s v="海通证券"/>
        <s v="上海九百"/>
        <s v="四川长虹"/>
        <s v="动力新科"/>
        <s v="上工申贝"/>
        <s v="丹化科技"/>
        <s v="宝信软件"/>
        <s v="同济科技"/>
        <s v="万里股份"/>
        <s v="上海临港"/>
        <s v="电科数字"/>
        <s v="海欣股份"/>
        <s v="龙建股份"/>
        <s v="春兰股份"/>
        <s v="航天长峰"/>
        <s v="宁波中百"/>
        <s v="银座股份"/>
        <s v="王府井"/>
        <s v="京城股份"/>
        <s v="北京城乡"/>
        <s v="中航高科"/>
        <s v="内蒙华电"/>
        <s v="哈投股份"/>
        <s v="百大集团"/>
        <s v="星湖科技"/>
        <s v="通化东宝"/>
        <s v="梅雁吉祥"/>
        <s v="远东股份"/>
        <s v="石化油服"/>
        <s v="中炬高新"/>
        <s v="梅花生物"/>
        <s v="创业环保"/>
        <s v="东方电气"/>
        <s v="洛阳玻璃"/>
        <s v="声光电科"/>
        <s v="航天电子"/>
        <s v="博瑞传播"/>
        <s v="亚泰集团"/>
        <s v="妙可蓝多"/>
        <s v="博闻科技"/>
        <s v="杉杉股份"/>
        <s v="宏发股份"/>
        <s v="国投电力"/>
        <s v="伊利股份"/>
        <s v="新疆众和"/>
        <s v="南京化纤"/>
        <s v="大晟文化"/>
        <s v="航发动力"/>
        <s v="广日股份"/>
        <s v="张江高科"/>
        <s v="厦门空港"/>
        <s v="国美通讯"/>
        <s v="长江电力"/>
        <s v="江苏金租"/>
        <s v="贵州燃气"/>
        <s v="三峡能源"/>
        <s v="财达证券"/>
        <s v="无锡银行"/>
        <s v="华安证券"/>
        <s v="中国黄金"/>
        <s v="重庆燃气"/>
        <s v="中泰证券"/>
        <s v="江苏银行"/>
        <s v="杭州银行"/>
        <s v="永安期货"/>
        <s v="西安银行"/>
        <s v="雪天盐业"/>
        <s v="爱柯迪"/>
        <s v="华塑股份"/>
        <s v="广西广电"/>
        <s v="中国海油"/>
        <s v="重庆建工"/>
        <s v="中国移动"/>
        <s v="维远股份"/>
        <s v="新天绿能"/>
        <s v="东方证券"/>
        <s v="江苏有线"/>
        <s v="渤海汽车"/>
        <s v="株冶集团"/>
        <s v="国投中鲁"/>
        <s v="岳阳林纸"/>
        <s v="福成股份"/>
        <s v="博汇纸业"/>
        <s v="内蒙一机"/>
        <s v="海油发展"/>
        <s v="郴电国际"/>
        <s v="中材国际"/>
        <s v="恒源煤电"/>
        <s v="宝胜股份"/>
        <s v="新五丰"/>
        <s v="健民集团"/>
        <s v="中国电影"/>
        <s v="广安爱众"/>
        <s v="北矿科技"/>
        <s v="汇鸿集团"/>
        <s v="宁波能源"/>
        <s v="惠而浦"/>
        <s v="建设机械"/>
        <s v="淮北矿业"/>
        <s v="浙文互联"/>
        <s v="航民股份"/>
        <s v="赤峰黄金"/>
        <s v="宝丰能源"/>
        <s v="四创电子"/>
        <s v="贵绳股份"/>
        <s v="马应龙"/>
        <s v="南网储能"/>
        <s v="贵广网络"/>
        <s v="开滦股份"/>
        <s v="九州通"/>
        <s v="招商证券"/>
        <s v="唐山港"/>
        <s v="晋控煤业"/>
        <s v="晋亿实业"/>
        <s v="柳钢股份"/>
        <s v="重庆钢铁"/>
        <s v="大秦铁路"/>
        <s v="金陵饭店"/>
        <s v="连云港"/>
        <s v="南京银行"/>
        <s v="文峰股份"/>
        <s v="宝泰隆"/>
        <s v="隆基绿能"/>
        <s v="陕西黑猫"/>
        <s v="节能风电"/>
        <s v="宁波港"/>
        <s v="山东出版"/>
        <s v="华钰矿业"/>
        <s v="春秋航空"/>
        <s v="宁波远洋"/>
        <s v="玉龙股份"/>
        <s v="一拖股份"/>
        <s v="赛轮轮胎"/>
        <s v="中信建投"/>
        <s v="中铝国际"/>
        <s v="西部黄金"/>
        <s v="渝农商行"/>
        <s v="国芳集团"/>
        <s v="中国神华"/>
        <s v="福元医药"/>
        <s v="中南传媒"/>
        <s v="太平洋"/>
        <s v="恒立液压"/>
        <s v="昊华能源"/>
        <s v="中国一重"/>
        <s v="四川成渝"/>
        <s v="财通证券"/>
        <s v="中国国航"/>
        <s v="华鼎股份"/>
        <s v="三江购物"/>
        <s v="中国化学"/>
        <s v="海南橡胶"/>
        <s v="四方股份"/>
        <s v="赛力斯"/>
        <s v="常熟银行"/>
        <s v="首创证券"/>
        <s v="博威合金"/>
        <s v="工业富联"/>
        <s v="深圳燃气"/>
        <s v="新城控股"/>
        <s v="东航物流"/>
        <s v="重庆水务"/>
        <s v="天风证券"/>
        <s v="三角轮胎"/>
        <s v="兴业银行"/>
        <s v="西部矿业"/>
        <s v="北京银行"/>
        <s v="杭齿前进"/>
        <s v="中国西电"/>
        <s v="中国铁建"/>
        <s v="厦门银行"/>
        <s v="龙江交通"/>
        <s v="东兴证券"/>
        <s v="江南水务"/>
        <s v="上海环境"/>
        <s v="东材科技"/>
        <s v="国泰君安"/>
        <s v="白银有色"/>
        <s v="君正集团"/>
        <s v="吉鑫科技"/>
        <s v="林洋能源"/>
        <s v="陕西煤业"/>
        <s v="华电重工"/>
        <s v="广州港"/>
        <s v="上海银行"/>
        <s v="环旭电子"/>
        <s v="桐昆股份"/>
        <s v="红塔证券"/>
        <s v="广汽集团"/>
        <s v="庞大集团"/>
        <s v="英利汽车"/>
        <s v="农业银行"/>
        <s v="青岛港"/>
        <s v="骆驼股份"/>
        <s v="中国平安"/>
        <s v="中国人保"/>
        <s v="秦港股份"/>
        <s v="交通银行"/>
        <s v="绿色动力"/>
        <s v="广深铁路"/>
        <s v="新华保险"/>
        <s v="百隆东方"/>
        <s v="三六零"/>
        <s v="利群股份"/>
        <s v="绿城水务"/>
        <s v="陕鼓动力"/>
        <s v="中原证券"/>
        <s v="兴业证券"/>
        <s v="怡球资源"/>
        <s v="中国中铁"/>
        <s v="工商银行"/>
        <s v="国机重装"/>
        <s v="国联证券"/>
        <s v="通用股份"/>
        <s v="中新集团"/>
        <s v="东风股份"/>
        <s v="吉林高速"/>
        <s v="大智慧"/>
        <s v="瑞丰银行"/>
        <s v="东吴证券"/>
        <s v="九牧王"/>
        <s v="三星医疗"/>
        <s v="北元集团"/>
        <s v="长沙银行"/>
        <s v="会稽山"/>
        <s v="北辰实业"/>
        <s v="上海电影"/>
        <s v="中国外运"/>
        <s v="浙文影业"/>
        <s v="中国铝业"/>
        <s v="中国太保"/>
        <s v="长城军工"/>
        <s v="上海医药"/>
        <s v="中信重工"/>
        <s v="金田股份"/>
        <s v="中国核建"/>
        <s v="明阳智能"/>
        <s v="广电电气"/>
        <s v="中国中冶"/>
        <s v="嘉泽新能"/>
        <s v="中国人寿"/>
        <s v="长城汽车"/>
        <s v="旗滨集团"/>
        <s v="邮储银行"/>
        <s v="齐鲁银行"/>
        <s v="平煤股份"/>
        <s v="中国建筑"/>
        <s v="中国电建"/>
        <s v="明泰铝业"/>
        <s v="滨化股份"/>
        <s v="友发集团"/>
        <s v="华泰证券"/>
        <s v="拓普集团"/>
        <s v="中银证券"/>
        <s v="中国卫通"/>
        <s v="潞安环能"/>
        <s v="风范股份"/>
        <s v="华峰铝业"/>
        <s v="郑煤机"/>
        <s v="际华集团"/>
        <s v="上海电气"/>
        <s v="中国电信"/>
        <s v="中国中车"/>
        <s v="力帆科技"/>
        <s v="晶科科技"/>
        <s v="光大证券"/>
        <s v="宁波建工"/>
        <s v="蓝科高新"/>
        <s v="星宇股份"/>
        <s v="中国交建"/>
        <s v="皖新传媒"/>
        <s v="中海油服"/>
        <s v="新华文轩"/>
        <s v="京沪高铁"/>
        <s v="光大银行"/>
        <s v="沪农商行"/>
        <s v="三峰环境"/>
        <s v="美凯龙"/>
        <s v="成都银行"/>
        <s v="中国石油"/>
        <s v="中国科传"/>
        <s v="紫金银行"/>
        <s v="福莱特"/>
        <s v="中远海发"/>
        <s v="中国能建"/>
        <s v="长飞光纤"/>
        <s v="招商轮船"/>
        <s v="正泰电器"/>
        <s v="浙商证券"/>
        <s v="辽港股份"/>
        <s v="中国银河"/>
        <s v="海天精工"/>
        <s v="江河集团"/>
        <s v="中国中免"/>
        <s v="亚星锚链"/>
        <s v="中煤能源"/>
        <s v="紫金矿业"/>
        <s v="南方传媒"/>
        <s v="方正证券"/>
        <s v="京运通"/>
        <s v="浙商银行"/>
        <s v="新集能源"/>
        <s v="中远海控"/>
        <s v="浙版传媒"/>
        <s v="凤凰传媒"/>
        <s v="吉视传媒"/>
        <s v="永辉超市"/>
        <s v="建设银行"/>
        <s v="中国出版"/>
        <s v="苏垦农发"/>
        <s v="东贝集团"/>
        <s v="金钼股份"/>
        <s v="重庆银行"/>
        <s v="中国汽研"/>
        <s v="玲珑轮胎"/>
        <s v="宝钢包装"/>
        <s v="海南矿业"/>
        <s v="招商南油"/>
        <s v="中国核电"/>
        <s v="中国银行"/>
        <s v="中国重工"/>
        <s v="南京证券"/>
        <s v="大唐发电"/>
        <s v="金隅集团"/>
        <s v="中金公司"/>
        <s v="丰林集团"/>
        <s v="贵阳银行"/>
        <s v="中信银行"/>
        <s v="出版传媒"/>
        <s v="人民网"/>
        <s v="奥康国际"/>
        <s v="宏昌电子"/>
        <s v="龙宇燃油"/>
        <s v="晶方科技"/>
        <s v="联明股份"/>
        <s v="ST花王"/>
        <s v="喜临门"/>
        <s v="北特科技"/>
        <s v="万盛股份"/>
        <s v="合锻智能"/>
        <s v="创力集团"/>
        <s v="亚普股份"/>
        <s v="弘讯科技"/>
        <s v="新宏泰"/>
        <s v="中衡设计"/>
        <s v="华设集团"/>
        <s v="中科曙光"/>
        <s v="爱普股份"/>
        <s v="山东华鹏"/>
        <s v="新通联"/>
        <s v="威帝股份"/>
        <s v="大豪科技"/>
        <s v="胜华新材"/>
        <s v="千禾味业"/>
        <s v="赛福天"/>
        <s v="天鹅股份"/>
        <s v="全筑股份"/>
        <s v="安孚科技"/>
        <s v="德新科技"/>
        <s v="三维股份"/>
        <s v="常熟汽饰"/>
        <s v="如通股份"/>
        <s v="凯众股份"/>
        <s v="华立股份"/>
        <s v="ST泛微"/>
        <s v="新坐标"/>
        <s v="美思德"/>
        <s v="华脉科技"/>
        <s v="广州酒家"/>
        <s v="福达合金"/>
        <s v="浙江黎明"/>
        <s v="科林电气"/>
        <s v="鹿山新材"/>
        <s v="可川科技"/>
        <s v="成都燃气"/>
        <s v="台华新材"/>
        <s v="德邦股份"/>
        <s v="紫燕食品"/>
        <s v="永吉股份"/>
        <s v="倍加洁"/>
        <s v="国检集团"/>
        <s v="禾望电气"/>
        <s v="音飞储存"/>
        <s v="振华股份"/>
        <s v="博通集成"/>
        <s v="海汽集团"/>
        <s v="万控智造"/>
        <s v="物产环能"/>
        <s v="乐惠国际"/>
        <s v="和邦生物"/>
        <s v="江化微"/>
        <s v="圣达生物"/>
        <s v="新疆火炬"/>
        <s v="大丰实业"/>
        <s v="剑桥科技"/>
        <s v="天成自控"/>
        <s v="先达股份"/>
        <s v="甘李药业"/>
        <s v="宁波精达"/>
        <s v="正裕工业"/>
        <s v="宏盛股份"/>
        <s v="南华期货"/>
        <s v="越剑智能"/>
        <s v="新经典"/>
        <s v="江苏华辰"/>
        <s v="森特股份"/>
        <s v="长白山"/>
        <s v="川仪股份"/>
        <s v="汇嘉时代"/>
        <s v="百合股份"/>
        <s v="横店影视"/>
        <s v="芯能科技"/>
        <s v="恒银科技"/>
        <s v="润达医疗"/>
        <s v="神驰机电"/>
        <s v="东方材料"/>
        <s v="康尼机电"/>
        <s v="华翔股份"/>
        <s v="金能科技"/>
        <s v="海星股份"/>
        <s v="红蜻蜓"/>
        <s v="ST万林"/>
        <s v="共进股份"/>
        <s v="华培动力"/>
        <s v="合富中国"/>
        <s v="翠微股份"/>
        <s v="中材节能"/>
        <s v="昭衍新药"/>
        <s v="华贸物流"/>
        <s v="春风动力"/>
        <s v="云中马"/>
        <s v="上海沪工"/>
        <s v="金徽股份"/>
        <s v="碳元科技"/>
        <s v="天目湖"/>
        <s v="海量数据"/>
        <s v="康惠制药"/>
        <s v="万朗磁塑"/>
        <s v="邦基科技"/>
        <s v="新亚强"/>
        <s v="养元饮品"/>
        <s v="腾龙股份"/>
        <s v="上海亚虹"/>
        <s v="汇顶科技"/>
        <s v="科华控股"/>
        <s v="圣晖集成"/>
        <s v="荣晟环保"/>
        <s v="福达股份"/>
        <s v="渤海轮渡"/>
        <s v="莎普爱思"/>
        <s v="兰石重装"/>
        <s v="宝立食品"/>
        <s v="税友股份"/>
        <s v="汇通集团"/>
        <s v="德创环保"/>
        <s v="圣龙股份"/>
        <s v="新泉股份"/>
        <s v="金牌厨柜"/>
        <s v="皇马科技"/>
        <s v="嘉华股份"/>
        <s v="建研院"/>
        <s v="上机数控"/>
        <s v="华正新材"/>
        <s v="海容冷链"/>
        <s v="亚邦股份"/>
        <s v="网达软件"/>
        <s v="望变电气"/>
        <s v="汇得科技"/>
        <s v="公牛集团"/>
        <s v="日播时尚"/>
        <s v="保隆科技"/>
        <s v="迎驾贡酒"/>
        <s v="九华旅游"/>
        <s v="上海洗霸"/>
        <s v="常润股份"/>
        <s v="快克股份"/>
        <s v="嘉环科技"/>
        <s v="江山欧派"/>
        <s v="兴通股份"/>
        <s v="晋拓股份"/>
        <s v="赛伍技术"/>
        <s v="镇洋发展"/>
        <s v="爱婴室"/>
        <s v="比依股份"/>
        <s v="梦天家居"/>
        <s v="元利科技"/>
        <s v="日月股份"/>
        <s v="富佳股份"/>
        <s v="中贝通信"/>
        <s v="爱丽家居"/>
        <s v="济民医疗"/>
        <s v="恒通股份"/>
        <s v="新凤鸣"/>
        <s v="菲林格尔"/>
        <s v="雪峰科技"/>
        <s v="景旺电子"/>
        <s v="奥翔药业"/>
        <s v="内蒙新华"/>
        <s v="格尔软件"/>
        <s v="大参林"/>
        <s v="天新药业"/>
        <s v="移远通信"/>
        <s v="五芳斋"/>
        <s v="诺邦股份"/>
        <s v="浙江仙通"/>
        <s v="鼎际得"/>
        <s v="宏和科技"/>
        <s v="电魂网络"/>
        <s v="药明康德"/>
        <s v="合盛硅业"/>
        <s v="立航科技"/>
        <s v="天龙股份"/>
        <s v="鸿远电子"/>
        <s v="松发股份"/>
        <s v="海鸥股份"/>
        <s v="联翔股份"/>
        <s v="银都股份"/>
        <s v="大业股份"/>
        <s v="景津装备"/>
        <s v="南方路机"/>
        <s v="赛腾股份"/>
        <s v="日盈电子"/>
        <s v="海天味业"/>
        <s v="泰瑞机器"/>
        <s v="斯达半导"/>
        <s v="永新光学"/>
        <s v="杭叉集团"/>
        <s v="苏盐井神"/>
        <s v="华铁应急"/>
        <s v="振德医疗"/>
        <s v="得邦照明"/>
        <s v="旭升集团"/>
        <s v="华懋科技"/>
        <s v="应流股份"/>
        <s v="维力医疗"/>
        <s v="金海高科"/>
        <s v="梦百合"/>
        <s v="福鞍股份"/>
        <s v="诚邦股份"/>
        <s v="天味食品"/>
        <s v="水发燃气"/>
        <s v="湘油泵"/>
        <s v="迪贝电气"/>
        <s v="梅轮电梯"/>
        <s v="超讯通信"/>
        <s v="苏农银行"/>
        <s v="盛剑环境"/>
        <s v="我乐家居"/>
        <s v="福蓉科技"/>
        <s v="依顿电子"/>
        <s v="上海雅仕"/>
        <s v="天洋新材"/>
        <s v="百达精工"/>
        <s v="苏州龙杰"/>
        <s v="尚纬股份"/>
        <s v="迪生力"/>
        <s v="宏辉果蔬"/>
        <s v="杰克股份"/>
        <s v="浙江鼎力"/>
        <s v="四方科技"/>
        <s v="安井食品"/>
        <s v="文灿股份"/>
        <s v="威尔药业"/>
        <s v="和顺石油"/>
        <s v="莱克电气"/>
        <s v="华菱精工"/>
        <s v="设计总院"/>
        <s v="华达科技"/>
        <s v="东珠生态"/>
        <s v="百傲化学"/>
        <s v="傲农生物"/>
        <s v="水星家纺"/>
        <s v="日出东方"/>
        <s v="辰欣药业"/>
        <s v="柳药集团"/>
        <s v="今世缘"/>
        <s v="东方时尚"/>
        <s v="亚士创能"/>
        <s v="三美股份"/>
        <s v="易德龙"/>
        <s v="顶点软件"/>
        <s v="惠达卫浴"/>
        <s v="骏亚科技"/>
        <s v="基蛋生物"/>
        <s v="元成股份"/>
        <s v="亚振家居"/>
        <s v="通达电气"/>
        <s v="万泰生物"/>
        <s v="新天然气"/>
        <s v="金辰股份"/>
        <s v="沐邦高科"/>
        <s v="吉翔股份"/>
        <s v="建霖家居"/>
        <s v="信捷电气"/>
        <s v="鼎信通讯"/>
        <s v="集友股份"/>
        <s v="贵州三力"/>
        <s v="吉比特"/>
        <s v="九洲药业"/>
        <s v="勘设股份"/>
        <s v="风语筑"/>
        <s v="巨星农牧"/>
        <s v="科沃斯"/>
        <s v="展鹏科技"/>
        <s v="八方股份"/>
        <s v="恒为科技"/>
        <s v="翔港科技"/>
        <s v="祥和实业"/>
        <s v="韦尔股份"/>
        <s v="金石资源"/>
        <s v="南都物业"/>
        <s v="振江股份"/>
        <s v="思维列控"/>
        <s v="爱慕股份"/>
        <s v="欧普照明"/>
        <s v="淳中科技"/>
        <s v="绝味食品"/>
        <s v="锦泓集团"/>
        <s v="立霸股份"/>
        <s v="司太立"/>
        <s v="众源新材"/>
        <s v="多伦科技"/>
        <s v="爱玛科技"/>
        <s v="神马电力"/>
        <s v="掌阅科技"/>
        <s v="嘉诚国际"/>
        <s v="惠发食品"/>
        <s v="美诺华"/>
        <s v="奥普家居"/>
        <s v="贵人鸟"/>
        <s v="海兴电力"/>
        <s v="ST起步"/>
        <s v="健盛集团"/>
        <s v="中通国脉"/>
        <s v="中谷物流"/>
        <s v="普莱柯"/>
        <s v="珍宝岛"/>
        <s v="伟明环保"/>
        <s v="长久物流"/>
        <s v="汇金通"/>
        <s v="三星新材"/>
        <s v="荣泰健康"/>
        <s v="艾艾精工"/>
        <s v="捷昌驱动"/>
        <s v="苏利股份"/>
        <s v="金麒麟"/>
        <s v="地素时尚"/>
        <s v="高能环境"/>
        <s v="口子窖"/>
        <s v="康辰药业"/>
        <s v="东尼电子"/>
        <s v="伯特利"/>
        <s v="引力传媒"/>
        <s v="广信股份"/>
        <s v="永艺股份"/>
        <s v="再升科技"/>
        <s v="纵横通信"/>
        <s v="*ST博天"/>
        <s v="珀莱雅"/>
        <s v="东方电缆"/>
        <s v="京华激光"/>
        <s v="天创时尚"/>
        <s v="禾丰股份"/>
        <s v="麒盛科技"/>
        <s v="诺力股份"/>
        <s v="索通发展"/>
        <s v="国联股份"/>
        <s v="茶花股份"/>
        <s v="韩建河山"/>
        <s v="君禾股份"/>
        <s v="杭电股份"/>
        <s v="中曼石油"/>
        <s v="科森科技"/>
        <s v="清源股份"/>
        <s v="利通电子"/>
        <s v="拉芳家化"/>
        <s v="徕木股份"/>
        <s v="南威软件"/>
        <s v="镇海股份"/>
        <s v="艾迪精密"/>
        <s v="海利尔"/>
        <s v="畅联股份"/>
        <s v="彤程新材"/>
        <s v="朗博科技"/>
        <s v="泰禾智能"/>
        <s v="春光科技"/>
        <s v="安图生物"/>
        <s v="璞泰来"/>
        <s v="苏州科达"/>
        <s v="恒林股份"/>
        <s v="柯力传感"/>
        <s v="三祥新材"/>
        <s v="康隆达"/>
        <s v="亿嘉和"/>
        <s v="五洲新春"/>
        <s v="天马科技"/>
        <s v="灵康药业"/>
        <s v="卫信康"/>
        <s v="奇精机械"/>
        <s v="火炬电子"/>
        <s v="华体科技"/>
        <s v="今创集团"/>
        <s v="永冠新材"/>
        <s v="锦和商管"/>
        <s v="晶华新材"/>
        <s v="晨丰科技"/>
        <s v="福龙马"/>
        <s v="大胜达"/>
        <s v="石英股份"/>
        <s v="皖天然气"/>
        <s v="至纯科技"/>
        <s v="江苏新能"/>
        <s v="安记食品"/>
        <s v="有友食品"/>
        <s v="航天工程"/>
        <s v="纽威股份"/>
        <s v="宁水集团"/>
        <s v="德宏股份"/>
        <s v="盛洋科技"/>
        <s v="东方环宇"/>
        <s v="健友股份"/>
        <s v="家家悦"/>
        <s v="中源家居"/>
        <s v="香飘飘"/>
        <s v="七一二"/>
        <s v="密尔克卫"/>
        <s v="塞力医疗"/>
        <s v="天域生态"/>
        <s v="海利生物"/>
        <s v="良品铺子"/>
        <s v="中广天择"/>
        <s v="阿科力"/>
        <s v="天安新材"/>
        <s v="朗迪集团"/>
        <s v="博迈科"/>
        <s v="鸣志电器"/>
        <s v="龙韵股份"/>
        <s v="岱美股份"/>
        <s v="仙鹤股份"/>
        <s v="三棵树"/>
        <s v="泰晶科技"/>
        <s v="蔚蓝生物"/>
        <s v="日辰股份"/>
        <s v="大元泵业"/>
        <s v="秦安股份"/>
        <s v="海天股份"/>
        <s v="隆鑫通用"/>
        <s v="中马传动"/>
        <s v="常青股份"/>
        <s v="沃格光电"/>
        <s v="永安行"/>
        <s v="来伊份"/>
        <s v="乾景园林"/>
        <s v="威龙股份"/>
        <s v="科博达"/>
        <s v="新日股份"/>
        <s v="宁波高发"/>
        <s v="星光农机"/>
        <s v="雅运股份"/>
        <s v="联泰环保"/>
        <s v="康普顿"/>
        <s v="华友钴业"/>
        <s v="道森股份"/>
        <s v="志邦家居"/>
        <s v="瑞斯康达"/>
        <s v="福斯特"/>
        <s v="歌力思"/>
        <s v="豪能股份"/>
        <s v="丰山集团"/>
        <s v="诚意药业"/>
        <s v="原尚股份"/>
        <s v="交建股份"/>
        <s v="顾家家居"/>
        <s v="海峡环保"/>
        <s v="曲美家居"/>
        <s v="神力股份"/>
        <s v="嘉澳环保"/>
        <s v="百合花"/>
        <s v="华扬联众"/>
        <s v="坤彩科技"/>
        <s v="柯利达"/>
        <s v="洛凯股份"/>
        <s v="欧派家居"/>
        <s v="海程邦达"/>
        <s v="四通股份"/>
        <s v="安正时尚"/>
        <s v="正平股份"/>
        <s v="好太太"/>
        <s v="华荣股份"/>
        <s v="东宏股份"/>
        <s v="步长制药"/>
        <s v="能科科技"/>
        <s v="中公高科"/>
        <s v="白云电器"/>
        <s v="松炀资源"/>
        <s v="桃李面包"/>
        <s v="新化股份"/>
        <s v="飞科电器"/>
        <s v="新智认知"/>
        <s v="嘉友国际"/>
        <s v="鼎胜新材"/>
        <s v="太平鸟"/>
        <s v="武进不锈"/>
        <s v="永悦科技"/>
        <s v="南卫股份"/>
        <s v="数据港"/>
        <s v="金域医学"/>
        <s v="老百姓"/>
        <s v="吉祥航空"/>
        <s v="元祖股份"/>
        <s v="城地香江"/>
        <s v="新华网"/>
        <s v="新澳股份"/>
        <s v="春秋电子"/>
        <s v="瑞芯微"/>
        <s v="天永智能"/>
        <s v="寿仙谷"/>
        <s v="长城科技"/>
        <s v="好莱客"/>
        <s v="晨光股份"/>
        <s v="莱绅通灵"/>
        <s v="永创智能"/>
        <s v="中持股份"/>
        <s v="龙蟠科技"/>
        <s v="牧高笛"/>
        <s v="建发合诚"/>
        <s v="佳力图"/>
        <s v="国茂股份"/>
        <s v="苏博特"/>
        <s v="合力科技"/>
        <s v="金桥信息"/>
        <s v="金徽酒"/>
        <s v="世运电路"/>
        <s v="金鸿顺"/>
        <s v="铁流股份"/>
        <s v="中科软"/>
        <s v="兴业股份"/>
        <s v="亚翔集成"/>
        <s v="格林达"/>
        <s v="睿能科技"/>
        <s v="博敏电子"/>
        <s v="丽岛新材"/>
        <s v="三孚股份"/>
        <s v="益丰药房"/>
        <s v="建业股份"/>
        <s v="雪龙集团"/>
        <s v="长源东谷"/>
        <s v="大千生态"/>
        <s v="威派格"/>
        <s v="哈森股份"/>
        <s v="百利科技"/>
        <s v="克来机电"/>
        <s v="大理药业"/>
        <s v="法兰泰克"/>
        <s v="中创物流"/>
        <s v="醋化股份"/>
        <s v="银龙股份"/>
        <s v="中农立华"/>
        <s v="正川股份"/>
        <s v="国泰集团"/>
        <s v="深圳新星"/>
        <s v="金诚信"/>
        <s v="吉华集团"/>
        <s v="泉峰汽车"/>
        <s v="丸美股份"/>
        <s v="恒润股份"/>
        <s v="兆易创新"/>
        <s v="康德莱"/>
        <s v="中电电机"/>
        <s v="艾华集团"/>
        <s v="麦迪科技"/>
        <s v="至正股份"/>
        <s v="松霖科技"/>
        <s v="洛阳钼业"/>
        <s v="甬金股份"/>
        <s v="继峰股份"/>
        <s v="方盛制药"/>
        <s v="读者传媒"/>
        <s v="威奥股份"/>
        <s v="众望布艺"/>
        <s v="合兴股份"/>
        <s v="山东玻纤"/>
        <s v="五洲特纸"/>
        <s v="长鸿高科"/>
        <s v="豪悦护理"/>
        <s v="杭州热电"/>
        <s v="百龙创园"/>
        <s v="长华集团"/>
        <s v="永和股份"/>
        <s v="世茂能源"/>
        <s v="美邦股份"/>
        <s v="福然德"/>
        <s v="迎丰股份"/>
        <s v="咸亨国际"/>
        <s v="澳弘电子"/>
        <s v="联德股份"/>
        <s v="天正电气"/>
        <s v="明新旭腾"/>
        <s v="正和生态"/>
        <s v="华康股份"/>
        <s v="浙江自然"/>
        <s v="太和水"/>
        <s v="龙高股份"/>
        <s v="冠盛股份"/>
        <s v="味知香"/>
        <s v="九丰能源"/>
        <s v="行动教育"/>
        <s v="共创草坪"/>
        <s v="华丰股份"/>
        <s v="同庆楼"/>
        <s v="新洁能"/>
        <s v="奥锐特"/>
        <s v="德业股份"/>
        <s v="力鼎光电"/>
        <s v="四方新材"/>
        <s v="派克新材"/>
        <s v="上海沿浦"/>
        <s v="嵘泰股份"/>
        <s v="丽人丽妆"/>
        <s v="盛泰集团"/>
        <s v="西上海"/>
        <s v="西大门"/>
        <s v="华达新材"/>
        <s v="新中港"/>
        <s v="聚合顺"/>
        <s v="利柏特"/>
        <s v="三人行"/>
        <s v="洪通燃气"/>
        <s v="东亚药业"/>
        <s v="时空科技"/>
        <s v="一鸣食品"/>
        <s v="华生科技"/>
        <s v="确成股份"/>
        <s v="健麾信息"/>
        <s v="国光连锁"/>
        <s v="富春染织"/>
        <s v="华通线缆"/>
        <s v="安德利"/>
        <s v="葫芦娃"/>
        <s v="永茂泰"/>
        <s v="伟时电子"/>
        <s v="起帆电缆"/>
        <s v="神通科技"/>
        <s v="天普股份"/>
        <s v="协和电子"/>
        <s v="绿田机械"/>
        <s v="健之佳"/>
        <s v="王力安防"/>
        <s v="新亚电子"/>
        <s v="同力日升"/>
        <s v="德才股份"/>
        <s v="凯迪股份"/>
        <s v="罗曼股份"/>
        <s v="神农集团"/>
        <s v="必得科技"/>
        <s v="舒华体育"/>
        <s v="佳禾食品"/>
        <s v="园林股份"/>
        <s v="中际联合"/>
        <s v="法狮龙"/>
        <s v="无锡振华"/>
        <s v="沪光股份"/>
        <s v="帅丰电器"/>
        <s v="李子园"/>
        <s v="巴比食品"/>
        <s v="南侨食品"/>
        <s v="立昂微"/>
        <s v="立达信"/>
        <s v="宏柏新材"/>
        <s v="蓝天燃气"/>
        <s v="拱东医疗"/>
        <s v="博迁新材"/>
        <s v="华旺科技"/>
        <s v="野马电池"/>
        <s v="均瑶健康"/>
        <s v="长龄液压"/>
        <s v="新炬网络"/>
        <s v="晨光新材"/>
        <s v="福莱新材"/>
        <s v="东鹏饮料"/>
        <s v="森林包装"/>
        <s v="国邦医药"/>
        <s v="德昌股份"/>
        <s v="福莱蒽特"/>
        <s v="春雪食品"/>
        <s v="龙版传媒"/>
        <s v="恒盛能源"/>
        <s v="冠石科技"/>
        <s v="圣泉集团"/>
        <s v="上海港湾"/>
        <s v="菜百股份"/>
        <m/>
      </sharedItems>
    </cacheField>
    <cacheField name="area" numFmtId="0">
      <sharedItems containsBlank="1" count="33">
        <s v="深圳"/>
        <s v="北京"/>
        <s v="吉林"/>
        <s v="江苏"/>
        <s v="辽宁"/>
        <s v="广东"/>
        <s v="安徽"/>
        <s v="四川"/>
        <s v="浙江"/>
        <s v="湖南"/>
        <s v="河北"/>
        <s v="新疆"/>
        <s v="山东"/>
        <s v="河南"/>
        <s v="山西"/>
        <s v="江西"/>
        <s v="青海"/>
        <s v="湖北"/>
        <s v="内蒙"/>
        <s v="海南"/>
        <s v="重庆"/>
        <s v="陕西"/>
        <s v="福建"/>
        <s v="广西"/>
        <s v="天津"/>
        <s v="云南"/>
        <s v="贵州"/>
        <s v="甘肃"/>
        <s v="宁夏"/>
        <s v="黑龙江"/>
        <s v="西藏"/>
        <s v="上海"/>
        <m/>
      </sharedItems>
    </cacheField>
    <cacheField name="industry" numFmtId="0">
      <sharedItems containsBlank="1" count="109">
        <s v="银行"/>
        <s v="全国地产"/>
        <s v="软件服务"/>
        <s v="环境保护"/>
        <s v="区域地产"/>
        <s v="其他商业"/>
        <s v="运输设备"/>
        <s v="电气设备"/>
        <s v="建筑工程"/>
        <s v="玻璃"/>
        <s v="家用电器"/>
        <s v="服饰"/>
        <s v="农业综合"/>
        <s v="元器件"/>
        <s v="IT设备"/>
        <s v="水泥"/>
        <s v="汽车服务"/>
        <s v="火力发电"/>
        <s v="医药商业"/>
        <s v="汽车配件"/>
        <s v="综合类"/>
        <s v="新型电力"/>
        <s v="多元金融"/>
        <s v="装修装饰"/>
        <s v="房产服务"/>
        <s v="商品城"/>
        <s v="石油加工"/>
        <s v="铅锌"/>
        <s v="通信设备"/>
        <s v="旅游景点"/>
        <s v="港口"/>
        <s v="机场"/>
        <s v="石油贸易"/>
        <s v="空运"/>
        <s v="生物制药"/>
        <s v="商贸代理"/>
        <s v="化学制药"/>
        <s v="影视音像"/>
        <s v="工程机械"/>
        <s v="证券"/>
        <s v="化纤"/>
        <s v="供气供热"/>
        <s v="农药化肥"/>
        <s v="机床制造"/>
        <s v="百货"/>
        <s v="中成药"/>
        <s v="酒店餐饮"/>
        <s v="路桥"/>
        <s v="造纸"/>
        <s v="医疗保健"/>
        <s v="食品"/>
        <s v="黄金"/>
        <s v="化工原料"/>
        <s v="专用机械"/>
        <s v="水运"/>
        <s v="日用化工"/>
        <s v="旅游服务"/>
        <s v="文教休闲"/>
        <s v="出版业"/>
        <s v="机械基件"/>
        <s v="汽车整车"/>
        <s v="煤炭开采"/>
        <s v="铁路"/>
        <s v="染料涂料"/>
        <s v="白酒"/>
        <s v="农用机械"/>
        <s v="林业"/>
        <s v="水务"/>
        <s v="水力发电"/>
        <s v="互联网"/>
        <s v="广告包装"/>
        <s v="铝"/>
        <s v="其他建材"/>
        <s v="批发业"/>
        <s v="保险"/>
        <s v="小金属"/>
        <s v="铜"/>
        <s v="普钢"/>
        <s v="航空"/>
        <s v="饲料"/>
        <s v="特种钢"/>
        <s v="种植业"/>
        <s v="仓储物流"/>
        <s v="焦炭加工"/>
        <s v="纺织"/>
        <s v="啤酒"/>
        <s v="超市连锁"/>
        <s v="钢加工"/>
        <s v="矿物制品"/>
        <s v="渔业"/>
        <s v="软饮料"/>
        <s v="化工机械"/>
        <s v="塑料"/>
        <s v="红黄酒"/>
        <s v="家居用品"/>
        <s v="摩托车"/>
        <s v="石油开采"/>
        <s v="轻工机械"/>
        <s v="电器仪表"/>
        <s v="半导体"/>
        <s v="乳制品"/>
        <s v="园区开发"/>
        <s v="电信运营"/>
        <s v="船舶"/>
        <s v="纺织机械"/>
        <s v="公共交通"/>
        <s v="橡胶"/>
        <s v="公路"/>
        <m/>
      </sharedItems>
    </cacheField>
    <cacheField name="fullname" numFmtId="0">
      <sharedItems containsBlank="1" count="2179">
        <s v="平安银行股份有限公司"/>
        <s v="万科企业股份有限公司"/>
        <s v="深圳国华网安科技股份有限公司"/>
        <s v="深圳世纪星源股份有限公司"/>
        <s v="深圳市振业(集团)股份有限公司"/>
        <s v="深圳市全新好股份有限公司"/>
        <s v="神州高铁技术股份有限公司"/>
        <s v="中国宝安集团股份有限公司"/>
        <s v="深圳美丽生态股份有限公司"/>
        <s v="深圳市物业发展(集团)股份有限公司"/>
        <s v="中国南玻集团股份有限公司"/>
        <s v="沙河实业股份有限公司"/>
        <s v="康佳集团股份有限公司"/>
        <s v="深圳中华自行车(集团)股份有限公司"/>
        <s v="深圳市深粮控股股份有限公司"/>
        <s v="深圳中恒华发股份有限公司"/>
        <s v="深圳长城开发科技股份有限公司"/>
        <s v="深圳市天地(集团)股份有限公司"/>
        <s v="深圳市特力(集团)股份有限公司"/>
        <s v="飞亚达精密科技股份有限公司"/>
        <s v="深圳能源集团股份有限公司"/>
        <s v="国药集团一致药业股份有限公司"/>
        <s v="深圳经济特区房地产(集团)股份有限公司"/>
        <s v="富奥汽车零部件股份有限公司"/>
        <s v="大悦城控股集团股份有限公司"/>
        <s v="深圳市桑达实业股份有限公司"/>
        <s v="神州数码集团股份有限公司"/>
        <s v="中国天楹股份有限公司"/>
        <s v="华联控股股份有限公司"/>
        <s v="深圳南山热电股份有限公司"/>
        <s v="深圳大通实业股份有限公司"/>
        <s v="中国国际海运集装箱(集团)股份有限公司"/>
        <s v="东旭蓝天新能源股份有限公司"/>
        <s v="深圳市中洲投资控股股份有限公司"/>
        <s v="深圳市纺织(集团)股份有限公司"/>
        <s v="泛海控股股份有限公司"/>
        <s v="深圳市京基智农时代股份有限公司"/>
        <s v="深圳市德赛电池科技股份有限公司"/>
        <s v="天马微电子股份有限公司"/>
        <s v="方大集团股份有限公司"/>
        <s v="深圳市皇庭国际企业股份有限公司"/>
        <s v="深圳赛格股份有限公司"/>
        <s v="北方华锦化学工业股份有限公司"/>
        <s v="深圳市中金岭南有色金属股份有限公司"/>
        <s v="深圳市农产品集团股份有限公司"/>
        <s v="深圳华强实业股份有限公司"/>
        <s v="中兴通讯股份有限公司"/>
        <s v="北方国际合作股份有限公司"/>
        <s v="中国长城科技集团股份有限公司"/>
        <s v="深圳华控赛格股份有限公司"/>
        <s v="深圳华侨城股份有限公司"/>
        <s v="深圳市特发信息股份有限公司"/>
        <s v="深圳市海王生物工程股份有限公司"/>
        <s v="深圳市盐田港股份有限公司"/>
        <s v="深圳市机场股份有限公司"/>
        <s v="深圳市天健(集团)股份有限公司"/>
        <s v="深圳市广聚能源股份有限公司"/>
        <s v="中信海洋直升机股份有限公司"/>
        <s v="TCL科技集团股份有限公司"/>
        <s v="宜华健康医疗股份有限公司"/>
        <s v="中成进出口股份有限公司"/>
        <s v="安徽丰原药业股份有限公司"/>
        <s v="四川省新能源动力股份有限公司"/>
        <s v="华数传媒控股股份有限公司"/>
        <s v="中联重科股份有限公司"/>
        <s v="石家庄常山北明科技股份有限公司"/>
        <s v="新疆国际实业股份有限公司"/>
        <s v="申万宏源集团股份有限公司"/>
        <s v="江苏东方盛虹股份有限公司"/>
        <s v="美的集团股份有限公司"/>
        <s v="潍柴动力股份有限公司"/>
        <s v="许继电气股份有限公司"/>
        <s v="唐山冀东水泥股份有限公司"/>
        <s v="金融街控股股份有限公司"/>
        <s v="派斯双林生物制药股份有限公司"/>
        <s v="长虹华意压缩机股份有限公司"/>
        <s v="山东胜利股份有限公司"/>
        <s v="藏格矿业股份有限公司"/>
        <s v="云鼎科技股份有限公司"/>
        <s v="沈阳机床股份有限公司"/>
        <s v="浙江英特集团股份有限公司"/>
        <s v="东旭光电科技股份有限公司"/>
        <s v="渤海租赁股份有限公司"/>
        <s v="民生控股股份有限公司"/>
        <s v="合肥百货大楼集团股份有限公司"/>
        <s v="长沙通程控股股份有限公司"/>
        <s v="吉林化纤股份有限公司"/>
        <s v="南京公用发展股份有限公司"/>
        <s v="湖北宜化化工股份有限公司"/>
        <s v="东阿阿胶股份有限公司"/>
        <s v="徐工集团工程机械股份有限公司"/>
        <s v="内蒙古兴业矿业股份有限公司"/>
        <s v="华天酒店集团股份有限公司"/>
        <s v="广东省高速公路发展股份有限公司"/>
        <s v="张家界旅游集团股份有限公司"/>
        <s v="山东晨鸣纸业集团股份有限公司"/>
        <s v="山东高速路桥集团股份有限公司"/>
        <s v="武商集团股份有限公司"/>
        <s v="国新健康保障服务集团股份有限公司"/>
        <s v="南华生物医药股份有限公司"/>
        <s v="海南京粮控股股份有限公司"/>
        <s v="中润资源投资股份有限公司"/>
        <s v="珠海港股份有限公司"/>
        <s v="华塑控股股份有限公司"/>
        <s v="四川新金路集团股份有限公司"/>
        <s v="丽珠医药集团股份有限公司"/>
        <s v="重庆渝开发股份有限公司"/>
        <s v="西安国际医学投资股份有限公司"/>
        <s v="荣安地产股份有限公司"/>
        <s v="江苏四环生物股份有限公司"/>
        <s v="中兵红箭股份有限公司"/>
        <s v="长航凤凰股份有限公司"/>
        <s v="长虹美菱股份有限公司"/>
        <s v="广州市浪奇实业股份有限公司"/>
        <s v="广州岭南集团控股股份有限公司"/>
        <s v="南京红太阳股份有限公司"/>
        <s v="学大(厦门)教育科技集团股份有限公司"/>
        <s v="广西柳工机械股份有限公司"/>
        <s v="广东广弘控股股份有限公司"/>
        <s v="冰山冷热科技股份有限公司"/>
        <s v="广州恒运企业集团股份有限公司"/>
        <s v="珠海华金资本股份有限公司"/>
        <s v="广东顺钠电气股份有限公司"/>
        <s v="万泽实业股份有限公司"/>
        <s v="华映科技(集团)股份有限公司"/>
        <s v="天津中绿电投资股份有限公司"/>
        <s v="云南白药集团股份有限公司"/>
        <s v="广东电力发展股份有限公司"/>
        <s v="中天金融集团股份有限公司"/>
        <s v="佛山电器照明股份有限公司"/>
        <s v="安徽省皖能股份有限公司"/>
        <s v="中原环保股份有限公司"/>
        <s v="金浦钛业股份有限公司"/>
        <s v="金圆环保股份有限公司"/>
        <s v="航天工业发展股份有限公司"/>
        <s v="湖南投资集团股份有限公司"/>
        <s v="江铃汽车股份有限公司"/>
        <s v="创元科技股份有限公司"/>
        <s v="甘肃靖远煤电股份有限公司"/>
        <s v="安道麦股份有限公司"/>
        <s v="中国石化山东泰山石油股份有限公司"/>
        <s v="神州数码信息服务股份有限公司"/>
        <s v="宁夏西部创业实业股份有限公司"/>
        <s v="莱茵达体育发展股份有限公司"/>
        <s v="万向钱潮股份公司"/>
        <s v="我爱我家控股集团股份有限公司"/>
        <s v="陕西烽火电子股份有限公司"/>
        <s v="陕西省国际信托股份有限公司"/>
        <s v="供销大集集团股份有限公司"/>
        <s v="重庆三峡油漆股份有限公司"/>
        <s v="海南海药股份有限公司"/>
        <s v="海南海德资本管理股份有限公司"/>
        <s v="泸州老窖股份有限公司"/>
        <s v="常柴股份有限公司"/>
        <s v="新大洲控股股份有限公司"/>
        <s v="海马汽车股份有限公司"/>
        <s v="东莞宏远工业区股份有限公司"/>
        <s v="广东甘化科工股份有限公司"/>
        <s v="无锡威孚高科技集团股份有限公司"/>
        <s v="北部湾港股份有限公司"/>
        <s v="江苏哈工智能机器人股份有限公司"/>
        <s v="四川汇源光通信股份有限公司"/>
        <s v="金洲慈航集团股份有限公司"/>
        <s v="贵州轮胎股份有限公司"/>
        <s v="启迪药业集团股份公司"/>
        <s v="中节能太阳能股份有限公司"/>
        <s v="中福海峡(平潭)发展股份有限公司"/>
        <s v="德龙汇能集团股份有限公司"/>
        <s v="宝塔实业股份有限公司"/>
        <s v="安徽古井贡酒股份有限公司"/>
        <s v="东北制药集团股份有限公司"/>
        <s v="成都市兴蓉环境股份有限公司"/>
        <s v="青岛双星股份有限公司"/>
        <s v="河北建投能源投资股份有限公司"/>
        <s v="广东韶能集团股份有限公司"/>
        <s v="盛达金属资源股份有限公司"/>
        <s v="渤海水业股份有限公司"/>
        <s v="顺利办信息服务股份有限公司"/>
        <s v="浙江华媒控股股份有限公司"/>
        <s v="阳光新业地产股份有限公司"/>
        <s v="北京中迪投资股份有限公司"/>
        <s v="西安旅游股份有限公司"/>
        <s v="焦作万方铝业股份有限公司"/>
        <s v="奥园美谷科技股份有限公司"/>
        <s v="海航投资集团股份有限公司"/>
        <s v="中国石油集团资本股份有限公司"/>
        <s v="海螺(安徽)节能环保新材料股份有限公司"/>
        <s v="新华联文化旅游发展股份有限公司"/>
        <s v="恒立实业发展集团股份有限公司"/>
        <s v="吉林敖东药业集团股份有限公司"/>
        <s v="重庆长安汽车股份有限公司"/>
        <s v="远大产业控股股份有限公司"/>
        <s v="天茂实业集团股份有限公司"/>
        <s v="成都高新发展股份有限公司"/>
        <s v="攀钢集团钒钛资源股份有限公司"/>
        <s v="铜陵有色金属集团股份有限公司"/>
        <s v="顺发恒业股份公司"/>
        <s v="福建三木集团股份有限公司"/>
        <s v="新疆合金投资股份有限公司"/>
        <s v="宁夏英力特化工股份有限公司"/>
        <s v="广东风华高新科技股份有限公司"/>
        <s v="茂名石化实华股份有限公司"/>
        <s v="万方城镇投资发展股份有限公司"/>
        <s v="西王食品股份有限公司"/>
        <s v="仁和药业股份有限公司"/>
        <s v="珠海格力电器股份有限公司"/>
        <s v="天津泰达股份有限公司"/>
        <s v="山东金岭矿业股份有限公司"/>
        <s v="金科地产集团股份有限公司"/>
        <s v="中钨高新材料股份有限公司"/>
        <s v="珠海中富实业股份有限公司"/>
        <s v="长春高新技术产业(集团)股份有限公司"/>
        <s v="福建省永安林业(集团)股份有限公司"/>
        <s v="湖北省广播电视信息网络股份有限公司"/>
        <s v="经纬纺织机械股份有限公司"/>
        <s v="美好置业集团股份有限公司"/>
        <s v="荣丰控股集团股份有限公司"/>
        <s v="金鸿控股集团股份有限公司"/>
        <s v="盈方微电子股份有限公司"/>
        <s v="阳光城集团股份有限公司"/>
        <s v="甘肃上峰水泥股份有限公司"/>
        <s v="智度科技股份有限公司"/>
        <s v="恒天海龙股份有限公司"/>
        <s v="襄阳汽车轴承股份有限公司"/>
        <s v="大连友谊(集团)股份有限公司"/>
        <s v="山推工程机械股份有限公司"/>
        <s v="视觉(中国)文化发展股份有限公司"/>
        <s v="东方电子股份有限公司"/>
        <s v="内蒙古远兴能源股份有限公司"/>
        <s v="中山公用事业集团股份有限公司"/>
        <s v="东北证券股份有限公司"/>
        <s v="国城矿业股份有限公司"/>
        <s v="广东宝丽华新能源股份有限公司"/>
        <s v="甘肃亚太实业发展股份有限公司"/>
        <s v="沈阳惠天热电股份有限公司"/>
        <s v="天津滨海能源发展股份有限公司"/>
        <s v="炼石航空科技股份有限公司"/>
        <s v="沈阳化工股份有限公司"/>
        <s v="江南模塑科技股份有限公司"/>
        <s v="厦门信达股份有限公司"/>
        <s v="湖南正虹科技发展股份有限公司"/>
        <s v="恒逸石化股份有限公司"/>
        <s v="浙江震元股份有限公司"/>
        <s v="湖北双环科技股份有限公司"/>
        <s v="中信泰富特钢集团股份有限公司"/>
        <s v="河钢股份有限公司"/>
        <s v="成都市贝瑞和康基因技术股份有限公司"/>
        <s v="京蓝科技股份有限公司"/>
        <s v="广东锦龙发展股份有限公司"/>
        <s v="合肥丰乐种业股份有限公司"/>
        <s v="中兴-沈阳商业大厦(集团)股份有限公司"/>
        <s v="南方黑芝麻集团股份有限公司"/>
        <s v="广东中南钢铁股份有限公司"/>
        <s v="苏宁环球股份有限公司"/>
        <s v="中原大地传媒股份有限公司"/>
        <s v="山东新能泰山发电股份有限公司"/>
        <s v="西安饮食股份有限公司"/>
        <s v="湖南发展集团股份有限公司"/>
        <s v="山西美锦能源股份有限公司"/>
        <s v="京东方科技集团股份有限公司"/>
        <s v="鲁泰纺织股份有限公司"/>
        <s v="冠捷电子科技股份有限公司"/>
        <s v="国元证券股份有限公司"/>
        <s v="北京燕京啤酒股份有限公司"/>
        <s v="四川美丰化工股份有限公司"/>
        <s v="泰禾集团股份有限公司"/>
        <s v="中国振华(集团)科技股份有限公司"/>
        <s v="罗牛山股份有限公司"/>
        <s v="中交地产股份有限公司"/>
        <s v="北方铜业股份有限公司"/>
        <s v="中国航发动力控制股份有限公司"/>
        <s v="普洛药业股份有限公司"/>
        <s v="国海证券股份有限公司"/>
        <s v="葫芦岛锌业股份有限公司"/>
        <s v="西藏发展股份有限公司"/>
        <s v="福建漳州发展股份有限公司"/>
        <s v="山西路桥股份有限公司"/>
        <s v="山东新华制药股份有限公司"/>
        <s v="四川浩物机电股份有限公司"/>
        <s v="中国有色金属建设股份有限公司"/>
        <s v="中百控股集团股份有限公司"/>
        <s v="本钢板材股份有限公司"/>
        <s v="西藏矿业发展股份有限公司"/>
        <s v="通化金马药业集团股份有限公司"/>
        <s v="晋能控股山西电力股份有限公司"/>
        <s v="中航西安飞机工业集团股份有限公司"/>
        <s v="广发证券股份有限公司"/>
        <s v="中核苏阀科技实业股份有限公司"/>
        <s v="新兴铸管股份有限公司"/>
        <s v="甘肃工程咨询集团股份有限公司"/>
        <s v="广东新会美达锦纶股份有限公司"/>
        <s v="长江证券股份有限公司"/>
        <s v="居然之家新零售集团股份有限公司"/>
        <s v="北新集团建材股份有限公司"/>
        <s v="北大医药股份有限公司"/>
        <s v="江西万年青水泥股份有限公司"/>
        <s v="成都华神科技集团股份有限公司"/>
        <s v="甘肃电投能源发展股份有限公司"/>
        <s v="青海盐湖工业股份有限公司"/>
        <s v="华闻传媒投资集团股份有限公司"/>
        <s v="英洛华科技股份有限公司"/>
        <s v="凯撒同盛发展股份有限公司"/>
        <s v="中国武夷实业股份有限公司"/>
        <s v="中水集团远洋股份有限公司"/>
        <s v="酒鬼酒股份有限公司"/>
        <s v="一汽解放集团股份有限公司"/>
        <s v="四川九洲电器股份有限公司"/>
        <s v="北京京西文化旅游股份有限公司"/>
        <s v="山高环能集团股份有限公司"/>
        <s v="北海银河生物产业投资股份有限公司"/>
        <s v="云南铝业股份有限公司"/>
        <s v="铁岭新城投资控股(集团)股份有限公司"/>
        <s v="创维数字股份有限公司"/>
        <s v="冰轮环境技术股份有限公司"/>
        <s v="陕西金叶科教集团股份有限公司"/>
        <s v="德展大健康股份有限公司"/>
        <s v="中冶美利云产业投资股份有限公司"/>
        <s v="江苏农华智慧农业科技股份有限公司"/>
        <s v="航锦科技股份有限公司"/>
        <s v="岳阳兴长石化股份有限公司"/>
        <s v="神雾节能股份有限公司"/>
        <s v="湖北京山轻工机械股份有限公司"/>
        <s v="山东海化股份有限公司"/>
        <s v="广东汕头超声电子股份有限公司"/>
        <s v="山西太钢不锈钢股份有限公司"/>
        <s v="启迪环境科技发展股份有限公司"/>
        <s v="东莞发展控股股份有限公司"/>
        <s v="天音通信控股股份有限公司"/>
        <s v="鲁西化工集团股份有限公司"/>
        <s v="中国稀土集团资源科技股份有限公司"/>
        <s v="广西粤桂广业控股股份有限公司"/>
        <s v="天津富通信息科技股份有限公司"/>
        <s v="秦川机床工具集团股份公司"/>
        <s v="财信地产发展集团股份有限公司"/>
        <s v="中信国安信息产业股份有限公司"/>
        <s v="承德露露股份公司"/>
        <s v="安徽华茂纺织股份有限公司"/>
        <s v="大唐高鸿网络股份有限公司"/>
        <s v="中石化石油机械股份有限公司"/>
        <s v="唐山冀东装备工程股份有限公司"/>
        <s v="宜宾五粮液股份有限公司"/>
        <s v="安徽国风新材料股份有限公司"/>
        <s v="北京顺鑫农业股份有限公司"/>
        <s v="广东海印集团股份有限公司"/>
        <s v="宁夏银星能源股份有限公司"/>
        <s v="三湘印象股份有限公司"/>
        <s v="安徽安凯汽车股份有限公司"/>
        <s v="烟台张裕葡萄酿酒股份有限公司"/>
        <s v="吉林电力股份有限公司"/>
        <s v="新希望六和股份有限公司"/>
        <s v="新疆天山水泥股份有限公司"/>
        <s v="云南铜业股份有限公司"/>
        <s v="潍柴重机股份有限公司"/>
        <s v="中广核核技术发展股份有限公司"/>
        <s v="北京华联商厦股份有限公司"/>
        <s v="湖北能源集团股份有限公司"/>
        <s v="城发环境股份有限公司"/>
        <s v="海南高速公路股份有限公司"/>
        <s v="安徽中鼎密封件股份有限公司"/>
        <s v="峨眉山旅游股份有限公司"/>
        <s v="中嘉博创信息技术股份有限公司"/>
        <s v="江苏法尔胜股份有限公司"/>
        <s v="欢瑞世纪联合股份有限公司"/>
        <s v="亚钾国际投资(广州)股份有限公司"/>
        <s v="河南双汇投资发展股份有限公司"/>
        <s v="天津津滨发展股份有限公司"/>
        <s v="鞍钢股份有限公司"/>
        <s v="江西赣能股份有限公司"/>
        <s v="现代投资股份有限公司"/>
        <s v="航天科技控股集团股份有限公司"/>
        <s v="新洋丰农业科技股份有限公司"/>
        <s v="昆明云内动力股份有限公司"/>
        <s v="厦门港务发展股份有限公司"/>
        <s v="浙商中拓集团股份有限公司"/>
        <s v="湖南景峰医药股份有限公司"/>
        <s v="数源科技股份有限公司"/>
        <s v="大亚圣象家居股份有限公司"/>
        <s v="南宁糖业股份有限公司"/>
        <s v="四川泸天化股份有限公司"/>
        <s v="浙江钱江摩托股份有限公司"/>
        <s v="山东华特达因健康股份有限公司"/>
        <s v="湖南电广传媒股份有限公司"/>
        <s v="嘉凯城集团股份有限公司"/>
        <s v="金陵药业股份有限公司"/>
        <s v="沃顿科技股份有限公司"/>
        <s v="海信家电集团股份有限公司"/>
        <s v="哈尔滨电气集团佳木斯电机股份有限公司"/>
        <s v="河钢资源股份有限公司"/>
        <s v="浙江众合科技股份有限公司"/>
        <s v="湖北福星科技股份有限公司"/>
        <s v="中国铁路物资股份有限公司"/>
        <s v="中钢国际工程技术股份有限公司"/>
        <s v="兰州黄河企业股份有限公司"/>
        <s v="中粮生物科技股份有限公司"/>
        <s v="北京中关村科技发展(控股)股份有限公司"/>
        <s v="湖南华菱钢铁股份有限公司"/>
        <s v="河南神火煤电股份有限公司"/>
        <s v="四川和谐双马股份有限公司"/>
        <s v="江苏华西村股份有限公司"/>
        <s v="冀中能源股份有限公司"/>
        <s v="紫光股份有限公司"/>
        <s v="云南南天电子信息产业股份有限公司"/>
        <s v="新乡化纤股份有限公司"/>
        <s v="重药控股股份有限公司"/>
        <s v="中国重汽集团济南卡车股份有限公司"/>
        <s v="湖北广济药业股份有限公司"/>
        <s v="广西河池化工股份有限公司"/>
        <s v="欣龙控股(集团)股份有限公司"/>
        <s v="中通客车股份有限公司"/>
        <s v="国家电投集团产融控股股份有限公司"/>
        <s v="北京首钢股份有限公司"/>
        <s v="云南锡业股份有限公司"/>
        <s v="江苏中南建设集团股份有限公司"/>
        <s v="宁夏东方钽业股份有限公司"/>
        <s v="华东医药股份有限公司"/>
        <s v="天津天保基建股份有限公司"/>
        <s v="国家能源集团长源电力股份有限公司"/>
        <s v="盈峰环境科技集团股份有限公司"/>
        <s v="山西蓝焰控股股份有限公司"/>
        <s v="安泰科技股份有限公司"/>
        <s v="北京中科三环高技术股份有限公司"/>
        <s v="高升控股股份有限公司"/>
        <s v="中基健康产业股份有限公司"/>
        <s v="佛山佛塑科技集团股份有限公司"/>
        <s v="银泰黄金股份有限公司"/>
        <s v="广东华铁通达高铁装备股份有限公司"/>
        <s v="浪潮电子信息产业股份有限公司"/>
        <s v="桂林旅游股份有限公司"/>
        <s v="众泰汽车股份有限公司"/>
        <s v="山子高科技股份有限公司"/>
        <s v="宁夏中银绒业股份有限公司"/>
        <s v="山西焦煤能源集团股份有限公司"/>
        <s v="大庆华科股份有限公司"/>
        <s v="广州越秀资本控股集团股份有限公司"/>
        <s v="华工科技产业股份有限公司"/>
        <s v="九芝堂股份有限公司"/>
        <s v="诚志股份有限公司"/>
        <s v="福建闽东电力股份有限公司"/>
        <s v="甘肃皇台酒业股份有限公司"/>
        <s v="中国中期投资股份有限公司"/>
        <s v="新大陆数字技术股份有限公司"/>
        <s v="袁隆平农业高科技股份有限公司"/>
        <s v="华润三九医药股份有限公司"/>
        <s v="东瑞食品集团股份有限公司"/>
        <s v="广东炬申物流股份有限公司"/>
        <s v="内蒙古大中矿业股份有限公司"/>
        <s v="南京盛航海运股份有限公司"/>
        <s v="天津市依依卫生用品股份有限公司"/>
        <s v="山东联科科技股份有限公司"/>
        <s v="湖南华菱线缆股份有限公司"/>
        <s v="广东洪兴实业股份有限公司"/>
        <s v="北京金房暖通节能技术股份有限公司"/>
        <s v="双枪科技股份有限公司"/>
        <s v="广东中旗新材料股份有限公司"/>
        <s v="中铁特货物流股份有限公司"/>
        <s v="郑州千味央厨食品股份有限公司"/>
        <s v="湖南华联瓷业股份有限公司"/>
        <s v="安徽华尔泰化工股份有限公司"/>
        <s v="湖南丽臣实业股份有限公司"/>
        <s v="青岛食品股份有限公司"/>
        <s v="温州源飞宠物玩具制品股份有限公司"/>
        <s v="欧克科技股份有限公司"/>
        <s v="安徽拓山重工股份有限公司"/>
        <s v="兰州银行股份有限公司"/>
        <s v="永泰运化工物流股份有限公司"/>
        <s v="广东魅视科技股份有限公司"/>
        <s v="劲旅环境科技股份有限公司"/>
        <s v="农心作物科技股份有限公司"/>
        <s v="江苏泰慕士针纺科技股份有限公司"/>
        <s v="弘业期货股份有限公司"/>
        <s v="浙江正特股份有限公司"/>
        <s v="浙江博菲电气股份有限公司"/>
        <s v="浙江炜冈科技股份有限公司"/>
        <s v="新疆立新能源股份有限公司"/>
        <s v="北京利仁科技股份有限公司"/>
        <s v="上海宏英智能科技股份有限公司"/>
        <s v="汇绿生态科技集团股份有限公司"/>
        <s v="广东扬山联合精密制造股份有限公司"/>
        <s v="内蒙古欧晶科技股份有限公司"/>
        <s v="浙江铖昌科技股份有限公司"/>
        <s v="深圳市豪鹏科技股份有限公司"/>
        <s v="四川省自贡运输机械集团股份有限公司"/>
        <s v="龙源电力集团股份有限公司"/>
        <s v="重庆长江造型材料(集团)股份有限公司"/>
        <s v="深圳市好上好信息科技股份有限公司"/>
        <s v="陕西美能清洁能源集团股份有限公司"/>
        <s v="青岛三柏硕健康科技股份有限公司"/>
        <s v="石家庄尚太科技股份有限公司"/>
        <s v="深圳市康冠科技股份有限公司"/>
        <s v="深圳市德明利技术股份有限公司"/>
        <s v="广东粤海饲料集团股份有限公司"/>
        <s v="润贝航空科技股份有限公司"/>
        <s v="三羊马(重庆)物流股份有限公司"/>
        <s v="江西阳光乳业股份有限公司"/>
        <s v="铭科精技控股股份有限公司"/>
        <s v="箭牌家居集团股份有限公司"/>
        <s v="慕思健康睡眠股份有限公司"/>
        <s v="博纳影业集团股份有限公司"/>
        <s v="胜通能源股份有限公司"/>
        <s v="无锡化工装备股份有限公司"/>
        <s v="浙江光华科技股份有限公司"/>
        <s v="杭州楚环科技股份有限公司"/>
        <s v="粤海永顺泰集团股份有限公司"/>
        <s v="深圳市智微智能科技股份有限公司"/>
        <s v="重庆宗申动力机械股份有限公司"/>
        <s v="招商局港口集团股份有限公司"/>
        <s v="河南豫能控股股份有限公司"/>
        <s v="招商局积余产业运营服务股份有限公司"/>
        <s v="招商局公路网络科技控股股份有限公司"/>
        <s v="招商局蛇口工业区控股股份有限公司"/>
        <s v="上海浦东发展银行股份有限公司"/>
        <s v="广州白云国际机场股份有限公司"/>
        <s v="东风汽车股份有限公司"/>
        <s v="中国国际贸易中心股份有限公司"/>
        <s v="北京首创生态环保集团股份有限公司"/>
        <s v="上海国际机场股份有限公司"/>
        <s v="内蒙古包钢钢联股份有限公司"/>
        <s v="华能国际电力股份有限公司"/>
        <s v="安徽皖通高速公路股份有限公司"/>
        <s v="华夏银行股份有限公司"/>
        <s v="中国民生银行股份有限公司"/>
        <s v="日照港股份有限公司"/>
        <s v="上海国际港务(集团)股份有限公司"/>
        <s v="宝山钢铁股份有限公司"/>
        <s v="河南中原高速公路股份有限公司"/>
        <s v="上海电力股份有限公司"/>
        <s v="山东钢铁股份有限公司"/>
        <s v="浙江浙能电力股份有限公司"/>
        <s v="华能澜沧江水电股份有限公司"/>
        <s v="中远海运能源运输股份有限公司"/>
        <s v="华电国际电力股份有限公司"/>
        <s v="中国石油化工股份有限公司"/>
        <s v="中国南方航空股份有限公司"/>
        <s v="中信证券股份有限公司"/>
        <s v="三一重工股份有限公司"/>
        <s v="浙江省新能源投资集团股份有限公司"/>
        <s v="福建发展高速公路股份有限公司"/>
        <s v="湖北楚天智能交通股份有限公司"/>
        <s v="招商银行股份有限公司"/>
        <s v="北京歌华有线电视网络股份有限公司"/>
        <s v="中航直升机股份有限公司"/>
        <s v="四川路桥建设集团股份有限公司"/>
        <s v="保利发展控股集团股份有限公司"/>
        <s v="中国联合网络通信股份有限公司"/>
        <s v="宁波联合集团股份有限公司"/>
        <s v="浙江东望时代科技股份有限公司"/>
        <s v="昆吾九鼎投资控股股份有限公司"/>
        <s v="黄山旅游发展股份有限公司"/>
        <s v="北京万东医疗科技股份有限公司"/>
        <s v="中国医药健康产业股份有限公司"/>
        <s v="厦门象屿股份有限公司"/>
        <s v="五矿发展股份有限公司"/>
        <s v="浙江古越龙山绍兴酒股份有限公司"/>
        <s v="海信视像科技股份有限公司"/>
        <s v="国投资本股份有限公司"/>
        <s v="华润双鹤药业股份有限公司"/>
        <s v="安徽皖维高新材料股份有限公司"/>
        <s v="南京高科股份有限公司"/>
        <s v="宇通客车股份有限公司"/>
        <s v="冠城大通股份有限公司"/>
        <s v="浙江富润数字科技股份有限公司"/>
        <s v="凤凰光学股份有限公司"/>
        <s v="中船科技股份有限公司"/>
        <s v="上海梅林正广和股份有限公司"/>
        <s v="新疆天业股份有限公司"/>
        <s v="康欣新材料股份有限公司"/>
        <s v="宋都基业投资股份有限公司"/>
        <s v="江苏澄星磷化工股份有限公司"/>
        <s v="人福医药集团股份公司"/>
        <s v="金花企业(集团)股份有限公司"/>
        <s v="东风电子科技股份有限公司"/>
        <s v="天津海泰科技发展股份有限公司"/>
        <s v="江苏博信投资控股股份有限公司"/>
        <s v="中信国安葡萄酒业股份有限公司"/>
        <s v="北京同仁堂股份有限公司"/>
        <s v="中视传媒股份有限公司"/>
        <s v="特变电工股份有限公司"/>
        <s v="上海大名城企业股份有限公司"/>
        <s v="湘财股份有限公司"/>
        <s v="云南云天化股份有限公司"/>
        <s v="上海开创国际海洋资源股份有限公司"/>
        <s v="广州发展集团股份有限公司"/>
        <s v="林海股份有限公司"/>
        <s v="同方股份有限公司"/>
        <s v="四川明星电力股份有限公司"/>
        <s v="福建省青山纸业股份有限公司"/>
        <s v="上海汽车集团股份有限公司"/>
        <s v="江苏永鼎股份有限公司"/>
        <s v="重庆路桥股份有限公司"/>
        <s v="湖北美尔雅股份有限公司"/>
        <s v="甘肃亚盛实业(集团)股份有限公司"/>
        <s v="国金证券股份有限公司"/>
        <s v="诺德新材料股份有限公司"/>
        <s v="中国北方稀土(集团)高科技股份有限公司"/>
        <s v="贵州长征天成控股股份有限公司"/>
        <s v="浙江东日股份有限公司"/>
        <s v="东睦新材料集团股份有限公司"/>
        <s v="中国东方航空股份有限公司"/>
        <s v="重庆三峡水利电力(集团)股份有限公司"/>
        <s v="西宁特殊钢股份有限公司"/>
        <s v="中国东方红卫星股份有限公司"/>
        <s v="长发集团长江投资实业股份有限公司"/>
        <s v="浙江东方金融控股集团股份有限公司"/>
        <s v="郑州煤电股份有限公司"/>
        <s v="江苏宏图高科技股份有限公司"/>
        <s v="山西兰花科技创业股份有限公司"/>
        <s v="中铁铁龙集装箱物流股份有限公司"/>
        <s v="杭州钢铁股份有限公司"/>
        <s v="金健米业股份有限公司"/>
        <s v="江苏弘业股份有限公司"/>
        <s v="重庆太极实业(集团)股份有限公司"/>
        <s v="宁波波导股份有限公司"/>
        <s v="国网信息通信股份有限公司"/>
        <s v="重庆啤酒股份有限公司"/>
        <s v="武汉东湖高新集团股份有限公司"/>
        <s v="乐凯胶片股份有限公司"/>
        <s v="武汉当代明诚文化体育集团股份有限公司"/>
        <s v="四川浪莎控股股份有限公司"/>
        <s v="中青旅控股股份有限公司"/>
        <s v="四川西部资源控股股份有限公司"/>
        <s v="湖北兴发化工集团股份有限公司"/>
        <s v="金发科技股份有限公司"/>
        <s v="长春一东离合器股份有限公司"/>
        <s v="廊坊发展股份有限公司"/>
        <s v="中国船舶工业股份有限公司"/>
        <s v="上海航天汽车机电股份有限公司"/>
        <s v="维科技术股份有限公司"/>
        <s v="厦门建发股份有限公司"/>
        <s v="华创阳安股份有限公司"/>
        <s v="湖南华升股份有限公司"/>
        <s v="永泰能源股份有限公司"/>
        <s v="中体产业集团股份有限公司"/>
        <s v="北京市大龙伟业房地产开发股份有限公司"/>
        <s v="浙江巨化股份有限公司"/>
        <s v="北京天坛生物制品股份有限公司"/>
        <s v="深圳香江控股股份有限公司"/>
        <s v="中闽能源股份有限公司"/>
        <s v="宁夏中科生物科技股份有限公司"/>
        <s v="北汽福田汽车股份有限公司"/>
        <s v="联美量子股份有限公司"/>
        <s v="武汉三镇实业控股股份有限公司"/>
        <s v="太原重工股份有限公司"/>
        <s v="上海建工集团股份有限公司"/>
        <s v="上海贝岭股份有限公司"/>
        <s v="河南黄河旋风股份有限公司"/>
        <s v="卧龙地产集团股份有限公司"/>
        <s v="中国巨石股份有限公司"/>
        <s v="雅戈尔集团股份有限公司"/>
        <s v="哈尔滨东安汽车动力股份有限公司"/>
        <s v="安通控股股份有限公司"/>
        <s v="瑞茂通供应链管理股份有限公司"/>
        <s v="佳通轮胎股份有限公司"/>
        <s v="广东生益科技股份有限公司"/>
        <s v="北方光电股份有限公司"/>
        <s v="格力地产股份有限公司"/>
        <s v="莲花健康产业集团股份有限公司"/>
        <s v="黑龙江国中水务股份有限公司"/>
        <s v="兖矿能源集团股份有限公司"/>
        <s v="吉林泉阳泉股份有限公司"/>
        <s v="锦州港股份有限公司"/>
        <s v="包头华资实业股份有限公司"/>
        <s v="兰州长城电工股份有限公司"/>
        <s v="上海创兴资源开发股份有限公司"/>
        <s v="中牧实业股份有限公司"/>
        <s v="上海复星医药(集团)股份有限公司"/>
        <s v="新疆伊力特实业股份有限公司"/>
        <s v="大唐电信科技股份有限公司"/>
        <s v="安徽金种子酒业股份有限公司"/>
        <s v="江苏吴中医药发展股份有限公司"/>
        <s v="金宇生物技术股份有限公司"/>
        <s v="哈尔滨空调股份有限公司"/>
        <s v="福建福日电子股份有限公司"/>
        <s v="有研新材料股份有限公司"/>
        <s v="河南安彩高科股份有限公司"/>
        <s v="新湖中宝股份有限公司"/>
        <s v="上海紫江企业集团股份有限公司"/>
        <s v="西藏诺迪康药业股份有限公司"/>
        <s v="绿能慧充数字能源技术股份有限公司"/>
        <s v="扬州亚星客车股份有限公司"/>
        <s v="派斯林数字科技股份有限公司"/>
        <s v="浙江医药股份有限公司"/>
        <s v="中再资源环境股份有限公司"/>
        <s v="安徽全柴动力股份有限公司"/>
        <s v="山东南山铝业股份有限公司"/>
        <s v="江苏阳光股份有限公司"/>
        <s v="海南航空控股股份有限公司"/>
        <s v="河南太龙药业股份有限公司"/>
        <s v="鲁商健康产业发展股份有限公司"/>
        <s v="天津卓朗信息科技股份有限公司"/>
        <s v="浙江瀚叶股份有限公司"/>
        <s v="贵州圣济堂医药产业股份有限公司"/>
        <s v="返利网数字科技股份有限公司"/>
        <s v="青岛城市传媒股份有限公司"/>
        <s v="沧州大化股份有限公司"/>
        <s v="凌源钢铁股份有限公司"/>
        <s v="浙江金鹰股份有限公司"/>
        <s v="圆通速递股份有限公司"/>
        <s v="山西科新发展股份有限公司"/>
        <s v="民丰特种纸股份有限公司"/>
        <s v="广西桂冠电力股份有限公司"/>
        <s v="安徽铜峰电子股份有限公司"/>
        <s v="海南椰岛(集团)股份有限公司"/>
        <s v="云南城投置业股份有限公司"/>
        <s v="辽宁时代万恒股份有限公司"/>
        <s v="中昌大数据股份有限公司"/>
        <s v="青海华鼎实业股份有限公司"/>
        <s v="北京万通新发展集团股份有限公司"/>
        <s v="陕西建工集团股份有限公司"/>
        <s v="柳州两面针股份有限公司"/>
        <s v="南京纺织品进出口股份有限公司"/>
        <s v="新疆冠农果茸股份有限公司"/>
        <s v="广西梧州中恒集团股份有限公司"/>
        <s v="安徽鑫科新材料股份有限公司"/>
        <s v="广汇能源股份有限公司"/>
        <s v="大湖水殖股份有限公司"/>
        <s v="北京首旅酒店(集团)股份有限公司"/>
        <s v="广晟有色金属股份有限公司"/>
        <s v="湖北凯乐科技股份有限公司"/>
        <s v="浙江阳光照明电器集团股份有限公司"/>
        <s v="内蒙古北方重型汽车股份有限公司"/>
        <s v="云南景谷林业股份有限公司"/>
        <s v="北京城建投资发展股份有限公司"/>
        <s v="浙江海正药业股份有限公司"/>
        <s v="国电南京自动化股份有限公司"/>
        <s v="江西赣粤高速公路股份有限公司"/>
        <s v="航天信息股份有限公司"/>
        <s v="上海开开实业股份有限公司"/>
        <s v="浙江嘉化能源化工股份有限公司"/>
        <s v="江苏恒瑞医药股份有限公司"/>
        <s v="亿利洁能股份有限公司"/>
        <s v="东方国际创业股份有限公司"/>
        <s v="重庆港股份有限公司"/>
        <s v="南京中央商场(集团)股份有限公司"/>
        <s v="山西华阳新材料股份有限公司"/>
        <s v="南京钢铁股份有限公司"/>
        <s v="钱江水利开发股份有限公司"/>
        <s v="上海浦东建设股份有限公司"/>
        <s v="河南羚锐制药股份有限公司"/>
        <s v="江苏舜天股份有限公司"/>
        <s v="大恒新纪元科技股份有限公司"/>
        <s v="亿阳信通股份有限公司"/>
        <s v="华仪电气股份有限公司"/>
        <s v="国家电投集团远达环保股份有限公司"/>
        <s v="湖北三峡新型建材股份有限公司"/>
        <s v="内蒙古鄂尔多斯资源股份有限公司"/>
        <s v="广汇汽车服务集团股份公司"/>
        <s v="安琪酵母股份有限公司"/>
        <s v="蓝星安迪苏股份有限公司"/>
        <s v="维维食品饮料股份有限公司"/>
        <s v="南宁化工股份有限公司"/>
        <s v="西安标准工业股份有限公司"/>
        <s v="辽宁曙光汽车集团股份有限公司"/>
        <s v="江苏恒顺醋业股份有限公司"/>
        <s v="沈阳商业城股份有限公司"/>
        <s v="甘肃酒钢集团宏兴钢铁股份有限公司"/>
        <s v="山东华泰纸业股份有限公司"/>
        <s v="万华化学集团股份有限公司"/>
        <s v="广西桂东电力股份有限公司"/>
        <s v="甘肃荣华实业(集团)股份有限公司"/>
        <s v="河南平高电气股份有限公司"/>
        <s v="中农发种业集团股份有限公司"/>
        <s v="上海家化联合股份有限公司"/>
        <s v="江西洪都航空工业股份有限公司"/>
        <s v="安徽新力金融股份有限公司"/>
        <s v="潍坊亚星化学股份有限公司"/>
        <s v="上海振华重工(集团)股份有限公司"/>
        <s v="正源控股股份有限公司"/>
        <s v="天津市房地产发展(集团)股份有限公司"/>
        <s v="瀚蓝环境股份有限公司"/>
        <s v="珠海华发实业股份有限公司"/>
        <s v="西藏天路股份有限公司"/>
        <s v="无锡商业大厦大东方股份有限公司"/>
        <s v="中盐内蒙古化工股份有限公司"/>
        <s v="津药达仁堂集团股份有限公司"/>
        <s v="天通控股股份有限公司"/>
        <s v="四川宏达股份有限公司"/>
        <s v="广州白云山医药集团股份有限公司"/>
        <s v="长春燃气股份有限公司"/>
        <s v="国机汽车股份有限公司"/>
        <s v="澳柯玛股份有限公司"/>
        <s v="美克国际家居用品股份有限公司"/>
        <s v="西藏珠峰资源股份有限公司"/>
        <s v="中国石油集团工程股份有限公司"/>
        <s v="华夏幸福基业股份有限公司"/>
        <s v="陕西航天动力高科技股份有限公司"/>
        <s v="武汉长江通信产业集团股份有限公司"/>
        <s v="恒力石化股份有限公司"/>
        <s v="山西华阳集团新能股份有限公司"/>
        <s v="山东高速股份有限公司"/>
        <s v="亚宝药业集团股份有限公司"/>
        <s v="浙江龙盛集团股份有限公司"/>
        <s v="成都旭光电子股份有限公司"/>
        <s v="甘肃省敦煌种业集团股份有限公司"/>
        <s v="精伦电子股份有限公司"/>
        <s v="牡丹江恒丰纸业股份有限公司"/>
        <s v="国旅文化投资集团股份有限公司"/>
        <s v="新疆塔里木农业综合开发股份有限公司"/>
        <s v="吉林华微电子股份有限公司"/>
        <s v="创新新材料科技股份有限公司"/>
        <s v="江西铜业股份有限公司"/>
        <s v="江西联创光电科技股份有限公司"/>
        <s v="通化葡萄酒股份有限公司"/>
        <s v="宁波韵升股份有限公司"/>
        <s v="贵州红星发展股份有限公司"/>
        <s v="广西五洲交通股份有限公司"/>
        <s v="西南证券股份有限公司"/>
        <s v="江苏三房巷聚材股份有限公司"/>
        <s v="万向德农股份有限公司"/>
        <s v="中航航空电子系统股份有限公司"/>
        <s v="中文天地出版传媒集团股份有限公司"/>
        <s v="汉马科技集团股份有限公司"/>
        <s v="北京首都开发股份有限公司"/>
        <s v="江苏宁沪高速公路股份有限公司"/>
        <s v="昊华化工科技集团股份有限公司"/>
        <s v="陕西宝光真空电器股份有限公司"/>
        <s v="健康元药业集团股份有限公司"/>
        <s v="青海春天药用资源科技股份有限公司"/>
        <s v="广东明珠集团股份有限公司"/>
        <s v="金地(集团)股份有限公司"/>
        <s v="北京巴士传媒股份有限公司"/>
        <s v="海越能源集团股份有限公司"/>
        <s v="福建龙净环保股份有限公司"/>
        <s v="南通江山农药化工股份有限公司"/>
        <s v="五矿资本股份有限公司"/>
        <s v="中国航发航空科技股份有限公司"/>
        <s v="盛和资源控股股份有限公司"/>
        <s v="广州粤泰集团股份有限公司"/>
        <s v="贵州盘江精煤股份有限公司"/>
        <s v="沈阳金山能源股份有限公司"/>
        <s v="安源煤业集团股份有限公司"/>
        <s v="海澜之家集团股份有限公司"/>
        <s v="抚顺特殊钢股份有限公司"/>
        <s v="江苏红豆实业股份有限公司"/>
        <s v="河南大有能源股份有限公司"/>
        <s v="北京动力源科技股份有限公司"/>
        <s v="国电南瑞科技股份有限公司"/>
        <s v="山西安泰集团股份有限公司"/>
        <s v="唐山三友化工股份有限公司"/>
        <s v="北京华胜天成科技股份有限公司"/>
        <s v="浙江中国小商品城集团股份有限公司"/>
        <s v="湘潭电机股份有限公司"/>
        <s v="安徽江淮汽车集团股份有限公司"/>
        <s v="新疆天润乳业股份有限公司"/>
        <s v="上海现代制药股份有限公司"/>
        <s v="湖北华嵘控股股份有限公司"/>
        <s v="昆药集团股份有限公司"/>
        <s v="柳州化工股份有限公司"/>
        <s v="新疆青松建材化工(集团)股份有限公司"/>
        <s v="山东华鲁恒升化工股份有限公司"/>
        <s v="中远海运特种运输股份有限公司"/>
        <s v="北京三元食品股份有限公司"/>
        <s v="广东冠豪高新技术股份有限公司"/>
        <s v="北方导航控制技术股份有限公司"/>
        <s v="漳州片仔癀药业股份有限公司"/>
        <s v="通威股份有限公司"/>
        <s v="河南瑞贝卡发制品股份有限公司"/>
        <s v="国机通用机械科技股份有限公司"/>
        <s v="深圳市金证科技股份有限公司"/>
        <s v="华纺股份有限公司"/>
        <s v="宁夏建材集团股份有限公司"/>
        <s v="重庆涪陵电力实业股份有限公司"/>
        <s v="西安博通资讯股份有限公司"/>
        <s v="宝鸡钛业股份有限公司"/>
        <s v="株洲时代新材料科技股份有限公司"/>
        <s v="贵研铂业股份有限公司"/>
        <s v="杭州士兰微电子股份有限公司"/>
        <s v="江西洪城环境股份有限公司"/>
        <s v="湖北九有投资股份有限公司"/>
        <s v="北京空港科技园区股份有限公司"/>
        <s v="四川蓝光发展股份有限公司"/>
        <s v="山东好当家海洋发展股份有限公司"/>
        <s v="天津百利特精电气股份有限公司"/>
        <s v="风神轮胎股份有限公司"/>
        <s v="安徽六国化工股份有限公司"/>
        <s v="无锡华光环保能源集团股份有限公司"/>
        <s v="湖南湘邮科技股份有限公司"/>
        <s v="杭萧钢构股份有限公司"/>
        <s v="湖南科力远新能源股份有限公司"/>
        <s v="株洲千金药业股份有限公司"/>
        <s v="凌云工业股份有限公司"/>
        <s v="双良节能系统股份有限公司"/>
        <s v="中国船舶重工集团动力股份有限公司"/>
        <s v="福建福能股份有限公司"/>
        <s v="江苏扬农化工股份有限公司"/>
        <s v="江苏亨通光电股份有限公司"/>
        <s v="津药药业股份有限公司"/>
        <s v="中金黄金股份有限公司"/>
        <s v="鹏欣环球资源股份有限公司"/>
        <s v="龙元建设集团股份有限公司"/>
        <s v="福建凤竹纺织科技股份有限公司"/>
        <s v="晋西车轴股份有限公司"/>
        <s v="长江精工钢结构(集团)股份有限公司"/>
        <s v="云南驰宏锌锗股份有限公司"/>
        <s v="烽火通信科技股份有限公司"/>
        <s v="科达制造股份有限公司"/>
        <s v="中化国际(控股)股份有限公司"/>
        <s v="航天晨光股份有限公司"/>
        <s v="安徽建工集团股份有限公司"/>
        <s v="华丽家族股份有限公司"/>
        <s v="四川西昌电力股份有限公司"/>
        <s v="新疆库尔勒香梨股份有限公司"/>
        <s v="方大特钢科技股份有限公司"/>
        <s v="上海大屯能源股份有限公司"/>
        <s v="新疆天富能源股份有限公司"/>
        <s v="黑牡丹(集团)股份有限公司"/>
        <s v="国药集团药业股份有限公司"/>
        <s v="腾达建设集团股份有限公司"/>
        <s v="江苏联环药业股份有限公司"/>
        <s v="海南机场设施股份有限公司"/>
        <s v="方大炭素新材料科技股份有限公司"/>
        <s v="国网英大股份有限公司"/>
        <s v="康美药业股份有限公司"/>
        <s v="贵州茅台酒股份有限公司"/>
        <s v="文一三佳科技股份有限公司"/>
        <s v="浙江华海药业股份有限公司"/>
        <s v="江苏中天科技股份有限公司"/>
        <s v="贵州贵航汽车零部件股份有限公司"/>
        <s v="长园科技集团股份有限公司"/>
        <s v="浙江菲达环保科技股份有限公司"/>
        <s v="江苏江南高纤股份有限公司"/>
        <s v="中铁高新工业股份有限公司"/>
        <s v="山东省药用玻璃股份有限公司"/>
        <s v="上海交大昂立股份有限公司"/>
        <s v="河南豫光金铅股份有限公司"/>
        <s v="上海智汇未来医疗服务股份有限公司"/>
        <s v="南京栖霞建设股份有限公司"/>
        <s v="天士力医药集团股份有限公司"/>
        <s v="中国软件与技术服务股份有限公司"/>
        <s v="亿晶光电科技股份有限公司"/>
        <s v="北海国发川山生物股份有限公司"/>
        <s v="狮头科技发展股份有限公司"/>
        <s v="新疆赛里木现代农业股份有限公司"/>
        <s v="甘肃莫高实业发展股份有限公司"/>
        <s v="卓郎智能技术股份有限公司"/>
        <s v="山煤国际能源集团股份有限公司"/>
        <s v="山东黄金矿业股份有限公司"/>
        <s v="深圳高速公路集团股份有限公司"/>
        <s v="厦门钨业股份有限公司"/>
        <s v="保定天威保变电气股份有限公司"/>
        <s v="时代出版传媒股份有限公司"/>
        <s v="凯盛科技股份有限公司"/>
        <s v="天下秀数字科技(集团)股份有限公司"/>
        <s v="江苏康缘药业股份有限公司"/>
        <s v="四川大西洋焊接材料股份有限公司"/>
        <s v="河北衡水老白干酒业股份有限公司"/>
        <s v="北京金自天正智能控制股份有限公司"/>
        <s v="江西长运股份有限公司"/>
        <s v="国睿科技股份有限公司"/>
        <s v="厦门法拉电子股份有限公司"/>
        <s v="重庆市迪马实业股份有限公司"/>
        <s v="湖北济川药业股份有限公司"/>
        <s v="山鹰国际控股股份公司"/>
        <s v="中珠医疗控股股份有限公司"/>
        <s v="安阳钢铁股份有限公司"/>
        <s v="恒生电子股份有限公司"/>
        <s v="信雅达科技股份有限公司"/>
        <s v="浙江康恩贝制药股份有限公司"/>
        <s v="福建省燕京惠泉啤酒股份有限公司"/>
        <s v="淮河能源(集团)股份有限公司"/>
        <s v="浙江祥源文旅股份有限公司"/>
        <s v="铜陵精达特种电磁线股份有限公司"/>
        <s v="北京京能电力股份有限公司"/>
        <s v="克劳斯玛菲股份有限公司"/>
        <s v="卧龙电气驱动集团股份有限公司"/>
        <s v="新疆八一钢铁股份有限公司"/>
        <s v="天地科技股份有限公司"/>
        <s v="海洋石油工程股份有限公司"/>
        <s v="江苏长电科技股份有限公司"/>
        <s v="安徽海螺水泥股份有限公司"/>
        <s v="山东金晶科技股份有限公司"/>
        <s v="山东新华医疗器械股份有限公司"/>
        <s v="用友网络科技股份有限公司"/>
        <s v="广东榕泰实业股份有限公司"/>
        <s v="泰豪科技股份有限公司"/>
        <s v="福建龙溪轴承(集团)股份有限公司"/>
        <s v="大连圣亚旅游控股股份有限公司"/>
        <s v="贵州益佰制药股份有限公司"/>
        <s v="河南中孚实业股份有限公司"/>
        <s v="浙江新安化工集团股份有限公司"/>
        <s v="光明乳业股份有限公司"/>
        <s v="黑龙江北大荒农业股份有限公司"/>
        <s v="熊猫金控股份有限公司"/>
        <s v="青岛啤酒股份有限公司"/>
        <s v="方正科技集团股份有限公司"/>
        <s v="云赛智联股份有限公司"/>
        <s v="广汇物流股份有限公司"/>
        <s v="上海市北高新股份有限公司"/>
        <s v="上海汇通能源股份有限公司"/>
        <s v="绿地控股集团股份有限公司"/>
        <s v="上海宽频科技股份有限公司"/>
        <s v="金杯汽车股份有限公司"/>
        <s v="贵州中毅达股份有限公司"/>
        <s v="大众交通(集团)股份有限公司"/>
        <s v="老凤祥股份有限公司"/>
        <s v="上海神奇制药投资管理股份有限公司"/>
        <s v="重庆丰华(集团)股份有限公司"/>
        <s v="上海金枫酒业股份有限公司"/>
        <s v="山西省国新能源股份有限公司"/>
        <s v="上海氯碱化工股份有限公司"/>
        <s v="上海海立(集团)股份有限公司"/>
        <s v="上海市天宸股份有限公司"/>
        <s v="上海华鑫股份有限公司"/>
        <s v="光大嘉宝股份有限公司"/>
        <s v="上海华谊集团股份有限公司"/>
        <s v="上海复旦复华科技股份有限公司"/>
        <s v="上海申达股份有限公司"/>
        <s v="上海新世界股份有限公司"/>
        <s v="华东建筑集团股份有限公司"/>
        <s v="上海龙头(集团)股份有限公司"/>
        <s v="浙报数字文化集团股份有限公司"/>
        <s v="上海大众公用事业(集团)股份有限公司"/>
        <s v="国新文化控股股份有限公司"/>
        <s v="东方明珠新媒体股份有限公司"/>
        <s v="上海新黄浦实业集团股份有限公司"/>
        <s v="上海金桥出口加工区开发股份有限公司"/>
        <s v="新国脉数字文化股份有限公司"/>
        <s v="上海万业企业股份有限公司"/>
        <s v="申能股份有限公司"/>
        <s v="上海爱建集团股份有限公司"/>
        <s v="乐山电力股份有限公司"/>
        <s v="中源协和细胞基因工程股份有限公司"/>
        <s v="上海同达创业投资股份有限公司"/>
        <s v="上海外高桥集团股份有限公司"/>
        <s v="上海城投控股股份有限公司"/>
        <s v="上海锦江在线网络服务股份有限公司"/>
        <s v="上海飞乐音响股份有限公司"/>
        <s v="辽宁申华控股股份有限公司"/>
        <s v="中安科股份有限公司"/>
        <s v="上海豫园旅游商城(集团)股份有限公司"/>
        <s v="信达地产股份有限公司"/>
        <s v="北京电子城高科技集团股份有限公司"/>
        <s v="福耀玻璃工业集团股份有限公司"/>
        <s v="上海新南洋昂立教育科技股份有限公司"/>
        <s v="上海外服控股集团股份有限公司"/>
        <s v="上海陆家嘴金融贸易区开发股份有限公司"/>
        <s v="哈药集团股份有限公司"/>
        <s v="天地源股份有限公司"/>
        <s v="奥瑞德光电股份有限公司"/>
        <s v="无锡市太极实业股份有限公司"/>
        <s v="浙江尖峰集团股份有限公司"/>
        <s v="杭州天目山药业股份有限公司"/>
        <s v="广东东阳光科技控股股份有限公司"/>
        <s v="四川川投能源股份有限公司"/>
        <s v="中华企业股份有限公司"/>
        <s v="上海交运集团股份有限公司"/>
        <s v="四川金顶(集团)股份有限公司"/>
        <s v="上海凤凰企业(集团)股份有限公司"/>
        <s v="百川能源股份有限公司"/>
        <s v="南京新街口百货商店股份有限公司"/>
        <s v="京投发展股份有限公司"/>
        <s v="广州珠江发展集团股份有限公司"/>
        <s v="中船海洋与防务装备股份有限公司"/>
        <s v="厦门金龙汽车集团股份有限公司"/>
        <s v="中国石化上海石油化工股份有限公司"/>
        <s v="上海三毛企业(集团)股份有限公司"/>
        <s v="海尔智家股份有限公司"/>
        <s v="阳煤化工股份有限公司"/>
        <s v="上海亚通股份有限公司"/>
        <s v="福建东百集团股份有限公司"/>
        <s v="大商股份有限公司"/>
        <s v="上海贵酒股份有限公司"/>
        <s v="长春欧亚集团股份有限公司"/>
        <s v="湖南天雁机械股份有限公司"/>
        <s v="宁波均胜电子股份有限公司"/>
        <s v="舍得酒业股份有限公司"/>
        <s v="三安光电股份有限公司"/>
        <s v="物产中大集团股份有限公司"/>
        <s v="中航工业产融控股股份有限公司"/>
        <s v="西安曲江文化旅游股份有限公司"/>
        <s v="彩虹显示器件股份有限公司"/>
        <s v="光明房地产集团股份有限公司"/>
        <s v="苏美达股份有限公司"/>
        <s v="盛屯矿业集团股份有限公司"/>
        <s v="南宁百货大楼股份有限公司"/>
        <s v="南京医药股份有限公司"/>
        <s v="青海金瑞矿业发展股份有限公司"/>
        <s v="文投控股股份有限公司"/>
        <s v="江苏凤凰置业投资股份有限公司"/>
        <s v="天津港股份有限公司"/>
        <s v="东软集团股份有限公司"/>
        <s v="大连热电股份有限公司"/>
        <s v="甘肃祁连山水泥集团股份有限公司"/>
        <s v="新疆百花村医药集团股份有限公司"/>
        <s v="河北金牛化工股份有限公司"/>
        <s v="宁波富达股份有限公司"/>
        <s v="云南云维股份有限公司"/>
        <s v="华电能源股份有限公司"/>
        <s v="山东鲁北化工股份有限公司"/>
        <s v="佳都科技集团股份有限公司"/>
        <s v="重庆百货大楼股份有限公司"/>
        <s v="中国高科集团股份有限公司"/>
        <s v="湖南海利化工股份有限公司"/>
        <s v="上海爱旭新能源股份有限公司"/>
        <s v="北汽蓝谷新能源科技股份有限公司"/>
        <s v="福建实达集团股份有限公司"/>
        <s v="山东新华锦国际股份有限公司"/>
        <s v="苏州新区高新技术产业股份有限公司"/>
        <s v="中粮糖业控股股份有限公司"/>
        <s v="兰州丽尚国潮实业集团股份有限公司"/>
        <s v="辽宁成大股份有限公司"/>
        <s v="山西焦化股份有限公司"/>
        <s v="华域汽车系统股份有限公司"/>
        <s v="长春一汽富维汽车零部件股份有限公司"/>
        <s v="华远地产股份有限公司"/>
        <s v="大唐华银电力股份有限公司"/>
        <s v="闻泰科技股份有限公司"/>
        <s v="江苏索普化工股份有限公司"/>
        <s v="上海实业发展股份有限公司"/>
        <s v="西藏旅游股份有限公司"/>
        <s v="江中药业股份有限公司"/>
        <s v="海航科技股份有限公司"/>
        <s v="福建东方银星投资股份有限公司"/>
        <s v="上海锦江国际酒店股份有限公司"/>
        <s v="厦门国贸集团股份有限公司"/>
        <s v="浪潮软件股份有限公司"/>
        <s v="长江出版传媒股份有限公司"/>
        <s v="辽宁能源煤电产业股份有限公司"/>
        <s v="洲际油气股份有限公司"/>
        <s v="中航沈飞股份有限公司"/>
        <s v="安徽合力股份有限公司"/>
        <s v="通策医疗股份有限公司"/>
        <s v="中国船舶重工集团海洋防务与信息对抗股份有限公司"/>
        <s v="中航重机股份有限公司"/>
        <s v="烟台园城黄金股份有限公司"/>
        <s v="运盛(成都)医疗科技股份有限公司"/>
        <s v="宁波富邦精业集团股份有限公司"/>
        <s v="武汉祥龙电业股份有限公司"/>
        <s v="江苏综艺股份有限公司"/>
        <s v="广誉远中药股份有限公司"/>
        <s v="西藏城市发展投资股份有限公司"/>
        <s v="汉商集团股份有限公司"/>
        <s v="南京熊猫电子股份有限公司"/>
        <s v="东方通信股份有限公司"/>
        <s v="山东新潮能源股份有限公司"/>
        <s v="新疆友好(集团)股份有限公司"/>
        <s v="四川水井坊股份有限公司"/>
        <s v="山西通宝能源股份有限公司"/>
        <s v="辅仁药业集团制药股份有限公司"/>
        <s v="新余钢铁股份有限公司"/>
        <s v="鲁信创业投资集团股份有限公司"/>
        <s v="鲁银投资集团股份有限公司"/>
        <s v="银川新华百货商业集团股份有限公司"/>
        <s v="中储发展股份有限公司"/>
        <s v="山东鲁抗医药股份有限公司"/>
        <s v="浙江中国轻纺城集团股份有限公司"/>
        <s v="京能置业股份有限公司"/>
        <s v="云南煤业能源股份有限公司"/>
        <s v="宜宾纸业股份有限公司"/>
        <s v="张家港保税科技(集团)股份有限公司"/>
        <s v="国电电力发展股份有限公司"/>
        <s v="浙江钱江生物化学股份有限公司"/>
        <s v="浙大网新科技股份有限公司"/>
        <s v="宁波海运股份有限公司"/>
        <s v="天津渤海化学股份有限公司"/>
        <s v="华新水泥股份有限公司"/>
        <s v="福建水泥股份有限公司"/>
        <s v="新奥天然气股份有限公司"/>
        <s v="鹏博士电信传媒集团股份有限公司"/>
        <s v="江苏悦达投资股份有限公司"/>
        <s v="济南高新发展股份有限公司"/>
        <s v="马鞍山钢铁股份有限公司"/>
        <s v="山西杏花村汾酒厂股份有限公司"/>
        <s v="神马实业股份有限公司"/>
        <s v="东方集团股份有限公司"/>
        <s v="华北制药股份有限公司"/>
        <s v="杭州解百集团股份有限公司"/>
        <s v="厦门厦工机械股份有限公司"/>
        <s v="安信信托股份有限公司"/>
        <s v="宇通重工股份有限公司"/>
        <s v="中路股份有限公司"/>
        <s v="上海耀皮玻璃集团股份有限公司"/>
        <s v="上海隧道工程股份有限公司"/>
        <s v="金开新能源股份有限公司"/>
        <s v="上海物资贸易股份有限公司"/>
        <s v="上海世茂股份有限公司"/>
        <s v="上海益民商业集团股份有限公司"/>
        <s v="上海新华传媒股份有限公司"/>
        <s v="东浩兰生会展集团股份有限公司"/>
        <s v="上海百联集团股份有限公司"/>
        <s v="茂业商业股份有限公司"/>
        <s v="哈药集团人民同泰医药股份有限公司"/>
        <s v="香溢融通控股集团股份有限公司"/>
        <s v="陕西广电网络传媒(集团)股份有限公司"/>
        <s v="上海第一医药股份有限公司"/>
        <s v="上海申通地铁股份有限公司"/>
        <s v="上海机电股份有限公司"/>
        <s v="上海易连实业集团股份有限公司"/>
        <s v="海通证券股份有限公司"/>
        <s v="上海九百股份有限公司"/>
        <s v="四川长虹电器股份有限公司"/>
        <s v="上海新动力汽车科技股份有限公司"/>
        <s v="上工申贝(集团)股份有限公司"/>
        <s v="丹化化工科技股份有限公司"/>
        <s v="上海宝信软件股份有限公司"/>
        <s v="上海同济科技实业股份有限公司"/>
        <s v="重庆万里新能源股份有限公司"/>
        <s v="上海临港控股股份有限公司"/>
        <s v="中电科数字技术股份有限公司"/>
        <s v="上海海欣集团股份有限公司"/>
        <s v="龙建路桥股份有限公司"/>
        <s v="江苏春兰制冷设备股份有限公司"/>
        <s v="北京航天长峰股份有限公司"/>
        <s v="宁波中百股份有限公司"/>
        <s v="银座集团股份有限公司"/>
        <s v="王府井集团股份有限公司"/>
        <s v="北京京城机电股份有限公司"/>
        <s v="北京城乡商业(集团)股份有限公司"/>
        <s v="中航航空高科技股份有限公司"/>
        <s v="内蒙古蒙电华能热电股份有限公司"/>
        <s v="哈尔滨哈投投资股份有限公司"/>
        <s v="百大集团股份有限公司"/>
        <s v="广东肇庆星湖生物科技股份有限公司"/>
        <s v="通化东宝药业股份有限公司"/>
        <s v="广东梅雁吉祥水电股份有限公司"/>
        <s v="远东智慧能源股份有限公司"/>
        <s v="中石化石油工程技术服务股份有限公司"/>
        <s v="中炬高新技术实业(集团)股份有限公司"/>
        <s v="梅花生物科技集团股份有限公司"/>
        <s v="天津创业环保集团股份有限公司"/>
        <s v="东方电气股份有限公司"/>
        <s v="洛阳玻璃股份有限公司"/>
        <s v="中电科声光电科技股份有限公司"/>
        <s v="航天时代电子技术股份有限公司"/>
        <s v="成都博瑞传播股份有限公司"/>
        <s v="吉林亚泰(集团)股份有限公司"/>
        <s v="上海妙可蓝多食品科技股份有限公司"/>
        <s v="云南博闻科技实业股份有限公司"/>
        <s v="宁波杉杉股份有限公司"/>
        <s v="宏发科技股份有限公司"/>
        <s v="国投电力控股股份有限公司"/>
        <s v="内蒙古伊利实业集团股份有限公司"/>
        <s v="新疆众和股份有限公司"/>
        <s v="南京化纤股份有限公司"/>
        <s v="大晟时代文化投资股份有限公司"/>
        <s v="中国航发动力股份有限公司"/>
        <s v="广州广日股份有限公司"/>
        <s v="上海张江高科技园区开发股份有限公司"/>
        <s v="元翔(厦门)国际航空港股份有限公司"/>
        <s v="国美通讯设备股份有限公司"/>
        <s v="中国长江电力股份有限公司"/>
        <s v="江苏金融租赁股份有限公司"/>
        <s v="贵州燃气集团股份有限公司"/>
        <s v="中国三峡新能源(集团)股份有限公司"/>
        <s v="财达证券股份有限公司"/>
        <s v="无锡农村商业银行股份有限公司"/>
        <s v="华安证券股份有限公司"/>
        <s v="中国黄金集团黄金珠宝股份有限公司"/>
        <s v="重庆燃气集团股份有限公司"/>
        <s v="中泰证券股份有限公司"/>
        <s v="江苏银行股份有限公司"/>
        <s v="杭州银行股份有限公司"/>
        <s v="永安期货股份有限公司"/>
        <s v="西安银行股份有限公司"/>
        <s v="雪天盐业集团股份有限公司"/>
        <s v="爱柯迪股份有限公司"/>
        <s v="安徽华塑股份有限公司"/>
        <s v="广西广播电视信息网络股份有限公司"/>
        <s v="中国海洋石油有限公司"/>
        <s v="重庆建工集团股份有限公司"/>
        <s v="中国移动有限公司"/>
        <s v="利华益维远化学股份有限公司"/>
        <s v="新天绿色能源股份有限公司"/>
        <s v="东方证券股份有限公司"/>
        <s v="江苏省广电有线信息网络股份有限公司"/>
        <s v="渤海汽车系统股份有限公司"/>
        <s v="株洲冶炼集团股份有限公司"/>
        <s v="国投中鲁果汁股份有限公司"/>
        <s v="岳阳林纸股份有限公司"/>
        <s v="河北福成五丰食品股份有限公司"/>
        <s v="山东博汇纸业股份有限公司"/>
        <s v="内蒙古第一机械集团股份有限公司"/>
        <s v="中海油能源发展股份有限公司"/>
        <s v="湖南郴电国际发展股份有限公司"/>
        <s v="中国中材国际工程股份有限公司"/>
        <s v="安徽恒源煤电股份有限公司"/>
        <s v="宝胜科技创新股份有限公司"/>
        <s v="湖南新五丰股份有限公司"/>
        <s v="健民药业集团股份有限公司"/>
        <s v="中国电影股份有限公司"/>
        <s v="四川广安爱众股份有限公司"/>
        <s v="北矿科技股份有限公司"/>
        <s v="江苏汇鸿国际集团股份有限公司"/>
        <s v="宁波能源集团股份有限公司"/>
        <s v="惠而浦(中国)股份有限公司"/>
        <s v="陕西建设机械股份有限公司"/>
        <s v="淮北矿业控股股份有限公司"/>
        <s v="浙文互联集团股份有限公司"/>
        <s v="浙江航民股份有限公司"/>
        <s v="赤峰吉隆黄金矿业股份有限公司"/>
        <s v="宁夏宝丰能源集团股份有限公司"/>
        <s v="四创电子股份有限公司"/>
        <s v="贵州钢绳股份有限公司"/>
        <s v="马应龙药业集团股份有限公司"/>
        <s v="南方电网储能股份有限公司"/>
        <s v="贵州省广播电视信息网络股份有限公司"/>
        <s v="开滦能源化工股份有限公司"/>
        <s v="九州通医药集团股份有限公司"/>
        <s v="招商证券股份有限公司"/>
        <s v="唐山港集团股份有限公司"/>
        <s v="晋能控股山西煤业股份有限公司"/>
        <s v="晋亿实业股份有限公司"/>
        <s v="柳州钢铁股份有限公司"/>
        <s v="重庆钢铁股份有限公司"/>
        <s v="大秦铁路股份有限公司"/>
        <s v="金陵饭店股份有限公司"/>
        <s v="江苏连云港港口股份有限公司"/>
        <s v="南京银行股份有限公司"/>
        <s v="文峰大世界连锁发展股份有限公司"/>
        <s v="宝泰隆新材料股份有限公司"/>
        <s v="隆基绿能科技股份有限公司"/>
        <s v="陕西黑猫焦化股份有限公司"/>
        <s v="中节能风力发电股份有限公司"/>
        <s v="宁波舟山港股份有限公司"/>
        <s v="山东出版传媒股份有限公司"/>
        <s v="西藏华钰矿业股份有限公司"/>
        <s v="春秋航空股份有限公司"/>
        <s v="宁波远洋运输股份有限公司"/>
        <s v="山东玉龙黄金股份有限公司"/>
        <s v="第一拖拉机股份有限公司"/>
        <s v="赛轮集团股份有限公司"/>
        <s v="中信建投证券股份有限公司"/>
        <s v="中铝国际工程股份有限公司"/>
        <s v="西部黄金股份有限公司"/>
        <s v="重庆农村商业银行股份有限公司"/>
        <s v="甘肃国芳工贸(集团)股份有限公司"/>
        <s v="中国神华能源股份有限公司"/>
        <s v="北京福元医药股份有限公司"/>
        <s v="中南出版传媒集团股份有限公司"/>
        <s v="太平洋证券股份有限公司"/>
        <s v="江苏恒立液压股份有限公司"/>
        <s v="北京昊华能源股份有限公司"/>
        <s v="中国第一重型机械股份公司"/>
        <s v="四川成渝高速公路股份有限公司"/>
        <s v="财通证券股份有限公司"/>
        <s v="中国国际航空股份有限公司"/>
        <s v="义乌华鼎锦纶股份有限公司"/>
        <s v="三江购物俱乐部股份有限公司"/>
        <s v="中国化学工程股份有限公司"/>
        <s v="海南天然橡胶产业集团股份有限公司"/>
        <s v="北京四方继保自动化股份有限公司"/>
        <s v="赛力斯集团股份有限公司"/>
        <s v="江苏常熟农村商业银行股份有限公司"/>
        <s v="首创证券股份有限公司"/>
        <s v="宁波博威合金材料股份有限公司"/>
        <s v="富士康工业互联网股份有限公司"/>
        <s v="深圳市燃气集团股份有限公司"/>
        <s v="新城控股集团股份有限公司"/>
        <s v="东方航空物流股份有限公司"/>
        <s v="重庆水务集团股份有限公司"/>
        <s v="天风证券股份有限公司"/>
        <s v="三角轮胎股份有限公司"/>
        <s v="兴业银行股份有限公司"/>
        <s v="西部矿业股份有限公司"/>
        <s v="北京银行股份有限公司"/>
        <s v="杭州前进齿轮箱集团股份有限公司"/>
        <s v="中国西电电气股份有限公司"/>
        <s v="中国铁建股份有限公司"/>
        <s v="厦门银行股份有限公司"/>
        <s v="黑龙江交通发展股份有限公司"/>
        <s v="东兴证券股份有限公司"/>
        <s v="江苏江南水务股份有限公司"/>
        <s v="上海环境集团股份有限公司"/>
        <s v="四川东材科技集团股份有限公司"/>
        <s v="国泰君安证券股份有限公司"/>
        <s v="白银有色集团股份有限公司"/>
        <s v="内蒙古君正能源化工集团股份有限公司"/>
        <s v="江苏吉鑫风能科技股份有限公司"/>
        <s v="江苏林洋能源股份有限公司"/>
        <s v="陕西煤业股份有限公司"/>
        <s v="华电重工股份有限公司"/>
        <s v="广州港股份有限公司"/>
        <s v="上海银行股份有限公司"/>
        <s v="环旭电子股份有限公司"/>
        <s v="桐昆集团股份有限公司"/>
        <s v="红塔证券股份有限公司"/>
        <s v="广州汽车集团股份有限公司"/>
        <s v="庞大汽贸集团股份有限公司"/>
        <s v="长春英利汽车工业股份有限公司"/>
        <s v="中国农业银行股份有限公司"/>
        <s v="青岛港国际股份有限公司"/>
        <s v="骆驼集团股份有限公司"/>
        <s v="中国平安保险(集团)股份有限公司"/>
        <s v="中国人民保险集团股份有限公司"/>
        <s v="秦皇岛港股份有限公司"/>
        <s v="交通银行股份有限公司"/>
        <s v="绿色动力环保集团股份有限公司"/>
        <s v="广深铁路股份有限公司"/>
        <s v="新华人寿保险股份有限公司"/>
        <s v="百隆东方股份有限公司"/>
        <s v="三六零安全科技股份有限公司"/>
        <s v="利群商业集团股份有限公司"/>
        <s v="广西绿城水务股份有限公司"/>
        <s v="西安陕鼓动力股份有限公司"/>
        <s v="中原证券股份有限公司"/>
        <s v="兴业证券股份有限公司"/>
        <s v="怡球金属资源再生(中国)股份有限公司"/>
        <s v="中国中铁股份有限公司"/>
        <s v="中国工商银行股份有限公司"/>
        <s v="国机重型装备集团股份有限公司"/>
        <s v="国联证券股份有限公司"/>
        <s v="江苏通用科技股份有限公司"/>
        <s v="中新苏州工业园区开发集团股份有限公司"/>
        <s v="汕头东风印刷股份有限公司"/>
        <s v="吉林高速公路股份有限公司"/>
        <s v="上海大智慧股份有限公司"/>
        <s v="浙江绍兴瑞丰农村商业银行股份有限公司"/>
        <s v="东吴证券股份有限公司"/>
        <s v="九牧王股份有限公司"/>
        <s v="宁波三星医疗电气股份有限公司"/>
        <s v="陕西北元化工集团股份有限公司"/>
        <s v="长沙银行股份有限公司"/>
        <s v="会稽山绍兴酒股份有限公司"/>
        <s v="北京北辰实业股份有限公司"/>
        <s v="上海电影股份有限公司"/>
        <s v="中国外运股份有限公司"/>
        <s v="浙文影业集团股份有限公司"/>
        <s v="中国铝业股份有限公司"/>
        <s v="中国太平洋保险(集团)股份有限公司"/>
        <s v="安徽长城军工股份有限公司"/>
        <s v="上海医药集团股份有限公司"/>
        <s v="中信重工机械股份有限公司"/>
        <s v="宁波金田铜业(集团)股份有限公司"/>
        <s v="中国核工业建设股份有限公司"/>
        <s v="明阳智慧能源集团股份公司"/>
        <s v="上海广电电气(集团)股份有限公司"/>
        <s v="中国冶金科工股份有限公司"/>
        <s v="宁夏嘉泽新能源股份有限公司"/>
        <s v="中国人寿保险股份有限公司"/>
        <s v="长城汽车股份有限公司"/>
        <s v="株洲旗滨集团股份有限公司"/>
        <s v="中国邮政储蓄银行股份有限公司"/>
        <s v="齐鲁银行股份有限公司"/>
        <s v="平顶山天安煤业股份有限公司"/>
        <s v="中国建筑股份有限公司"/>
        <s v="中国电力建设股份有限公司"/>
        <s v="河南明泰铝业股份有限公司"/>
        <s v="滨化集团股份有限公司"/>
        <s v="天津友发钢管集团股份有限公司"/>
        <s v="华泰证券股份有限公司"/>
        <s v="宁波拓普集团股份有限公司"/>
        <s v="中银国际证券股份有限公司"/>
        <s v="中国卫通集团股份有限公司"/>
        <s v="山西潞安环保能源开发股份有限公司"/>
        <s v="常熟风范电力设备股份有限公司"/>
        <s v="上海华峰铝业股份有限公司"/>
        <s v="郑州煤矿机械集团股份有限公司"/>
        <s v="际华集团股份有限公司"/>
        <s v="上海电气集团股份有限公司"/>
        <s v="中国电信股份有限公司"/>
        <s v="中国中车股份有限公司"/>
        <s v="力帆科技(集团)股份有限公司"/>
        <s v="晶科电力科技股份有限公司"/>
        <s v="光大证券股份有限公司"/>
        <s v="宁波建工股份有限公司"/>
        <s v="甘肃蓝科石化高新装备股份有限公司"/>
        <s v="常州星宇车灯股份有限公司"/>
        <s v="中国交通建设股份有限公司"/>
        <s v="安徽新华传媒股份有限公司"/>
        <s v="中海油田服务股份有限公司"/>
        <s v="新华文轩出版传媒股份有限公司"/>
        <s v="京沪高速铁路股份有限公司"/>
        <s v="中国光大银行股份有限公司"/>
        <s v="上海农村商业银行股份有限公司"/>
        <s v="重庆三峰环境集团股份有限公司"/>
        <s v="红星美凯龙家居集团股份有限公司"/>
        <s v="成都银行股份有限公司"/>
        <s v="中国石油天然气股份有限公司"/>
        <s v="中国科技出版传媒股份有限公司"/>
        <s v="江苏紫金农村商业银行股份有限公司"/>
        <s v="福莱特玻璃集团股份有限公司"/>
        <s v="中远海运发展股份有限公司"/>
        <s v="中国能源建设股份有限公司"/>
        <s v="长飞光纤光缆股份有限公司"/>
        <s v="招商局能源运输股份有限公司"/>
        <s v="浙江正泰电器股份有限公司"/>
        <s v="浙商证券股份有限公司"/>
        <s v="辽宁港口股份有限公司"/>
        <s v="中国银河证券股份有限公司"/>
        <s v="宁波海天精工股份有限公司"/>
        <s v="江河创建集团股份有限公司"/>
        <s v="中国旅游集团中免股份有限公司"/>
        <s v="江苏亚星锚链股份有限公司"/>
        <s v="中国中煤能源股份有限公司"/>
        <s v="紫金矿业集团股份有限公司"/>
        <s v="南方出版传媒股份有限公司"/>
        <s v="方正证券股份有限公司"/>
        <s v="北京京运通科技股份有限公司"/>
        <s v="浙商银行股份有限公司"/>
        <s v="中煤新集能源股份有限公司"/>
        <s v="中远海运控股股份有限公司"/>
        <s v="浙江出版传媒股份有限公司"/>
        <s v="江苏凤凰出版传媒股份有限公司"/>
        <s v="吉视传媒股份有限公司"/>
        <s v="永辉超市股份有限公司"/>
        <s v="中国建设银行股份有限公司"/>
        <s v="中国出版传媒股份有限公司"/>
        <s v="江苏省农垦农业发展股份有限公司"/>
        <s v="湖北东贝机电集团股份有限公司"/>
        <s v="金堆城钼业股份有限公司"/>
        <s v="重庆银行股份有限公司"/>
        <s v="中国汽车工程研究院股份有限公司"/>
        <s v="山东玲珑轮胎股份有限公司"/>
        <s v="上海宝钢包装股份有限公司"/>
        <s v="海南矿业股份有限公司"/>
        <s v="招商局南京油运股份有限公司"/>
        <s v="中国核能电力股份有限公司"/>
        <s v="中国银行股份有限公司"/>
        <s v="中国船舶重工股份有限公司"/>
        <s v="南京证券股份有限公司"/>
        <s v="大唐国际发电股份有限公司"/>
        <s v="北京金隅集团股份有限公司"/>
        <s v="中国国际金融股份有限公司"/>
        <s v="广西丰林木业集团股份有限公司"/>
        <s v="贵阳银行股份有限公司"/>
        <s v="中信银行股份有限公司"/>
        <s v="北方联合出版传媒(集团)股份有限公司"/>
        <s v="人民网股份有限公司"/>
        <s v="浙江奥康鞋业股份有限公司"/>
        <s v="宏昌电子材料股份有限公司"/>
        <s v="上海龙宇数据股份有限公司"/>
        <s v="苏州晶方半导体科技股份有限公司"/>
        <s v="上海联明机械股份有限公司"/>
        <s v="花王生态工程股份有限公司"/>
        <s v="喜临门家具股份有限公司"/>
        <s v="上海北特科技股份有限公司"/>
        <s v="浙江万盛股份有限公司"/>
        <s v="合肥合锻智能制造股份有限公司"/>
        <s v="上海创力集团股份有限公司"/>
        <s v="亚普汽车部件股份有限公司"/>
        <s v="宁波弘讯科技股份有限公司"/>
        <s v="无锡新宏泰电器科技股份有限公司"/>
        <s v="中衡设计集团股份有限公司"/>
        <s v="华设设计集团股份有限公司"/>
        <s v="曙光信息产业股份有限公司"/>
        <s v="爱普香料集团股份有限公司"/>
        <s v="山东华鹏玻璃股份有限公司"/>
        <s v="上海新通联包装股份有限公司"/>
        <s v="哈尔滨威帝电子股份有限公司"/>
        <s v="北京大豪科技股份有限公司"/>
        <s v="胜华新材料集团股份有限公司"/>
        <s v="千禾味业食品股份有限公司"/>
        <s v="江苏赛福天钢索股份有限公司"/>
        <s v="山东天鹅棉业机械股份有限公司"/>
        <s v="上海全筑控股集团股份有限公司"/>
        <s v="安徽安孚电池科技股份有限公司"/>
        <s v="德力西新能源科技股份有限公司"/>
        <s v="三维控股集团股份有限公司"/>
        <s v="江苏常熟汽饰集团股份有限公司"/>
        <s v="江苏如通石油机械股份有限公司"/>
        <s v="上海凯众材料科技股份有限公司"/>
        <s v="东莞市华立实业股份有限公司"/>
        <s v="上海泛微网络科技股份有限公司"/>
        <s v="杭州新坐标科技股份有限公司"/>
        <s v="江苏美思德化学股份有限公司"/>
        <s v="南京华脉科技股份有限公司"/>
        <s v="广州酒家集团股份有限公司"/>
        <s v="福达合金材料股份有限公司"/>
        <s v="浙江黎明智造股份有限公司"/>
        <s v="石家庄科林电气股份有限公司"/>
        <s v="广州鹿山新材料股份有限公司"/>
        <s v="苏州可川电子科技股份有限公司"/>
        <s v="成都燃气集团股份有限公司"/>
        <s v="浙江台华新材料股份有限公司"/>
        <s v="德邦物流股份有限公司"/>
        <s v="上海紫燕食品股份有限公司"/>
        <s v="贵州永吉印务股份有限公司"/>
        <s v="倍加洁集团股份有限公司"/>
        <s v="中国国检测试控股集团股份有限公司"/>
        <s v="深圳市禾望电气股份有限公司"/>
        <s v="南京音飞储存设备(集团)股份有限公司"/>
        <s v="湖北振华化学股份有限公司"/>
        <s v="博通集成电路(上海)股份有限公司"/>
        <s v="海南海汽运输集团股份有限公司"/>
        <s v="万控智造股份有限公司"/>
        <s v="浙江物产环保能源股份有限公司"/>
        <s v="宁波乐惠国际工程装备股份有限公司"/>
        <s v="四川和邦生物科技股份有限公司"/>
        <s v="江阴江化微电子材料股份有限公司"/>
        <s v="浙江圣达生物药业股份有限公司"/>
        <s v="新疆火炬燃气股份有限公司"/>
        <s v="浙江大丰实业股份有限公司"/>
        <s v="上海剑桥科技股份有限公司"/>
        <s v="浙江天成自控股份有限公司"/>
        <s v="山东先达农化股份有限公司"/>
        <s v="甘李药业股份有限公司"/>
        <s v="宁波精达成形装备股份有限公司"/>
        <s v="浙江正裕工业股份有限公司"/>
        <s v="无锡宏盛换热器制造股份有限公司"/>
        <s v="南华期货股份有限公司"/>
        <s v="浙江越剑智能装备股份有限公司"/>
        <s v="新经典文化股份有限公司"/>
        <s v="江苏华辰变压器股份有限公司"/>
        <s v="森特士兴集团股份有限公司"/>
        <s v="长白山旅游股份有限公司"/>
        <s v="重庆川仪自动化股份有限公司"/>
        <s v="新疆汇嘉时代百货股份有限公司"/>
        <s v="威海百合生物技术股份有限公司"/>
        <s v="横店影视股份有限公司"/>
        <s v="浙江芯能光伏科技股份有限公司"/>
        <s v="恒银金融科技股份有限公司"/>
        <s v="上海润达医疗科技股份有限公司"/>
        <s v="神驰机电股份有限公司"/>
        <s v="新东方新材料股份有限公司"/>
        <s v="南京康尼机电股份有限公司"/>
        <s v="山西华翔集团股份有限公司"/>
        <s v="金能科技股份有限公司"/>
        <s v="南通海星电子股份有限公司"/>
        <s v="浙江红蜻蜓鞋业股份有限公司"/>
        <s v="江苏万林现代物流股份有限公司"/>
        <s v="深圳市共进电子股份有限公司"/>
        <s v="上海华培动力科技(集团)股份有限公司"/>
        <s v="合富(中国)医疗科技股份有限公司"/>
        <s v="北京翠微大厦股份有限公司"/>
        <s v="中材节能股份有限公司"/>
        <s v="北京昭衍新药研究中心股份有限公司"/>
        <s v="港中旅华贸国际物流股份有限公司"/>
        <s v="浙江春风动力股份有限公司"/>
        <s v="浙江云中马股份有限公司"/>
        <s v="上海沪工焊接集团股份有限公司"/>
        <s v="金徽矿业股份有限公司"/>
        <s v="碳元科技股份有限公司"/>
        <s v="江苏天目湖旅游股份有限公司"/>
        <s v="北京海量数据技术股份有限公司"/>
        <s v="陕西康惠制药股份有限公司"/>
        <s v="安徽万朗磁塑股份有限公司"/>
        <s v="山东邦基科技股份有限公司"/>
        <s v="新亚强硅化学股份有限公司"/>
        <s v="河北养元智汇饮品股份有限公司"/>
        <s v="常州腾龙汽车零部件股份有限公司"/>
        <s v="上海亚虹模具股份有限公司"/>
        <s v="深圳市汇顶科技股份有限公司"/>
        <s v="科华控股股份有限公司"/>
        <s v="圣晖系统集成集团股份有限公司"/>
        <s v="浙江荣晟环保纸业股份有限公司"/>
        <s v="桂林福达股份有限公司"/>
        <s v="渤海轮渡集团股份有限公司"/>
        <s v="浙江莎普爱思药业股份有限公司"/>
        <s v="兰州兰石重型装备股份有限公司"/>
        <s v="上海宝立食品科技股份有限公司"/>
        <s v="税友软件集团股份有限公司"/>
        <s v="汇通建设集团股份有限公司"/>
        <s v="浙江德创环保科技股份有限公司"/>
        <s v="宁波圣龙汽车动力系统股份有限公司"/>
        <s v="江苏新泉汽车饰件股份有限公司"/>
        <s v="金牌厨柜家居科技股份有限公司"/>
        <s v="浙江皇马科技股份有限公司"/>
        <s v="山东嘉华生物科技股份有限公司"/>
        <s v="苏州市建筑科学研究院集团股份有限公司"/>
        <s v="无锡上机数控股份有限公司"/>
        <s v="浙江华正新材料股份有限公司"/>
        <s v="青岛海容商用冷链股份有限公司"/>
        <s v="江苏亚邦染料股份有限公司"/>
        <s v="上海网达软件股份有限公司"/>
        <s v="重庆望变电气(集团)股份有限公司"/>
        <s v="上海汇得科技股份有限公司"/>
        <s v="公牛集团股份有限公司"/>
        <s v="日播时尚集团股份有限公司"/>
        <s v="上海保隆汽车科技股份有限公司"/>
        <s v="安徽迎驾贡酒股份有限公司"/>
        <s v="安徽九华山旅游发展股份有限公司"/>
        <s v="上海洗霸科技股份有限公司"/>
        <s v="常熟通润汽车零部件股份有限公司"/>
        <s v="快克智能装备股份有限公司"/>
        <s v="嘉环科技股份有限公司"/>
        <s v="江山欧派门业股份有限公司"/>
        <s v="兴通海运股份有限公司"/>
        <s v="晋拓科技股份有限公司"/>
        <s v="苏州赛伍应用技术股份有限公司"/>
        <s v="浙江镇洋发展股份有限公司"/>
        <s v="上海爱婴室商务服务股份有限公司"/>
        <s v="浙江比依电器股份有限公司"/>
        <s v="梦天家居集团股份有限公司"/>
        <s v="元利化学集团股份有限公司"/>
        <s v="日月重工股份有限公司"/>
        <s v="宁波富佳实业股份有限公司"/>
        <s v="中贝通信集团股份有限公司"/>
        <s v="爱丽家居科技股份有限公司"/>
        <s v="济民健康管理股份有限公司"/>
        <s v="恒通物流股份有限公司"/>
        <s v="新凤鸣集团股份有限公司"/>
        <s v="菲林格尔家居科技股份有限公司"/>
        <s v="新疆雪峰科技(集团)股份有限公司"/>
        <s v="深圳市景旺电子股份有限公司"/>
        <s v="浙江奥翔药业股份有限公司"/>
        <s v="内蒙古新华发行集团股份有限公司"/>
        <s v="格尔软件股份有限公司"/>
        <s v="大参林医药集团股份有限公司"/>
        <s v="江西天新药业股份有限公司"/>
        <s v="上海移远通信技术股份有限公司"/>
        <s v="浙江五芳斋实业股份有限公司"/>
        <s v="杭州诺邦无纺股份有限公司"/>
        <s v="浙江仙通橡塑股份有限公司"/>
        <s v="辽宁鼎际得石化股份有限公司"/>
        <s v="宏和电子材料科技股份有限公司"/>
        <s v="杭州电魂网络科技股份有限公司"/>
        <s v="无锡药明康德新药开发股份有限公司"/>
        <s v="合盛硅业股份有限公司"/>
        <s v="成都立航科技股份有限公司"/>
        <s v="宁波天龙电子股份有限公司"/>
        <s v="北京元六鸿远电子科技股份有限公司"/>
        <s v="广东松发陶瓷股份有限公司"/>
        <s v="江苏海鸥冷却塔股份有限公司"/>
        <s v="浙江联翔智能家居股份有限公司"/>
        <s v="银都餐饮设备股份有限公司"/>
        <s v="山东大业股份有限公司"/>
        <s v="景津装备股份有限公司"/>
        <s v="福建南方路面机械股份有限公司"/>
        <s v="苏州赛腾精密电子股份有限公司"/>
        <s v="江苏日盈电子股份有限公司"/>
        <s v="佛山市海天调味食品股份有限公司"/>
        <s v="泰瑞机器股份有限公司"/>
        <s v="嘉兴斯达半导体股份有限公司"/>
        <s v="宁波永新光学股份有限公司"/>
        <s v="杭叉集团股份有限公司"/>
        <s v="江苏苏盐井神股份有限公司"/>
        <s v="浙江华铁应急设备科技股份有限公司"/>
        <s v="振德医疗用品股份有限公司"/>
        <s v="横店集团得邦照明股份有限公司"/>
        <s v="宁波旭升集团股份有限公司"/>
        <s v="华懋(厦门)新材料科技股份有限公司"/>
        <s v="安徽应流机电股份有限公司"/>
        <s v="广州维力医疗器械股份有限公司"/>
        <s v="浙江金海高科股份有限公司"/>
        <s v="梦百合家居科技股份有限公司"/>
        <s v="辽宁福鞍重工股份有限公司"/>
        <s v="诚邦生态环境股份有限公司"/>
        <s v="四川天味食品集团股份有限公司"/>
        <s v="水发派思燃气股份有限公司"/>
        <s v="湖南机油泵股份有限公司"/>
        <s v="浙江迪贝电气股份有限公司"/>
        <s v="浙江梅轮电梯股份有限公司"/>
        <s v="超讯通信股份有限公司"/>
        <s v="江苏苏州农村商业银行股份有限公司"/>
        <s v="上海盛剑环境系统科技股份有限公司"/>
        <s v="南京我乐家居股份有限公司"/>
        <s v="四川福蓉科技股份公司"/>
        <s v="广东依顿电子科技股份有限公司"/>
        <s v="上海雅仕投资发展股份有限公司"/>
        <s v="天洋新材(上海)科技股份有限公司"/>
        <s v="浙江百达精工股份有限公司"/>
        <s v="苏州龙杰特种纤维股份有限公司"/>
        <s v="尚纬股份有限公司"/>
        <s v="广东迪生力汽配股份有限公司"/>
        <s v="宏辉果蔬股份有限公司"/>
        <s v="杰克科技股份有限公司"/>
        <s v="浙江鼎力机械股份有限公司"/>
        <s v="四方科技集团股份有限公司"/>
        <s v="安井食品集团股份有限公司"/>
        <s v="文灿集团股份有限公司"/>
        <s v="南京威尔药业集团股份有限公司"/>
        <s v="湖南和顺石油股份有限公司"/>
        <s v="莱克电气股份有限公司"/>
        <s v="宣城市华菱精工科技股份有限公司"/>
        <s v="安徽省交通规划设计研究总院股份有限公司"/>
        <s v="华达汽车科技股份有限公司"/>
        <s v="东珠生态环保股份有限公司"/>
        <s v="大连百傲化学股份有限公司"/>
        <s v="福建傲农生物科技集团股份有限公司"/>
        <s v="上海水星家用纺织品股份有限公司"/>
        <s v="日出东方控股股份有限公司"/>
        <s v="辰欣药业股份有限公司"/>
        <s v="广西柳药集团股份有限公司"/>
        <s v="江苏今世缘酒业股份有限公司"/>
        <s v="东方时尚驾驶学校股份有限公司"/>
        <s v="亚士创能科技(上海)股份有限公司"/>
        <s v="浙江三美化工股份有限公司"/>
        <s v="苏州易德龙科技股份有限公司"/>
        <s v="福建顶点软件股份有限公司"/>
        <s v="惠达卫浴股份有限公司"/>
        <s v="广东骏亚电子科技股份有限公司"/>
        <s v="基蛋生物科技股份有限公司"/>
        <s v="元成环境股份有限公司"/>
        <s v="亚振家居股份有限公司"/>
        <s v="广州通达汽车电气股份有限公司"/>
        <s v="北京万泰生物药业股份有限公司"/>
        <s v="新疆鑫泰天然气股份有限公司"/>
        <s v="营口金辰机械股份有限公司"/>
        <s v="江西沐邦高科股份有限公司"/>
        <s v="锦州吉翔钼业股份有限公司"/>
        <s v="厦门建霖健康家居股份有限公司"/>
        <s v="无锡信捷电气股份有限公司"/>
        <s v="青岛鼎信通讯股份有限公司"/>
        <s v="安徽集友新材料股份有限公司"/>
        <s v="贵州三力制药股份有限公司"/>
        <s v="厦门吉比特网络技术股份有限公司"/>
        <s v="浙江九洲药业股份有限公司"/>
        <s v="贵州省交通规划勘察设计研究院股份有限公司"/>
        <s v="上海风语筑文化科技股份有限公司"/>
        <s v="乐山巨星农牧股份有限公司"/>
        <s v="科沃斯机器人股份有限公司"/>
        <s v="展鹏科技股份有限公司"/>
        <s v="八方电气(苏州)股份有限公司"/>
        <s v="恒为科技(上海)股份有限公司"/>
        <s v="上海翔港包装科技股份有限公司"/>
        <s v="浙江天台祥和实业股份有限公司"/>
        <s v="上海韦尔半导体股份有限公司"/>
        <s v="金石资源集团股份有限公司"/>
        <s v="南都物业服务集团股份有限公司"/>
        <s v="江苏振江新能源装备股份有限公司"/>
        <s v="河南思维自动化设备股份有限公司"/>
        <s v="爱慕股份有限公司"/>
        <s v="欧普照明股份有限公司"/>
        <s v="北京淳中科技股份有限公司"/>
        <s v="绝味食品股份有限公司"/>
        <s v="锦泓时装集团股份有限公司"/>
        <s v="江苏立霸实业股份有限公司"/>
        <s v="浙江司太立制药股份有限公司"/>
        <s v="安徽众源新材料股份有限公司"/>
        <s v="多伦科技股份有限公司"/>
        <s v="爱玛科技集团股份有限公司"/>
        <s v="江苏神马电力股份有限公司"/>
        <s v="掌阅科技股份有限公司"/>
        <s v="广州市嘉诚国际物流股份有限公司"/>
        <s v="山东惠发食品股份有限公司"/>
        <s v="宁波美诺华药业股份有限公司"/>
        <s v="奥普家居股份有限公司"/>
        <s v="贵人鸟股份有限公司"/>
        <s v="杭州海兴电力科技股份有限公司"/>
        <s v="起步股份有限公司"/>
        <s v="浙江健盛集团股份有限公司"/>
        <s v="中通国脉通信股份有限公司"/>
        <s v="上海中谷物流股份有限公司"/>
        <s v="普莱柯生物工程股份有限公司"/>
        <s v="黑龙江珍宝岛药业股份有限公司"/>
        <s v="浙江伟明环保股份有限公司"/>
        <s v="北京长久物流股份有限公司"/>
        <s v="青岛汇金通电力设备股份有限公司"/>
        <s v="浙江三星新材股份有限公司"/>
        <s v="上海荣泰健康科技股份有限公司"/>
        <s v="艾艾精密工业输送系统(上海)股份有限公司"/>
        <s v="浙江捷昌线性驱动科技股份有限公司"/>
        <s v="江苏苏利精细化工股份有限公司"/>
        <s v="山东金麒麟股份有限公司"/>
        <s v="地素时尚股份有限公司"/>
        <s v="北京高能时代环境技术股份有限公司"/>
        <s v="安徽口子酒业股份有限公司"/>
        <s v="北京康辰药业股份有限公司"/>
        <s v="浙江东尼电子股份有限公司"/>
        <s v="芜湖伯特利汽车安全系统股份有限公司"/>
        <s v="引力传媒股份有限公司"/>
        <s v="安徽广信农化股份有限公司"/>
        <s v="永艺家具股份有限公司"/>
        <s v="重庆再升科技股份有限公司"/>
        <s v="杭州纵横通信股份有限公司"/>
        <s v="博天环境集团股份有限公司"/>
        <s v="珀莱雅化妆品股份有限公司"/>
        <s v="宁波东方电缆股份有限公司"/>
        <s v="浙江京华激光科技股份有限公司"/>
        <s v="天创时尚股份有限公司"/>
        <s v="禾丰食品股份有限公司"/>
        <s v="麒盛科技股份有限公司"/>
        <s v="诺力智能装备股份有限公司"/>
        <s v="索通发展股份有限公司"/>
        <s v="北京国联视讯信息技术股份有限公司"/>
        <s v="茶花现代家居用品股份有限公司"/>
        <s v="北京韩建河山管业股份有限公司"/>
        <s v="君禾泵业股份有限公司"/>
        <s v="杭州电缆股份有限公司"/>
        <s v="中曼石油天然气集团股份有限公司"/>
        <s v="昆山科森科技股份有限公司"/>
        <s v="清源科技股份有限公司"/>
        <s v="江苏利通电子股份有限公司"/>
        <s v="拉芳家化股份有限公司"/>
        <s v="上海徕木电子股份有限公司"/>
        <s v="南威软件股份有限公司"/>
        <s v="镇海石化工程股份有限公司"/>
        <s v="烟台艾迪精密机械股份有限公司"/>
        <s v="海利尔药业集团股份有限公司"/>
        <s v="上海畅联国际物流股份有限公司"/>
        <s v="彤程新材料集团股份有限公司"/>
        <s v="常州朗博密封科技股份有限公司"/>
        <s v="合肥泰禾智能科技集团股份有限公司"/>
        <s v="金华春光橡塑科技股份有限公司"/>
        <s v="郑州安图生物工程股份有限公司"/>
        <s v="上海璞泰来新能源科技股份有限公司"/>
        <s v="苏州科达科技股份有限公司"/>
        <s v="恒林家居股份有限公司"/>
        <s v="宁波柯力传感科技股份有限公司"/>
        <s v="三祥新材股份有限公司"/>
        <s v="浙江康隆达特种防护科技股份有限公司"/>
        <s v="亿嘉和科技股份有限公司"/>
        <s v="浙江五洲新春集团股份有限公司"/>
        <s v="福建天马科技集团股份有限公司"/>
        <s v="灵康药业集团股份有限公司"/>
        <s v="西藏卫信康医药股份有限公司"/>
        <s v="奇精机械股份有限公司"/>
        <s v="福建火炬电子科技股份有限公司"/>
        <s v="四川华体照明科技股份有限公司"/>
        <s v="今创集团股份有限公司"/>
        <s v="上海永冠众诚新材料科技(集团)股份有限公司"/>
        <s v="上海锦和商业经营管理股份有限公司"/>
        <s v="上海晶华胶粘新材料股份有限公司"/>
        <s v="浙江晨丰科技股份有限公司"/>
        <s v="福龙马集团股份有限公司"/>
        <s v="浙江大胜达包装股份有限公司"/>
        <s v="江苏太平洋石英股份有限公司"/>
        <s v="安徽省天然气开发股份有限公司"/>
        <s v="上海至纯洁净系统科技股份有限公司"/>
        <s v="江苏省新能源开发股份有限公司"/>
        <s v="安记食品股份有限公司"/>
        <s v="有友食品股份有限公司"/>
        <s v="航天长征化学工程股份有限公司"/>
        <s v="苏州纽威阀门股份有限公司"/>
        <s v="宁波水表(集团)股份有限公司"/>
        <s v="浙江德宏汽车电子电器股份有限公司"/>
        <s v="浙江盛洋科技股份有限公司"/>
        <s v="新疆东方环宇燃气股份有限公司"/>
        <s v="南京健友生化制药股份有限公司"/>
        <s v="家家悦集团股份有限公司"/>
        <s v="中源家居股份有限公司"/>
        <s v="香飘飘食品股份有限公司"/>
        <s v="天津七一二通信广播股份有限公司"/>
        <s v="密尔克卫化工供应链服务股份有限公司"/>
        <s v="塞力斯医疗科技集团股份有限公司"/>
        <s v="天域生态环境股份有限公司"/>
        <s v="上海海利生物技术股份有限公司"/>
        <s v="良品铺子股份有限公司"/>
        <s v="中广天择传媒股份有限公司"/>
        <s v="无锡阿科力科技股份有限公司"/>
        <s v="广东天安新材料股份有限公司"/>
        <s v="浙江朗迪集团股份有限公司"/>
        <s v="博迈科海洋工程股份有限公司"/>
        <s v="上海鸣志电器股份有限公司"/>
        <s v="上海龙韵文创科技集团股份有限公司"/>
        <s v="上海岱美汽车内饰件股份有限公司"/>
        <s v="仙鹤股份有限公司"/>
        <s v="三棵树涂料股份有限公司"/>
        <s v="泰晶科技股份有限公司"/>
        <s v="青岛蔚蓝生物股份有限公司"/>
        <s v="青岛日辰食品股份有限公司"/>
        <s v="浙江大元泵业股份有限公司"/>
        <s v="重庆秦安机电股份有限公司"/>
        <s v="海天水务集团股份公司"/>
        <s v="隆鑫通用动力股份有限公司"/>
        <s v="浙江中马传动股份有限公司"/>
        <s v="合肥常青机械股份有限公司"/>
        <s v="江西沃格光电股份有限公司"/>
        <s v="永安行科技股份有限公司"/>
        <s v="上海来伊份股份有限公司"/>
        <s v="北京乾景园林股份有限公司"/>
        <s v="威龙葡萄酒股份有限公司"/>
        <s v="科博达技术股份有限公司"/>
        <s v="江苏新日电动车股份有限公司"/>
        <s v="宁波高发汽车控制系统股份有限公司"/>
        <s v="星光农机股份有限公司"/>
        <s v="上海雅运纺织化工股份有限公司"/>
        <s v="广东联泰环保股份有限公司"/>
        <s v="青岛康普顿科技股份有限公司"/>
        <s v="浙江华友钴业股份有限公司"/>
        <s v="苏州道森钻采设备股份有限公司"/>
        <s v="志邦家居股份有限公司"/>
        <s v="瑞斯康达科技发展股份有限公司"/>
        <s v="杭州福斯特应用材料股份有限公司"/>
        <s v="深圳歌力思服饰股份有限公司"/>
        <s v="成都豪能科技股份有限公司"/>
        <s v="江苏丰山集团股份有限公司"/>
        <s v="浙江诚意药业股份有限公司"/>
        <s v="广东原尚物流股份有限公司"/>
        <s v="安徽省交通建设股份有限公司"/>
        <s v="顾家家居股份有限公司"/>
        <s v="福建海峡环保集团股份有限公司"/>
        <s v="曲美家居集团股份有限公司"/>
        <s v="常州神力电机股份有限公司"/>
        <s v="浙江嘉澳环保科技股份有限公司"/>
        <s v="百合花集团股份有限公司"/>
        <s v="华扬联众数字技术股份有限公司"/>
        <s v="福建坤彩材料科技股份有限公司"/>
        <s v="苏州柯利达装饰股份有限公司"/>
        <s v="江苏洛凯机电股份有限公司"/>
        <s v="欧派家居集团股份有限公司"/>
        <s v="海程邦达供应链管理股份有限公司"/>
        <s v="广东四通集团股份有限公司"/>
        <s v="安正时尚集团股份有限公司"/>
        <s v="正平路桥建设股份有限公司"/>
        <s v="广东好太太科技集团股份有限公司"/>
        <s v="华荣科技股份有限公司"/>
        <s v="山东东宏管业股份有限公司"/>
        <s v="山东步长制药股份有限公司"/>
        <s v="能科科技股份有限公司"/>
        <s v="中公高科养护科技股份有限公司"/>
        <s v="广州白云电器设备股份有限公司"/>
        <s v="广东松炀再生资源股份有限公司"/>
        <s v="桃李面包股份有限公司"/>
        <s v="浙江新化化工股份有限公司"/>
        <s v="上海飞科电器股份有限公司"/>
        <s v="新智认知数字科技股份有限公司"/>
        <s v="嘉友国际物流股份有限公司"/>
        <s v="江苏鼎胜新能源材料股份有限公司"/>
        <s v="宁波太平鸟时尚服饰股份有限公司"/>
        <s v="江苏武进不锈股份有限公司"/>
        <s v="永悦科技股份有限公司"/>
        <s v="江苏南方卫材医药股份有限公司"/>
        <s v="上海数据港股份有限公司"/>
        <s v="广州金域医学检验集团股份有限公司"/>
        <s v="老百姓大药房连锁股份有限公司"/>
        <s v="上海吉祥航空股份有限公司"/>
        <s v="上海元祖梦果子股份有限公司"/>
        <s v="上海城地香江数据科技股份有限公司"/>
        <s v="新华网股份有限公司"/>
        <s v="浙江新澳纺织股份有限公司"/>
        <s v="苏州春秋电子科技股份有限公司"/>
        <s v="瑞芯微电子股份有限公司"/>
        <s v="上海天永智能装备股份有限公司"/>
        <s v="浙江寿仙谷医药股份有限公司"/>
        <s v="浙江长城电工科技股份有限公司"/>
        <s v="广州好莱客创意家居股份有限公司"/>
        <s v="上海晨光文具股份有限公司"/>
        <s v="莱绅通灵珠宝股份有限公司"/>
        <s v="杭州永创智能设备股份有限公司"/>
        <s v="中持水务股份有限公司"/>
        <s v="江苏龙蟠科技股份有限公司"/>
        <s v="牧高笛户外用品股份有限公司"/>
        <s v="建发合诚工程咨询股份有限公司"/>
        <s v="南京佳力图机房环境技术股份有限公司"/>
        <s v="江苏国茂减速机股份有限公司"/>
        <s v="江苏苏博特新材料股份有限公司"/>
        <s v="宁波合力科技股份有限公司"/>
        <s v="上海金桥信息股份有限公司"/>
        <s v="金徽酒股份有限公司"/>
        <s v="广东世运电路科技股份有限公司"/>
        <s v="苏州金鸿顺汽车部件股份有限公司"/>
        <s v="浙江铁流离合器股份有限公司"/>
        <s v="中科软科技股份有限公司"/>
        <s v="苏州兴业材料科技股份有限公司"/>
        <s v="亚翔系统集成科技(苏州)股份有限公司"/>
        <s v="杭州格林达电子材料股份有限公司"/>
        <s v="福建睿能科技股份有限公司"/>
        <s v="博敏电子股份有限公司"/>
        <s v="江苏丽岛新材料股份有限公司"/>
        <s v="唐山三孚硅业股份有限公司"/>
        <s v="益丰大药房连锁股份有限公司"/>
        <s v="浙江建业化工股份有限公司"/>
        <s v="雪龙集团股份有限公司"/>
        <s v="襄阳长源东谷实业股份有限公司"/>
        <s v="大千生态环境集团股份有限公司"/>
        <s v="上海威派格智慧水务股份有限公司"/>
        <s v="哈森商贸(中国)股份有限公司"/>
        <s v="湖南百利工程科技股份有限公司"/>
        <s v="上海克来机电自动化工程股份有限公司"/>
        <s v="大理药业股份有限公司"/>
        <s v="法兰泰克重工股份有限公司"/>
        <s v="中创物流股份有限公司"/>
        <s v="南通醋酸化工股份有限公司"/>
        <s v="天津银龙预应力材料股份有限公司"/>
        <s v="中农立华生物科技股份有限公司"/>
        <s v="重庆正川医药包装材料股份有限公司"/>
        <s v="江西国泰集团股份有限公司"/>
        <s v="深圳市新星轻合金材料股份有限公司"/>
        <s v="金诚信矿业管理股份有限公司"/>
        <s v="浙江吉华集团股份有限公司"/>
        <s v="南京泉峰汽车精密技术股份有限公司"/>
        <s v="广东丸美生物技术股份有限公司"/>
        <s v="江阴市恒润重工股份有限公司"/>
        <s v="兆易创新科技集团股份有限公司"/>
        <s v="上海康德莱企业发展集团股份有限公司"/>
        <s v="中电电机股份有限公司"/>
        <s v="湖南艾华集团股份有限公司"/>
        <s v="苏州麦迪斯顿医疗科技股份有限公司"/>
        <s v="深圳至正高分子材料股份有限公司"/>
        <s v="厦门松霖科技股份有限公司"/>
        <s v="洛阳栾川钼业集团股份有限公司"/>
        <s v="浙江甬金金属科技股份有限公司"/>
        <s v="宁波继峰汽车零部件股份有限公司"/>
        <s v="湖南方盛制药股份有限公司"/>
        <s v="读者出版传媒股份有限公司"/>
        <s v="青岛威奥轨道股份有限公司"/>
        <s v="众望布艺股份有限公司"/>
        <s v="合兴汽车电子股份有限公司"/>
        <s v="山东玻纤集团股份有限公司"/>
        <s v="五洲特种纸业集团股份有限公司"/>
        <s v="宁波长鸿高分子科技股份有限公司"/>
        <s v="杭州豪悦护理用品股份有限公司"/>
        <s v="杭州热电集团股份有限公司"/>
        <s v="山东百龙创园生物科技股份有限公司"/>
        <s v="长华控股集团股份有限公司"/>
        <s v="浙江永和制冷股份有限公司"/>
        <s v="宁波世茂能源股份有限公司"/>
        <s v="陕西美邦药业集团股份有限公司"/>
        <s v="福然德股份有限公司"/>
        <s v="浙江迎丰科技股份有限公司"/>
        <s v="咸亨国际科技股份有限公司"/>
        <s v="常州澳弘电子股份有限公司"/>
        <s v="杭州联德精密机械股份有限公司"/>
        <s v="浙江天正电气股份有限公司"/>
        <s v="明新旭腾新材料股份有限公司"/>
        <s v="北京正和恒基滨水生态环境治理股份有限公司"/>
        <s v="浙江华康药业股份有限公司"/>
        <s v="浙江大自然户外用品股份有限公司"/>
        <s v="上海太和水科技发展股份有限公司"/>
        <s v="龙岩高岭土股份有限公司"/>
        <s v="温州市冠盛汽车零部件集团股份有限公司"/>
        <s v="苏州市味知香食品股份有限公司"/>
        <s v="江西九丰能源股份有限公司"/>
        <s v="上海行动教育科技股份有限公司"/>
        <s v="江苏共创人造草坪股份有限公司"/>
        <s v="华丰动力股份有限公司"/>
        <s v="同庆楼餐饮股份有限公司"/>
        <s v="无锡新洁能股份有限公司"/>
        <s v="奥锐特药业股份有限公司"/>
        <s v="宁波德业科技股份有限公司"/>
        <s v="厦门力鼎光电股份有限公司"/>
        <s v="重庆四方新材股份有限公司"/>
        <s v="无锡派克新材料科技股份有限公司"/>
        <s v="上海沿浦金属制品股份有限公司"/>
        <s v="江苏嵘泰工业股份有限公司"/>
        <s v="上海丽人丽妆化妆品股份有限公司"/>
        <s v="浙江盛泰服装集团股份有限公司"/>
        <s v="西上海汽车服务股份有限公司"/>
        <s v="浙江西大门新材料股份有限公司"/>
        <s v="浙江华达新型材料股份有限公司"/>
        <s v="浙江新中港热电股份有限公司"/>
        <s v="杭州聚合顺新材料股份有限公司"/>
        <s v="江苏利柏特股份有限公司"/>
        <s v="三人行传媒集团股份有限公司"/>
        <s v="新疆洪通燃气股份有限公司"/>
        <s v="浙江东亚药业股份有限公司"/>
        <s v="北京新时空科技股份有限公司"/>
        <s v="浙江一鸣食品股份有限公司"/>
        <s v="浙江华生科技股份有限公司"/>
        <s v="确成硅化学股份有限公司"/>
        <s v="上海健麾信息技术股份有限公司"/>
        <s v="江西国光商业连锁股份有限公司"/>
        <s v="芜湖富春染织股份有限公司"/>
        <s v="河北华通线缆集团股份有限公司"/>
        <s v="烟台北方安德利果汁股份有限公司"/>
        <s v="海南葫芦娃药业集团股份有限公司"/>
        <s v="上海永茂泰汽车科技股份有限公司"/>
        <s v="伟时电子股份有限公司"/>
        <s v="上海起帆电缆股份有限公司"/>
        <s v="神通科技集团股份有限公司"/>
        <s v="宁波市天普橡胶科技股份有限公司"/>
        <s v="江苏协和电子股份有限公司"/>
        <s v="绿田机械股份有限公司"/>
        <s v="健之佳医药连锁集团股份有限公司"/>
        <s v="王力安防科技股份有限公司"/>
        <s v="新亚电子股份有限公司"/>
        <s v="江苏同力日升机械股份有限公司"/>
        <s v="德才装饰股份有限公司"/>
        <s v="常州市凯迪电器股份有限公司"/>
        <s v="上海罗曼照明科技股份有限公司"/>
        <s v="云南神农农业产业集团股份有限公司"/>
        <s v="江苏必得科技股份有限公司"/>
        <s v="舒华体育股份有限公司"/>
        <s v="佳禾食品工业股份有限公司"/>
        <s v="杭州市园林绿化股份有限公司"/>
        <s v="中际联合(北京)科技股份有限公司"/>
        <s v="法狮龙家居建材股份有限公司"/>
        <s v="无锡市振华汽车部件股份有限公司"/>
        <s v="昆山沪光汽车电器股份有限公司"/>
        <s v="浙江帅丰电器股份有限公司"/>
        <s v="浙江李子园食品股份有限公司"/>
        <s v="中饮巴比食品股份有限公司"/>
        <s v="南侨食品集团(上海)股份有限公司"/>
        <s v="杭州立昂微电子股份有限公司"/>
        <s v="立达信物联科技股份有限公司"/>
        <s v="江西宏柏新材料股份有限公司"/>
        <s v="河南蓝天燃气股份有限公司"/>
        <s v="浙江拱东医疗器械股份有限公司"/>
        <s v="江苏博迁新材料股份有限公司"/>
        <s v="杭州华旺新材料科技股份有限公司"/>
        <s v="浙江野马电池股份有限公司"/>
        <s v="湖北均瑶大健康饮品股份有限公司"/>
        <s v="江苏长龄液压股份有限公司"/>
        <s v="上海新炬网络信息技术股份有限公司"/>
        <s v="江西晨光新材料股份有限公司"/>
        <s v="浙江福莱新材料股份有限公司"/>
        <s v="东鹏饮料(集团)股份有限公司"/>
        <s v="森林包装集团股份有限公司"/>
        <s v="国邦医药集团股份有限公司"/>
        <s v="宁波德昌电机股份有限公司"/>
        <s v="杭州福莱蒽特股份有限公司"/>
        <s v="春雪食品集团股份有限公司"/>
        <s v="黑龙江出版传媒股份有限公司"/>
        <s v="恒盛能源股份有限公司"/>
        <s v="南京冠石科技股份有限公司"/>
        <s v="济南圣泉集团股份有限公司"/>
        <s v="上海港湾基础建设(集团)股份有限公司"/>
        <s v="北京菜市口百货股份有限公司"/>
        <m/>
      </sharedItems>
    </cacheField>
    <cacheField name="market" numFmtId="0">
      <sharedItems containsBlank="1" count="2">
        <s v="主板"/>
        <m/>
      </sharedItems>
    </cacheField>
    <cacheField name="exchange" numFmtId="0">
      <sharedItems containsBlank="1" count="3">
        <s v="SZSE"/>
        <s v="SSE"/>
        <m/>
      </sharedItems>
    </cacheField>
    <cacheField name="list_status" numFmtId="0">
      <sharedItems containsBlank="1" count="2">
        <s v="L"/>
        <m/>
      </sharedItems>
    </cacheField>
    <cacheField name="list_date" numFmtId="0">
      <sharedItems containsString="0" containsBlank="1" containsNumber="1" containsInteger="1" minValue="0" maxValue="20221228" count="1623">
        <n v="19910403"/>
        <n v="19910129"/>
        <n v="19910114"/>
        <n v="19901210"/>
        <n v="19920427"/>
        <n v="19920413"/>
        <n v="19920507"/>
        <n v="19910625"/>
        <n v="19951027"/>
        <n v="19920330"/>
        <n v="19920228"/>
        <n v="19920602"/>
        <n v="19920327"/>
        <n v="19920331"/>
        <n v="19921012"/>
        <n v="19920428"/>
        <n v="19940202"/>
        <n v="19930429"/>
        <n v="19930621"/>
        <n v="19930603"/>
        <n v="19930903"/>
        <n v="19930809"/>
        <n v="19930915"/>
        <n v="19930929"/>
        <n v="19931008"/>
        <n v="19931028"/>
        <n v="19940509"/>
        <n v="19940408"/>
        <n v="19940617"/>
        <n v="19940701"/>
        <n v="19940808"/>
        <n v="19940921"/>
        <n v="19940815"/>
        <n v="19940912"/>
        <n v="19941101"/>
        <n v="19950320"/>
        <n v="19950315"/>
        <n v="19960415"/>
        <n v="19960708"/>
        <n v="19961226"/>
        <n v="19970130"/>
        <n v="19970123"/>
        <n v="19970110"/>
        <n v="19971118"/>
        <n v="19980605"/>
        <n v="19970626"/>
        <n v="19970611"/>
        <n v="19970910"/>
        <n v="20000511"/>
        <n v="19981218"/>
        <n v="19970728"/>
        <n v="19980420"/>
        <n v="19990721"/>
        <n v="20000724"/>
        <n v="20000731"/>
        <n v="20040130"/>
        <n v="20000807"/>
        <n v="20000906"/>
        <n v="20000920"/>
        <n v="20000926"/>
        <n v="20001012"/>
        <n v="20150126"/>
        <n v="20000529"/>
        <n v="20130918"/>
        <n v="20070430"/>
        <n v="19970418"/>
        <n v="19960614"/>
        <n v="19960626"/>
        <n v="19960628"/>
        <n v="19960619"/>
        <n v="19960703"/>
        <n v="19960627"/>
        <n v="19960718"/>
        <n v="19960716"/>
        <n v="19960925"/>
        <n v="19960719"/>
        <n v="19960812"/>
        <n v="19960816"/>
        <n v="19960802"/>
        <n v="19960806"/>
        <n v="19960815"/>
        <n v="19960729"/>
        <n v="19960828"/>
        <n v="19960808"/>
        <n v="19980220"/>
        <n v="19960829"/>
        <n v="20001120"/>
        <n v="19970609"/>
        <n v="19921120"/>
        <n v="19921130"/>
        <n v="19921208"/>
        <n v="19921221"/>
        <n v="19930312"/>
        <n v="19930326"/>
        <n v="19930507"/>
        <n v="19930712"/>
        <n v="19930806"/>
        <n v="19930908"/>
        <n v="19931025"/>
        <n v="19931018"/>
        <n v="19931108"/>
        <n v="19931118"/>
        <n v="19931101"/>
        <n v="19931208"/>
        <n v="19940106"/>
        <n v="19940103"/>
        <n v="19940110"/>
        <n v="19931126"/>
        <n v="19931210"/>
        <n v="19931215"/>
        <n v="19931123"/>
        <n v="19931220"/>
        <n v="19931130"/>
        <n v="19931201"/>
        <n v="19931203"/>
        <n v="19940525"/>
        <n v="19940907"/>
        <n v="19980924"/>
        <n v="19951102"/>
        <n v="19951128"/>
        <n v="19951220"/>
        <n v="19960425"/>
        <n v="19960308"/>
        <n v="19960119"/>
        <n v="19960208"/>
        <n v="19960327"/>
        <n v="19960312"/>
        <n v="19960419"/>
        <n v="19960927"/>
        <n v="19960523"/>
        <n v="19960529"/>
        <n v="19960430"/>
        <n v="19960606"/>
        <n v="19960830"/>
        <n v="19960823"/>
        <n v="19960913"/>
        <n v="19961004"/>
        <n v="19960919"/>
        <n v="19961010"/>
        <n v="19960926"/>
        <n v="19961016"/>
        <n v="19961108"/>
        <n v="19961022"/>
        <n v="19961023"/>
        <n v="19961029"/>
        <n v="19961107"/>
        <n v="19961028"/>
        <n v="19970610"/>
        <n v="19961128"/>
        <n v="19961112"/>
        <n v="19961118"/>
        <n v="19961115"/>
        <n v="19961120"/>
        <n v="19961122"/>
        <n v="19961121"/>
        <n v="19961129"/>
        <n v="19961114"/>
        <n v="19961126"/>
        <n v="19961210"/>
        <n v="19961205"/>
        <n v="19961203"/>
        <n v="19961218"/>
        <n v="19961206"/>
        <n v="19961217"/>
        <n v="19961224"/>
        <n v="19970106"/>
        <n v="19970124"/>
        <n v="19970122"/>
        <n v="19970121"/>
        <n v="19970131"/>
        <n v="19970227"/>
        <n v="19970120"/>
        <n v="19970128"/>
        <n v="19970228"/>
        <n v="19970218"/>
        <n v="19970325"/>
        <n v="19970220"/>
        <n v="19970226"/>
        <n v="19970318"/>
        <n v="19970328"/>
        <n v="19970410"/>
        <n v="19970415"/>
        <n v="19970326"/>
        <n v="19970416"/>
        <n v="19970422"/>
        <n v="19970411"/>
        <n v="19970508"/>
        <n v="19970408"/>
        <n v="19970331"/>
        <n v="19970509"/>
        <n v="19970430"/>
        <n v="19970522"/>
        <n v="19970515"/>
        <n v="20010112"/>
        <n v="20001225"/>
        <n v="19970520"/>
        <n v="19970616"/>
        <n v="19970716"/>
        <n v="19970617"/>
        <n v="19970704"/>
        <n v="19970703"/>
        <n v="19970425"/>
        <n v="19970428"/>
        <n v="19970709"/>
        <n v="19970625"/>
        <n v="19970627"/>
        <n v="19970806"/>
        <n v="19970519"/>
        <n v="19980115"/>
        <n v="19970708"/>
        <n v="19970710"/>
        <n v="19970606"/>
        <n v="19970528"/>
        <n v="19970619"/>
        <n v="19970731"/>
        <n v="19970711"/>
        <n v="19970923"/>
        <n v="19980327"/>
        <n v="19971014"/>
        <n v="19970904"/>
        <n v="19970729"/>
        <n v="19970808"/>
        <n v="19970715"/>
        <n v="19980212"/>
        <n v="19970718"/>
        <n v="19970618"/>
        <n v="19980506"/>
        <n v="19980108"/>
        <n v="19980303"/>
        <n v="19980416"/>
        <n v="19980408"/>
        <n v="19980616"/>
        <n v="19980602"/>
        <n v="19980528"/>
        <n v="19980623"/>
        <n v="19980519"/>
        <n v="19980609"/>
        <n v="19970818"/>
        <n v="19971017"/>
        <n v="19980630"/>
        <n v="19980626"/>
        <n v="19980703"/>
        <n v="19971008"/>
        <n v="19981021"/>
        <n v="19980225"/>
        <n v="19971202"/>
        <n v="19980807"/>
        <n v="19980911"/>
        <n v="19981111"/>
        <n v="19970929"/>
        <n v="19980928"/>
        <n v="19971031"/>
        <n v="19971113"/>
        <n v="19981007"/>
        <n v="19981126"/>
        <n v="19980813"/>
        <n v="19980427"/>
        <n v="19981119"/>
        <n v="19981104"/>
        <n v="19981028"/>
        <n v="19980915"/>
        <n v="19970925"/>
        <n v="19970725"/>
        <n v="20001026"/>
        <n v="20020926"/>
        <n v="19980311"/>
        <n v="19990107"/>
        <n v="19980402"/>
        <n v="19980902"/>
        <n v="19990319"/>
        <n v="19980123"/>
        <n v="19981203"/>
        <n v="19971021"/>
        <n v="19971218"/>
        <n v="19990119"/>
        <n v="19990115"/>
        <n v="19981224"/>
        <n v="19981210"/>
        <n v="19990422"/>
        <n v="19971225"/>
        <n v="19971126"/>
        <n v="19990128"/>
        <n v="19990401"/>
        <n v="19990408"/>
        <n v="19990415"/>
        <n v="19990429"/>
        <n v="19990707"/>
        <n v="19990203"/>
        <n v="19990507"/>
        <n v="19990630"/>
        <n v="19990527"/>
        <n v="19990603"/>
        <n v="19990514"/>
        <n v="19990609"/>
        <n v="19990325"/>
        <n v="19990720"/>
        <n v="19991118"/>
        <n v="19990616"/>
        <n v="19990713"/>
        <n v="19990618"/>
        <n v="19990714"/>
        <n v="19990611"/>
        <n v="19990727"/>
        <n v="19990312"/>
        <n v="19990623"/>
        <n v="19990712"/>
        <n v="19990803"/>
        <n v="19990831"/>
        <n v="19990824"/>
        <n v="19990810"/>
        <n v="19990909"/>
        <n v="19991104"/>
        <n v="19991014"/>
        <n v="19991021"/>
        <n v="19990916"/>
        <n v="19991125"/>
        <n v="19991112"/>
        <n v="19991202"/>
        <n v="19991209"/>
        <n v="20000113"/>
        <n v="19991223"/>
        <n v="19991216"/>
        <n v="20000221"/>
        <n v="20000301"/>
        <n v="20000120"/>
        <n v="20000127"/>
        <n v="20000406"/>
        <n v="20000316"/>
        <n v="20000330"/>
        <n v="20000622"/>
        <n v="20000420"/>
        <n v="20000427"/>
        <n v="20000525"/>
        <n v="20000608"/>
        <n v="20000601"/>
        <n v="20000518"/>
        <n v="20000616"/>
        <n v="20000706"/>
        <n v="20000726"/>
        <n v="20000718"/>
        <n v="20000628"/>
        <n v="20001211"/>
        <n v="20000309"/>
        <n v="20210428"/>
        <n v="20210429"/>
        <n v="20210510"/>
        <n v="20210513"/>
        <n v="20210518"/>
        <n v="20210623"/>
        <n v="20210624"/>
        <n v="20210723"/>
        <n v="20210729"/>
        <n v="20210805"/>
        <n v="20210823"/>
        <n v="20210908"/>
        <n v="20210906"/>
        <n v="20211019"/>
        <n v="20210929"/>
        <n v="20211015"/>
        <n v="20211021"/>
        <n v="20220818"/>
        <n v="20221212"/>
        <n v="20220622"/>
        <n v="20220117"/>
        <n v="20220429"/>
        <n v="20220808"/>
        <n v="20220715"/>
        <n v="20220819"/>
        <n v="20220111"/>
        <n v="20220805"/>
        <n v="20220919"/>
        <n v="20220930"/>
        <n v="20221205"/>
        <n v="20220727"/>
        <n v="20220831"/>
        <n v="20220228"/>
        <n v="20211117"/>
        <n v="20220630"/>
        <n v="20220606"/>
        <n v="20220905"/>
        <n v="20211101"/>
        <n v="20220124"/>
        <n v="20211224"/>
        <n v="20221031"/>
        <n v="20221019"/>
        <n v="20221228"/>
        <n v="20220318"/>
        <n v="20220701"/>
        <n v="20220216"/>
        <n v="20220624"/>
        <n v="20211130"/>
        <n v="20220520"/>
        <n v="20220512"/>
        <n v="20221026"/>
        <n v="20220623"/>
        <n v="20220908"/>
        <n v="20220920"/>
        <n v="20221208"/>
        <n v="20220725"/>
        <n v="20221116"/>
        <n v="20220815"/>
        <n v="19970306"/>
        <n v="19930505"/>
        <n v="19980122"/>
        <n v="19940928"/>
        <n v="20171225"/>
        <n v="20151230"/>
        <n v="19991110"/>
        <n v="20030428"/>
        <n v="19980218"/>
        <n v="20010309"/>
        <n v="20011206"/>
        <n v="20030107"/>
        <n v="20030912"/>
        <n v="20001219"/>
        <n v="20061017"/>
        <n v="20061026"/>
        <n v="20001212"/>
        <n v="20030808"/>
        <n v="20031029"/>
        <n v="20040629"/>
        <n v="20131219"/>
        <n v="20171215"/>
        <n v="20020523"/>
        <n v="20050203"/>
        <n v="20010808"/>
        <n v="20030725"/>
        <n v="20030106"/>
        <n v="20030703"/>
        <n v="20210525"/>
        <n v="20010209"/>
        <n v="20040310"/>
        <n v="20020409"/>
        <n v="20010208"/>
        <n v="20001218"/>
        <n v="20030325"/>
        <n v="20060731"/>
        <n v="20021009"/>
        <n v="19970506"/>
        <n v="19970604"/>
        <n v="19970516"/>
        <n v="19970603"/>
        <n v="19970526"/>
        <n v="19970612"/>
        <n v="19970620"/>
        <n v="19971125"/>
        <n v="19971106"/>
        <n v="19970807"/>
        <n v="19971007"/>
        <n v="19970924"/>
        <n v="19971127"/>
        <n v="20040511"/>
        <n v="19971105"/>
        <n v="19970804"/>
        <n v="19971015"/>
        <n v="19970908"/>
        <n v="19971201"/>
        <n v="19980107"/>
        <n v="19981217"/>
        <n v="19980511"/>
        <n v="19970901"/>
        <n v="19971030"/>
        <n v="19971203"/>
        <n v="20040623"/>
        <n v="19980520"/>
        <n v="19980918"/>
        <n v="19980527"/>
        <n v="19980513"/>
        <n v="19980526"/>
        <n v="19980529"/>
        <n v="19980904"/>
        <n v="19981014"/>
        <n v="20031106"/>
        <n v="19980825"/>
        <n v="19980701"/>
        <n v="19980812"/>
        <n v="19990817"/>
        <n v="19990927"/>
        <n v="19991105"/>
        <n v="19991116"/>
        <n v="20000602"/>
        <n v="20000615"/>
        <n v="20000323"/>
        <n v="20000609"/>
        <n v="20001128"/>
        <n v="20001207"/>
        <n v="20000922"/>
        <n v="20010306"/>
        <n v="20030609"/>
        <n v="20001130"/>
        <n v="20001122"/>
        <n v="20000526"/>
        <n v="20000612"/>
        <n v="20000720"/>
        <n v="20000630"/>
        <n v="20000825"/>
        <n v="20000725"/>
        <n v="20030711"/>
        <n v="20010228"/>
        <n v="20030627"/>
        <n v="20001018"/>
        <n v="20000712"/>
        <n v="20001109"/>
        <n v="20000919"/>
        <n v="20040316"/>
        <n v="20000901"/>
        <n v="20001129"/>
        <n v="20001106"/>
        <n v="20001101"/>
        <n v="20010426"/>
        <n v="20001116"/>
        <n v="20000818"/>
        <n v="20001213"/>
        <n v="20001226"/>
        <n v="20010206"/>
        <n v="20001220"/>
        <n v="20000928"/>
        <n v="20010105"/>
        <n v="20010626"/>
        <n v="20010221"/>
        <n v="20010119"/>
        <n v="20010315"/>
        <n v="20001215"/>
        <n v="20001208"/>
        <n v="20010326"/>
        <n v="20001221"/>
        <n v="20010524"/>
        <n v="20010910"/>
        <n v="20040225"/>
        <n v="20010116"/>
        <n v="20020625"/>
        <n v="20001222"/>
        <n v="20010606"/>
        <n v="20010118"/>
        <n v="20011220"/>
        <n v="20010305"/>
        <n v="20001229"/>
        <n v="20001127"/>
        <n v="20001227"/>
        <n v="20031230"/>
        <n v="20030408"/>
        <n v="20010820"/>
        <n v="20030821"/>
        <n v="20020318"/>
        <n v="20030801"/>
        <n v="20021120"/>
        <n v="20040115"/>
        <n v="20020613"/>
        <n v="20010419"/>
        <n v="20010316"/>
        <n v="20011129"/>
        <n v="20020111"/>
        <n v="20010329"/>
        <n v="20010115"/>
        <n v="20001030"/>
        <n v="20010320"/>
        <n v="20010109"/>
        <n v="20030306"/>
        <n v="20020916"/>
        <n v="20010706"/>
        <n v="20020304"/>
        <n v="20030401"/>
        <n v="20010312"/>
        <n v="20010111"/>
        <n v="20020116"/>
        <n v="20010608"/>
        <n v="20010508"/>
        <n v="20010412"/>
        <n v="20010216"/>
        <n v="20040218"/>
        <n v="20010110"/>
        <n v="20011212"/>
        <n v="20030529"/>
        <n v="20010319"/>
        <n v="20010531"/>
        <n v="20010328"/>
        <n v="20020702"/>
        <n v="20001228"/>
        <n v="20010108"/>
        <n v="20031009"/>
        <n v="20040401"/>
        <n v="20031016"/>
        <n v="20030212"/>
        <n v="20030618"/>
        <n v="20040427"/>
        <n v="20020509"/>
        <n v="20020718"/>
        <n v="20010824"/>
        <n v="20010628"/>
        <n v="20040616"/>
        <n v="20040607"/>
        <n v="20001206"/>
        <n v="20030717"/>
        <n v="20030724"/>
        <n v="20020620"/>
        <n v="20020418"/>
        <n v="20030915"/>
        <n v="20030619"/>
        <n v="20030704"/>
        <n v="20030616"/>
        <n v="20040302"/>
        <n v="20030710"/>
        <n v="20040219"/>
        <n v="20031224"/>
        <n v="20010903"/>
        <n v="20030829"/>
        <n v="20040303"/>
        <n v="20040329"/>
        <n v="20020412"/>
        <n v="20021219"/>
        <n v="20030516"/>
        <n v="20030311"/>
        <n v="20040601"/>
        <n v="20030903"/>
        <n v="20040318"/>
        <n v="20010212"/>
        <n v="20040405"/>
        <n v="20010615"/>
        <n v="20031021"/>
        <n v="20040305"/>
        <n v="20030721"/>
        <n v="20031210"/>
        <n v="20031110"/>
        <n v="20030918"/>
        <n v="20040312"/>
        <n v="20030815"/>
        <n v="20030422"/>
        <n v="20040714"/>
        <n v="20040531"/>
        <n v="20020425"/>
        <n v="20030822"/>
        <n v="20010618"/>
        <n v="20030814"/>
        <n v="20030626"/>
        <n v="20040524"/>
        <n v="20040421"/>
        <n v="20040526"/>
        <n v="20020605"/>
        <n v="20040420"/>
        <n v="20010823"/>
        <n v="20021010"/>
        <n v="20030415"/>
        <n v="20020709"/>
        <n v="20020530"/>
        <n v="20011226"/>
        <n v="20030930"/>
        <n v="20010829"/>
        <n v="20020228"/>
        <n v="20020618"/>
        <n v="20021127"/>
        <n v="20021226"/>
        <n v="20030319"/>
        <n v="20020806"/>
        <n v="20020830"/>
        <n v="20031010"/>
        <n v="20010827"/>
        <n v="20020108"/>
        <n v="20030304"/>
        <n v="20021024"/>
        <n v="20011227"/>
        <n v="20021202"/>
        <n v="20020722"/>
        <n v="20031127"/>
        <n v="20010528"/>
        <n v="20020603"/>
        <n v="20010702"/>
        <n v="20020730"/>
        <n v="20021031"/>
        <n v="20020328"/>
        <n v="20020823"/>
        <n v="20020517"/>
        <n v="20030123"/>
        <n v="20030114"/>
        <n v="20040107"/>
        <n v="20040324"/>
        <n v="20031203"/>
        <n v="20030731"/>
        <n v="20030828"/>
        <n v="20011225"/>
        <n v="20021107"/>
        <n v="20020905"/>
        <n v="20021108"/>
        <n v="20010807"/>
        <n v="20020918"/>
        <n v="20010227"/>
        <n v="20021029"/>
        <n v="20020919"/>
        <n v="20020716"/>
        <n v="20030128"/>
        <n v="20021210"/>
        <n v="20020723"/>
        <n v="20010822"/>
        <n v="20011218"/>
        <n v="20010518"/>
        <n v="20031216"/>
        <n v="20021101"/>
        <n v="20040412"/>
        <n v="20030226"/>
        <n v="20030328"/>
        <n v="20030220"/>
        <n v="20020911"/>
        <n v="20020510"/>
        <n v="20020809"/>
        <n v="20020606"/>
        <n v="20020816"/>
        <n v="20020515"/>
        <n v="20020205"/>
        <n v="20030603"/>
        <n v="20020207"/>
        <n v="20020815"/>
        <n v="20020927"/>
        <n v="20010612"/>
        <n v="20020703"/>
        <n v="20020805"/>
        <n v="20020711"/>
        <n v="20040323"/>
        <n v="20020626"/>
        <n v="20010906"/>
        <n v="20020828"/>
        <n v="20020329"/>
        <n v="20010828"/>
        <n v="19930827"/>
        <n v="19901219"/>
        <n v="19920113"/>
        <n v="19920724"/>
        <n v="19920805"/>
        <n v="19920807"/>
        <n v="19920814"/>
        <n v="19920820"/>
        <n v="19920910"/>
        <n v="19920929"/>
        <n v="19921013"/>
        <n v="19921113"/>
        <n v="19921116"/>
        <n v="19921117"/>
        <n v="19921202"/>
        <n v="19921203"/>
        <n v="19921204"/>
        <n v="19930105"/>
        <n v="19930107"/>
        <n v="19930119"/>
        <n v="19930209"/>
        <n v="19930304"/>
        <n v="19930316"/>
        <n v="19930407"/>
        <n v="19930416"/>
        <n v="19930426"/>
        <n v="19930504"/>
        <n v="19930518"/>
        <n v="19930607"/>
        <n v="19920902"/>
        <n v="19930524"/>
        <n v="19930610"/>
        <n v="19930614"/>
        <n v="19930628"/>
        <n v="19930629"/>
        <n v="19930709"/>
        <n v="19930728"/>
        <n v="19930823"/>
        <n v="19930917"/>
        <n v="19930924"/>
        <n v="19930928"/>
        <n v="19931119"/>
        <n v="19931122"/>
        <n v="19931206"/>
        <n v="19960524"/>
        <n v="19960528"/>
        <n v="19960516"/>
        <n v="19960520"/>
        <n v="19960701"/>
        <n v="19960531"/>
        <n v="19960702"/>
        <n v="19960618"/>
        <n v="19960726"/>
        <n v="19960731"/>
        <n v="19960819"/>
        <n v="19960826"/>
        <n v="19960909"/>
        <n v="19960905"/>
        <n v="19960918"/>
        <n v="19961015"/>
        <n v="19960923"/>
        <n v="19961011"/>
        <n v="19961003"/>
        <n v="19961008"/>
        <n v="19961009"/>
        <n v="19961030"/>
        <n v="19961104"/>
        <n v="19961106"/>
        <n v="19961111"/>
        <n v="19961101"/>
        <n v="19961105"/>
        <n v="19961225"/>
        <n v="19970108"/>
        <n v="19970423"/>
        <n v="19940114"/>
        <n v="19940128"/>
        <n v="19940204"/>
        <n v="19940224"/>
        <n v="19940311"/>
        <n v="19940324"/>
        <n v="19940404"/>
        <n v="19940425"/>
        <n v="19940506"/>
        <n v="19940520"/>
        <n v="19940809"/>
        <n v="19940818"/>
        <n v="19940824"/>
        <n v="19950206"/>
        <n v="19950411"/>
        <n v="19950124"/>
        <n v="19950217"/>
        <n v="19950630"/>
        <n v="19951010"/>
        <n v="19951031"/>
        <n v="19951013"/>
        <n v="19951115"/>
        <n v="19951206"/>
        <n v="19951208"/>
        <n v="19960130"/>
        <n v="19960205"/>
        <n v="19960118"/>
        <n v="19960215"/>
        <n v="19960315"/>
        <n v="19960408"/>
        <n v="19960328"/>
        <n v="19960422"/>
        <n v="19960418"/>
        <n v="20031118"/>
        <n v="20180301"/>
        <n v="20171107"/>
        <n v="20210610"/>
        <n v="20210507"/>
        <n v="20160923"/>
        <n v="20161206"/>
        <n v="20210205"/>
        <n v="20140930"/>
        <n v="20200603"/>
        <n v="20160802"/>
        <n v="20161027"/>
        <n v="20211223"/>
        <n v="20190301"/>
        <n v="20180326"/>
        <n v="20171117"/>
        <n v="20211126"/>
        <n v="20160815"/>
        <n v="20220421"/>
        <n v="20170221"/>
        <n v="20220105"/>
        <n v="20210915"/>
        <n v="20200629"/>
        <n v="20150323"/>
        <n v="20150428"/>
        <n v="20040407"/>
        <n v="20040830"/>
        <n v="20040622"/>
        <n v="20040525"/>
        <n v="20040713"/>
        <n v="20040608"/>
        <n v="20040518"/>
        <n v="20190626"/>
        <n v="20040408"/>
        <n v="20050412"/>
        <n v="20040817"/>
        <n v="20040802"/>
        <n v="20040609"/>
        <n v="20040419"/>
        <n v="20160809"/>
        <n v="20040906"/>
        <n v="20040512"/>
        <n v="20040630"/>
        <n v="20040706"/>
        <n v="20040727"/>
        <n v="20040707"/>
        <n v="20040428"/>
        <n v="20040426"/>
        <n v="20040809"/>
        <n v="20040414"/>
        <n v="20190516"/>
        <n v="20040510"/>
        <n v="20040514"/>
        <n v="20040517"/>
        <n v="20040615"/>
        <n v="20161226"/>
        <n v="20040602"/>
        <n v="20101102"/>
        <n v="20091117"/>
        <n v="20100705"/>
        <n v="20060623"/>
        <n v="20070126"/>
        <n v="20070227"/>
        <n v="20070228"/>
        <n v="20060801"/>
        <n v="20070406"/>
        <n v="20070426"/>
        <n v="20070719"/>
        <n v="20110603"/>
        <n v="20110309"/>
        <n v="20120411"/>
        <n v="20141105"/>
        <n v="20140929"/>
        <n v="20100928"/>
        <n v="20171122"/>
        <n v="20160316"/>
        <n v="20150121"/>
        <n v="20111107"/>
        <n v="20120808"/>
        <n v="20110630"/>
        <n v="20180620"/>
        <n v="20180831"/>
        <n v="20150122"/>
        <n v="20191029"/>
        <n v="20170929"/>
        <n v="20071009"/>
        <n v="20101028"/>
        <n v="20071228"/>
        <n v="20111028"/>
        <n v="20100331"/>
        <n v="20100209"/>
        <n v="20090727"/>
        <n v="20171024"/>
        <n v="20060818"/>
        <n v="20110509"/>
        <n v="20110302"/>
        <n v="20100107"/>
        <n v="20110107"/>
        <n v="20101231"/>
        <n v="20160615"/>
        <n v="20160930"/>
        <n v="20221222"/>
        <n v="20110127"/>
        <n v="20180608"/>
        <n v="20091225"/>
        <n v="20151204"/>
        <n v="20210609"/>
        <n v="20100329"/>
        <n v="20181019"/>
        <n v="20160909"/>
        <n v="20070205"/>
        <n v="20070712"/>
        <n v="20070919"/>
        <n v="20101011"/>
        <n v="20100128"/>
        <n v="20080310"/>
        <n v="20201027"/>
        <n v="20100319"/>
        <n v="20150226"/>
        <n v="20110317"/>
        <n v="20170331"/>
        <n v="20110520"/>
        <n v="20150626"/>
        <n v="20170215"/>
        <n v="20110222"/>
        <n v="20110506"/>
        <n v="20110808"/>
        <n v="20140128"/>
        <n v="20141211"/>
        <n v="20170329"/>
        <n v="20161116"/>
        <n v="20120220"/>
        <n v="20110518"/>
        <n v="20190705"/>
        <n v="20120329"/>
        <n v="20110428"/>
        <n v="20210415"/>
        <n v="20100715"/>
        <n v="20190121"/>
        <n v="20110602"/>
        <n v="20070301"/>
        <n v="20181116"/>
        <n v="20170816"/>
        <n v="20070515"/>
        <n v="20180611"/>
        <n v="20061222"/>
        <n v="20111216"/>
        <n v="20120612"/>
        <n v="20120116"/>
        <n v="20170412"/>
        <n v="20150612"/>
        <n v="20100428"/>
        <n v="20170103"/>
        <n v="20101013"/>
        <n v="20120423"/>
        <n v="20071203"/>
        <n v="20061027"/>
        <n v="20200608"/>
        <n v="20200731"/>
        <n v="20160919"/>
        <n v="20191220"/>
        <n v="20120216"/>
        <n v="20110128"/>
        <n v="20210625"/>
        <n v="20111212"/>
        <n v="20110530"/>
        <n v="20110615"/>
        <n v="20201020"/>
        <n v="20180926"/>
        <n v="20140825"/>
        <n v="20061016"/>
        <n v="20160817"/>
        <n v="20190118"/>
        <n v="20110527"/>
        <n v="20071225"/>
        <n v="20180806"/>
        <n v="20120706"/>
        <n v="20200422"/>
        <n v="20160606"/>
        <n v="20190123"/>
        <n v="20110201"/>
        <n v="20090921"/>
        <n v="20170720"/>
        <n v="20070109"/>
        <n v="20110928"/>
        <n v="20110812"/>
        <n v="20191210"/>
        <n v="20210618"/>
        <n v="20061123"/>
        <n v="20090729"/>
        <n v="20111018"/>
        <n v="20110919"/>
        <n v="20100223"/>
        <n v="20201204"/>
        <n v="20100226"/>
        <n v="20150319"/>
        <n v="20200226"/>
        <n v="20190628"/>
        <n v="20060922"/>
        <n v="20110118"/>
        <n v="20200907"/>
        <n v="20100803"/>
        <n v="20100816"/>
        <n v="20081205"/>
        <n v="20210820"/>
        <n v="20080818"/>
        <n v="20101125"/>
        <n v="20200519"/>
        <n v="20090818"/>
        <n v="20110816"/>
        <n v="20110622"/>
        <n v="20120309"/>
        <n v="20100118"/>
        <n v="20070928"/>
        <n v="20160808"/>
        <n v="20200116"/>
        <n v="20100818"/>
        <n v="20210819"/>
        <n v="20200605"/>
        <n v="20180117"/>
        <n v="20180131"/>
        <n v="20071105"/>
        <n v="20170118"/>
        <n v="20190103"/>
        <n v="20190215"/>
        <n v="20071212"/>
        <n v="20210928"/>
        <n v="20180720"/>
        <n v="20061201"/>
        <n v="20100121"/>
        <n v="20170626"/>
        <n v="20101206"/>
        <n v="20170123"/>
        <n v="20161107"/>
        <n v="20110818"/>
        <n v="20091015"/>
        <n v="20101228"/>
        <n v="20080201"/>
        <n v="20080425"/>
        <n v="20160215"/>
        <n v="20110810"/>
        <n v="20110908"/>
        <n v="20191126"/>
        <n v="20071219"/>
        <n v="20070626"/>
        <n v="20111130"/>
        <n v="20120223"/>
        <n v="20101215"/>
        <n v="20070925"/>
        <n v="20170821"/>
        <n v="20170515"/>
        <n v="20201225"/>
        <n v="20080417"/>
        <n v="20120611"/>
        <n v="20160706"/>
        <n v="20150611"/>
        <n v="20141209"/>
        <n v="20190108"/>
        <n v="20150610"/>
        <n v="20060705"/>
        <n v="20091216"/>
        <n v="20180613"/>
        <n v="20061220"/>
        <n v="20110301"/>
        <n v="20201102"/>
        <n v="20110929"/>
        <n v="20160816"/>
        <n v="20070427"/>
        <n v="20071221"/>
        <n v="20120427"/>
        <n v="20120426"/>
        <n v="20120518"/>
        <n v="20120817"/>
        <n v="20140210"/>
        <n v="20140630"/>
        <n v="20160826"/>
        <n v="20120717"/>
        <n v="20140718"/>
        <n v="20141010"/>
        <n v="20141107"/>
        <n v="20150320"/>
        <n v="20180509"/>
        <n v="20150303"/>
        <n v="20160701"/>
        <n v="20141231"/>
        <n v="20141013"/>
        <n v="20141106"/>
        <n v="20150325"/>
        <n v="20150423"/>
        <n v="20150518"/>
        <n v="20150527"/>
        <n v="20150422"/>
        <n v="20150529"/>
        <n v="20160307"/>
        <n v="20160331"/>
        <n v="20160427"/>
        <n v="20160822"/>
        <n v="20170105"/>
        <n v="20161207"/>
        <n v="20161209"/>
        <n v="20170120"/>
        <n v="20170116"/>
        <n v="20170113"/>
        <n v="20170209"/>
        <n v="20170330"/>
        <n v="20170602"/>
        <n v="20170627"/>
        <n v="20180517"/>
        <n v="20211116"/>
        <n v="20170414"/>
        <n v="20220325"/>
        <n v="20221011"/>
        <n v="20191217"/>
        <n v="20170921"/>
        <n v="20180116"/>
        <n v="20220926"/>
        <n v="20161223"/>
        <n v="20180302"/>
        <n v="20161109"/>
        <n v="20170728"/>
        <n v="20160913"/>
        <n v="20190415"/>
        <n v="20160712"/>
        <n v="20220310"/>
        <n v="20211216"/>
        <n v="20171113"/>
        <n v="20120731"/>
        <n v="20170410"/>
        <n v="20170823"/>
        <n v="20180103"/>
        <n v="20170420"/>
        <n v="20171110"/>
        <n v="20150630"/>
        <n v="20170511"/>
        <n v="20141111"/>
        <n v="20170126"/>
        <n v="20160831"/>
        <n v="20190830"/>
        <n v="20200415"/>
        <n v="20170425"/>
        <n v="20161216"/>
        <n v="20140822"/>
        <n v="20140805"/>
        <n v="20160506"/>
        <n v="20220125"/>
        <n v="20171012"/>
        <n v="20180709"/>
        <n v="20170920"/>
        <n v="20191231"/>
        <n v="20171013"/>
        <n v="20140801"/>
        <n v="20200917"/>
        <n v="20190809"/>
        <n v="20150629"/>
        <n v="20150225"/>
        <n v="20190111"/>
        <n v="20120503"/>
        <n v="20140731"/>
        <n v="20170825"/>
        <n v="20120529"/>
        <n v="20170818"/>
        <n v="20221118"/>
        <n v="20160607"/>
        <n v="20220222"/>
        <n v="20170320"/>
        <n v="20170927"/>
        <n v="20170306"/>
        <n v="20170421"/>
        <n v="20200901"/>
        <n v="20180212"/>
        <n v="20160812"/>
        <n v="20161017"/>
        <n v="20180105"/>
        <n v="20221013"/>
        <n v="20170117"/>
        <n v="20141127"/>
        <n v="20120906"/>
        <n v="20140702"/>
        <n v="20141009"/>
        <n v="20210630"/>
        <n v="20211231"/>
        <n v="20170207"/>
        <n v="20170328"/>
        <n v="20170317"/>
        <n v="20170512"/>
        <n v="20170824"/>
        <n v="20220909"/>
        <n v="20170905"/>
        <n v="20181228"/>
        <n v="20181129"/>
        <n v="20140909"/>
        <n v="20160914"/>
        <n v="20220428"/>
        <n v="20180828"/>
        <n v="20200206"/>
        <n v="20170531"/>
        <n v="20170519"/>
        <n v="20150528"/>
        <n v="20150326"/>
        <n v="20170601"/>
        <n v="20220729"/>
        <n v="20161108"/>
        <n v="20220506"/>
        <n v="20170210"/>
        <n v="20220324"/>
        <n v="20200430"/>
        <n v="20211111"/>
        <n v="20180330"/>
        <n v="20220218"/>
        <n v="20211215"/>
        <n v="20190620"/>
        <n v="20161228"/>
        <n v="20211122"/>
        <n v="20181115"/>
        <n v="20200323"/>
        <n v="20150217"/>
        <n v="20170418"/>
        <n v="20170615"/>
        <n v="20150515"/>
        <n v="20170106"/>
        <n v="20170509"/>
        <n v="20170731"/>
        <n v="20220712"/>
        <n v="20190716"/>
        <n v="20170222"/>
        <n v="20161230"/>
        <n v="20190719"/>
        <n v="20161026"/>
        <n v="20180508"/>
        <n v="20171030"/>
        <n v="20220315"/>
        <n v="20170110"/>
        <n v="20190515"/>
        <n v="20170517"/>
        <n v="20170911"/>
        <n v="20190729"/>
        <n v="20221108"/>
        <n v="20140211"/>
        <n v="20171031"/>
        <n v="20200204"/>
        <n v="20180910"/>
        <n v="20161227"/>
        <n v="20151231"/>
        <n v="20180412"/>
        <n v="20170710"/>
        <n v="20140926"/>
        <n v="20140122"/>
        <n v="20150302"/>
        <n v="20161013"/>
        <n v="20150424"/>
        <n v="20170619"/>
        <n v="20190416"/>
        <n v="20161130"/>
        <n v="20170502"/>
        <n v="20170915"/>
        <n v="20160728"/>
        <n v="20161129"/>
        <n v="20210407"/>
        <n v="20170616"/>
        <n v="20190523"/>
        <n v="20140701"/>
        <n v="20171229"/>
        <n v="20170213"/>
        <n v="20170705"/>
        <n v="20190117"/>
        <n v="20120507"/>
        <n v="20170620"/>
        <n v="20161124"/>
        <n v="20170119"/>
        <n v="20160519"/>
        <n v="20180426"/>
        <n v="20190130"/>
        <n v="20200407"/>
        <n v="20150513"/>
        <n v="20180124"/>
        <n v="20170801"/>
        <n v="20170125"/>
        <n v="20170901"/>
        <n v="20170206"/>
        <n v="20170926"/>
        <n v="20171120"/>
        <n v="20120521"/>
        <n v="20141204"/>
        <n v="20140703"/>
        <n v="20160205"/>
        <n v="20170928"/>
        <n v="20190402"/>
        <n v="20170622"/>
        <n v="20170522"/>
        <n v="20170405"/>
        <n v="20170912"/>
        <n v="20170717"/>
        <n v="20170324"/>
        <n v="20161215"/>
        <n v="20191125"/>
        <n v="20200429"/>
        <n v="20160912"/>
        <n v="20171018"/>
        <n v="20151209"/>
        <n v="20120824"/>
        <n v="20200730"/>
        <n v="20161221"/>
        <n v="20161011"/>
        <n v="20170124"/>
        <n v="20200428"/>
        <n v="20170104"/>
        <n v="20170809"/>
        <n v="20171020"/>
        <n v="20171218"/>
        <n v="20180528"/>
        <n v="20170516"/>
        <n v="20191111"/>
        <n v="20170607"/>
        <n v="20171016"/>
        <n v="20170904"/>
        <n v="20170504"/>
        <n v="20170503"/>
        <n v="20180201"/>
        <n v="20171106"/>
        <n v="20151224"/>
        <n v="20210531"/>
        <n v="20160819"/>
        <n v="20180202"/>
        <n v="20141203"/>
        <n v="20160309"/>
        <n v="20170907"/>
        <n v="20160503"/>
        <n v="20210615"/>
        <n v="20190805"/>
        <n v="20170808"/>
        <n v="20170613"/>
        <n v="20170407"/>
        <n v="20200115"/>
        <n v="20140124"/>
        <n v="20161110"/>
        <n v="20150127"/>
        <n v="20161202"/>
        <n v="20200925"/>
        <n v="20160810"/>
        <n v="20161222"/>
        <n v="20170111"/>
        <n v="20170525"/>
        <n v="20180921"/>
        <n v="20161214"/>
        <n v="20170406"/>
        <n v="20180622"/>
        <n v="20141229"/>
        <n v="20180827"/>
        <n v="20170712"/>
        <n v="20180427"/>
        <n v="20150123"/>
        <n v="20170810"/>
        <n v="20170217"/>
        <n v="20171115"/>
        <n v="20141015"/>
        <n v="20171025"/>
        <n v="20160218"/>
        <n v="20140808"/>
        <n v="20150128"/>
        <n v="20170718"/>
        <n v="20190730"/>
        <n v="20170703"/>
        <n v="20170112"/>
        <n v="20181224"/>
        <n v="20170313"/>
        <n v="20161117"/>
        <n v="20141230"/>
        <n v="20170208"/>
        <n v="20170913"/>
        <n v="20180627"/>
        <n v="20170321"/>
        <n v="20180730"/>
        <n v="20160901"/>
        <n v="20171103"/>
        <n v="20161201"/>
        <n v="20171121"/>
        <n v="20190806"/>
        <n v="20160801"/>
        <n v="20180612"/>
        <n v="20161025"/>
        <n v="20170721"/>
        <n v="20170621"/>
        <n v="20180227"/>
        <n v="20190326"/>
        <n v="20200421"/>
        <n v="20171127"/>
        <n v="20190726"/>
        <n v="20141031"/>
        <n v="20180703"/>
        <n v="20190508"/>
        <n v="20140117"/>
        <n v="20190122"/>
        <n v="20160412"/>
        <n v="20170719"/>
        <n v="20161213"/>
        <n v="20180208"/>
        <n v="20171130"/>
        <n v="20180226"/>
        <n v="20180713"/>
        <n v="20161031"/>
        <n v="20170327"/>
        <n v="20200224"/>
        <n v="20170811"/>
        <n v="20170906"/>
        <n v="20160421"/>
        <n v="20161122"/>
        <n v="20150324"/>
        <n v="20180420"/>
        <n v="20160603"/>
        <n v="20160928"/>
        <n v="20190116"/>
        <n v="20190828"/>
        <n v="20170711"/>
        <n v="20210326"/>
        <n v="20120810"/>
        <n v="20180417"/>
        <n v="20170817"/>
        <n v="20161012"/>
        <n v="20160516"/>
        <n v="20191015"/>
        <n v="20170427"/>
        <n v="20150120"/>
        <n v="20150427"/>
        <n v="20180912"/>
        <n v="20170413"/>
        <n v="20160406"/>
        <n v="20150129"/>
        <n v="20151210"/>
        <n v="20170630"/>
        <n v="20140905"/>
        <n v="20171128"/>
        <n v="20180917"/>
        <n v="20170315"/>
        <n v="20170918"/>
        <n v="20191021"/>
        <n v="20161014"/>
        <n v="20170220"/>
        <n v="20161125"/>
        <n v="20160428"/>
        <n v="20161220"/>
        <n v="20170802"/>
        <n v="20171017"/>
        <n v="20210526"/>
        <n v="20150701"/>
        <n v="20170214"/>
        <n v="20160905"/>
        <n v="20171201"/>
        <n v="20170524"/>
        <n v="20161118"/>
        <n v="20161021"/>
        <n v="20160322"/>
        <n v="20190621"/>
        <n v="20151222"/>
        <n v="20190627"/>
        <n v="20160418"/>
        <n v="20180206"/>
        <n v="20180418"/>
        <n v="20170109"/>
        <n v="20161219"/>
        <n v="20170614"/>
        <n v="20170807"/>
        <n v="20170908"/>
        <n v="20161010"/>
        <n v="20161028"/>
        <n v="20171212"/>
        <n v="20200207"/>
        <n v="20180122"/>
        <n v="20170510"/>
        <n v="20180410"/>
        <n v="20161123"/>
        <n v="20170314"/>
        <n v="20170307"/>
        <n v="20160628"/>
        <n v="20171101"/>
        <n v="20190614"/>
        <n v="20171204"/>
        <n v="20160310"/>
        <n v="20170426"/>
        <n v="20171023"/>
        <n v="20190909"/>
        <n v="20161212"/>
        <n v="20200819"/>
        <n v="20170706"/>
        <n v="20171102"/>
        <n v="20170628"/>
        <n v="20200302"/>
        <n v="20200310"/>
        <n v="20200526"/>
        <n v="20170310"/>
        <n v="20190222"/>
        <n v="20160629"/>
        <n v="20160517"/>
        <n v="20170922"/>
        <n v="20190429"/>
        <n v="20150227"/>
        <n v="20171116"/>
        <n v="20170822"/>
        <n v="20161111"/>
        <n v="20190522"/>
        <n v="20190725"/>
        <n v="20170505"/>
        <n v="20160818"/>
        <n v="20161121"/>
        <n v="20141104"/>
        <n v="20161208"/>
        <n v="20170308"/>
        <n v="20190826"/>
        <n v="20121009"/>
        <n v="20191224"/>
        <n v="20141205"/>
        <n v="20200522"/>
        <n v="20200908"/>
        <n v="20210119"/>
        <n v="20200903"/>
        <n v="20201110"/>
        <n v="20200821"/>
        <n v="20200911"/>
        <n v="20210421"/>
        <n v="20200929"/>
        <n v="20210709"/>
        <n v="20210712"/>
        <n v="20210916"/>
        <n v="20200924"/>
        <n v="20210129"/>
        <n v="20210720"/>
        <n v="20201021"/>
        <n v="20210301"/>
        <n v="20200807"/>
        <n v="20201123"/>
        <n v="20210816"/>
        <n v="20210209"/>
        <n v="20210506"/>
        <n v="20210416"/>
        <n v="20200817"/>
        <n v="20210427"/>
        <n v="20200930"/>
        <n v="20200811"/>
        <n v="20200716"/>
        <n v="20200928"/>
        <n v="20200921"/>
        <n v="20210420"/>
        <n v="20210310"/>
        <n v="20200825"/>
        <n v="20200915"/>
        <n v="20210224"/>
        <n v="20211027"/>
        <n v="20201215"/>
        <n v="20201231"/>
        <n v="20200805"/>
        <n v="20210707"/>
        <n v="20200618"/>
        <n v="20210726"/>
        <n v="20200528"/>
        <n v="20201030"/>
        <n v="20201125"/>
        <n v="20201228"/>
        <n v="20210430"/>
        <n v="20201207"/>
        <n v="20201222"/>
        <n v="20200728"/>
        <n v="20210528"/>
        <n v="20210511"/>
        <n v="20200918"/>
        <n v="20200710"/>
        <n v="20210308"/>
        <n v="20210120"/>
        <n v="20201203"/>
        <n v="20201201"/>
        <n v="20210106"/>
        <n v="20210322"/>
        <n v="20210706"/>
        <n v="20200601"/>
        <n v="20210426"/>
        <n v="20200803"/>
        <n v="20210607"/>
        <n v="20200818"/>
        <n v="20201019"/>
        <n v="20210208"/>
        <n v="20201012"/>
        <n v="20200812"/>
        <n v="20200916"/>
        <n v="20201208"/>
        <n v="20210412"/>
        <n v="20210121"/>
        <n v="20200804"/>
        <n v="20210527"/>
        <n v="20210802"/>
        <n v="20211025"/>
        <n v="20211013"/>
        <n v="20210824"/>
        <n v="20210812"/>
        <n v="20210810"/>
        <n v="20210917"/>
        <n v="2021090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79">
  <r>
    <x v="0"/>
    <x v="0"/>
    <x v="0"/>
    <x v="0"/>
    <x v="0"/>
    <x v="0"/>
    <x v="0"/>
    <x v="0"/>
    <x v="0"/>
    <x v="0"/>
  </r>
  <r>
    <x v="1"/>
    <x v="1"/>
    <x v="1"/>
    <x v="0"/>
    <x v="1"/>
    <x v="1"/>
    <x v="0"/>
    <x v="0"/>
    <x v="0"/>
    <x v="1"/>
  </r>
  <r>
    <x v="2"/>
    <x v="2"/>
    <x v="2"/>
    <x v="0"/>
    <x v="2"/>
    <x v="2"/>
    <x v="0"/>
    <x v="0"/>
    <x v="0"/>
    <x v="2"/>
  </r>
  <r>
    <x v="3"/>
    <x v="3"/>
    <x v="3"/>
    <x v="0"/>
    <x v="3"/>
    <x v="3"/>
    <x v="0"/>
    <x v="0"/>
    <x v="0"/>
    <x v="3"/>
  </r>
  <r>
    <x v="4"/>
    <x v="4"/>
    <x v="4"/>
    <x v="0"/>
    <x v="4"/>
    <x v="4"/>
    <x v="0"/>
    <x v="0"/>
    <x v="0"/>
    <x v="4"/>
  </r>
  <r>
    <x v="5"/>
    <x v="5"/>
    <x v="5"/>
    <x v="0"/>
    <x v="5"/>
    <x v="5"/>
    <x v="0"/>
    <x v="0"/>
    <x v="0"/>
    <x v="5"/>
  </r>
  <r>
    <x v="6"/>
    <x v="6"/>
    <x v="6"/>
    <x v="1"/>
    <x v="6"/>
    <x v="6"/>
    <x v="0"/>
    <x v="0"/>
    <x v="0"/>
    <x v="6"/>
  </r>
  <r>
    <x v="7"/>
    <x v="7"/>
    <x v="7"/>
    <x v="0"/>
    <x v="7"/>
    <x v="7"/>
    <x v="0"/>
    <x v="0"/>
    <x v="0"/>
    <x v="7"/>
  </r>
  <r>
    <x v="8"/>
    <x v="8"/>
    <x v="8"/>
    <x v="0"/>
    <x v="8"/>
    <x v="8"/>
    <x v="0"/>
    <x v="0"/>
    <x v="0"/>
    <x v="8"/>
  </r>
  <r>
    <x v="9"/>
    <x v="9"/>
    <x v="9"/>
    <x v="0"/>
    <x v="4"/>
    <x v="9"/>
    <x v="0"/>
    <x v="0"/>
    <x v="0"/>
    <x v="9"/>
  </r>
  <r>
    <x v="10"/>
    <x v="10"/>
    <x v="10"/>
    <x v="0"/>
    <x v="9"/>
    <x v="10"/>
    <x v="0"/>
    <x v="0"/>
    <x v="0"/>
    <x v="10"/>
  </r>
  <r>
    <x v="11"/>
    <x v="11"/>
    <x v="11"/>
    <x v="0"/>
    <x v="1"/>
    <x v="11"/>
    <x v="0"/>
    <x v="0"/>
    <x v="0"/>
    <x v="11"/>
  </r>
  <r>
    <x v="12"/>
    <x v="12"/>
    <x v="12"/>
    <x v="0"/>
    <x v="10"/>
    <x v="12"/>
    <x v="0"/>
    <x v="0"/>
    <x v="0"/>
    <x v="12"/>
  </r>
  <r>
    <x v="13"/>
    <x v="13"/>
    <x v="13"/>
    <x v="0"/>
    <x v="11"/>
    <x v="13"/>
    <x v="0"/>
    <x v="0"/>
    <x v="0"/>
    <x v="13"/>
  </r>
  <r>
    <x v="14"/>
    <x v="14"/>
    <x v="14"/>
    <x v="0"/>
    <x v="12"/>
    <x v="14"/>
    <x v="0"/>
    <x v="0"/>
    <x v="0"/>
    <x v="14"/>
  </r>
  <r>
    <x v="15"/>
    <x v="15"/>
    <x v="15"/>
    <x v="0"/>
    <x v="13"/>
    <x v="15"/>
    <x v="0"/>
    <x v="0"/>
    <x v="0"/>
    <x v="15"/>
  </r>
  <r>
    <x v="16"/>
    <x v="16"/>
    <x v="16"/>
    <x v="0"/>
    <x v="14"/>
    <x v="16"/>
    <x v="0"/>
    <x v="0"/>
    <x v="0"/>
    <x v="16"/>
  </r>
  <r>
    <x v="17"/>
    <x v="17"/>
    <x v="17"/>
    <x v="0"/>
    <x v="15"/>
    <x v="17"/>
    <x v="0"/>
    <x v="0"/>
    <x v="0"/>
    <x v="17"/>
  </r>
  <r>
    <x v="18"/>
    <x v="18"/>
    <x v="18"/>
    <x v="0"/>
    <x v="16"/>
    <x v="18"/>
    <x v="0"/>
    <x v="0"/>
    <x v="0"/>
    <x v="18"/>
  </r>
  <r>
    <x v="19"/>
    <x v="19"/>
    <x v="19"/>
    <x v="0"/>
    <x v="11"/>
    <x v="19"/>
    <x v="0"/>
    <x v="0"/>
    <x v="0"/>
    <x v="19"/>
  </r>
  <r>
    <x v="20"/>
    <x v="20"/>
    <x v="20"/>
    <x v="0"/>
    <x v="17"/>
    <x v="20"/>
    <x v="0"/>
    <x v="0"/>
    <x v="0"/>
    <x v="20"/>
  </r>
  <r>
    <x v="21"/>
    <x v="21"/>
    <x v="21"/>
    <x v="0"/>
    <x v="18"/>
    <x v="21"/>
    <x v="0"/>
    <x v="0"/>
    <x v="0"/>
    <x v="21"/>
  </r>
  <r>
    <x v="22"/>
    <x v="22"/>
    <x v="22"/>
    <x v="0"/>
    <x v="4"/>
    <x v="22"/>
    <x v="0"/>
    <x v="0"/>
    <x v="0"/>
    <x v="22"/>
  </r>
  <r>
    <x v="23"/>
    <x v="23"/>
    <x v="23"/>
    <x v="2"/>
    <x v="19"/>
    <x v="23"/>
    <x v="0"/>
    <x v="0"/>
    <x v="0"/>
    <x v="23"/>
  </r>
  <r>
    <x v="24"/>
    <x v="24"/>
    <x v="24"/>
    <x v="0"/>
    <x v="1"/>
    <x v="24"/>
    <x v="0"/>
    <x v="0"/>
    <x v="0"/>
    <x v="24"/>
  </r>
  <r>
    <x v="25"/>
    <x v="25"/>
    <x v="25"/>
    <x v="0"/>
    <x v="8"/>
    <x v="25"/>
    <x v="0"/>
    <x v="0"/>
    <x v="0"/>
    <x v="25"/>
  </r>
  <r>
    <x v="26"/>
    <x v="26"/>
    <x v="26"/>
    <x v="0"/>
    <x v="2"/>
    <x v="26"/>
    <x v="0"/>
    <x v="0"/>
    <x v="0"/>
    <x v="26"/>
  </r>
  <r>
    <x v="27"/>
    <x v="27"/>
    <x v="27"/>
    <x v="3"/>
    <x v="3"/>
    <x v="27"/>
    <x v="0"/>
    <x v="0"/>
    <x v="0"/>
    <x v="27"/>
  </r>
  <r>
    <x v="28"/>
    <x v="28"/>
    <x v="28"/>
    <x v="0"/>
    <x v="1"/>
    <x v="28"/>
    <x v="0"/>
    <x v="0"/>
    <x v="0"/>
    <x v="28"/>
  </r>
  <r>
    <x v="29"/>
    <x v="29"/>
    <x v="29"/>
    <x v="0"/>
    <x v="17"/>
    <x v="29"/>
    <x v="0"/>
    <x v="0"/>
    <x v="0"/>
    <x v="29"/>
  </r>
  <r>
    <x v="30"/>
    <x v="30"/>
    <x v="30"/>
    <x v="0"/>
    <x v="20"/>
    <x v="30"/>
    <x v="0"/>
    <x v="0"/>
    <x v="0"/>
    <x v="30"/>
  </r>
  <r>
    <x v="31"/>
    <x v="31"/>
    <x v="31"/>
    <x v="0"/>
    <x v="6"/>
    <x v="31"/>
    <x v="0"/>
    <x v="0"/>
    <x v="0"/>
    <x v="27"/>
  </r>
  <r>
    <x v="32"/>
    <x v="32"/>
    <x v="32"/>
    <x v="0"/>
    <x v="21"/>
    <x v="32"/>
    <x v="0"/>
    <x v="0"/>
    <x v="0"/>
    <x v="30"/>
  </r>
  <r>
    <x v="33"/>
    <x v="33"/>
    <x v="33"/>
    <x v="0"/>
    <x v="1"/>
    <x v="33"/>
    <x v="0"/>
    <x v="0"/>
    <x v="0"/>
    <x v="31"/>
  </r>
  <r>
    <x v="34"/>
    <x v="34"/>
    <x v="34"/>
    <x v="0"/>
    <x v="13"/>
    <x v="34"/>
    <x v="0"/>
    <x v="0"/>
    <x v="0"/>
    <x v="32"/>
  </r>
  <r>
    <x v="35"/>
    <x v="35"/>
    <x v="35"/>
    <x v="1"/>
    <x v="22"/>
    <x v="35"/>
    <x v="0"/>
    <x v="0"/>
    <x v="0"/>
    <x v="33"/>
  </r>
  <r>
    <x v="36"/>
    <x v="36"/>
    <x v="36"/>
    <x v="0"/>
    <x v="4"/>
    <x v="36"/>
    <x v="0"/>
    <x v="0"/>
    <x v="0"/>
    <x v="34"/>
  </r>
  <r>
    <x v="37"/>
    <x v="37"/>
    <x v="37"/>
    <x v="0"/>
    <x v="7"/>
    <x v="37"/>
    <x v="0"/>
    <x v="0"/>
    <x v="0"/>
    <x v="35"/>
  </r>
  <r>
    <x v="38"/>
    <x v="38"/>
    <x v="38"/>
    <x v="0"/>
    <x v="13"/>
    <x v="38"/>
    <x v="0"/>
    <x v="0"/>
    <x v="0"/>
    <x v="36"/>
  </r>
  <r>
    <x v="39"/>
    <x v="39"/>
    <x v="39"/>
    <x v="0"/>
    <x v="23"/>
    <x v="39"/>
    <x v="0"/>
    <x v="0"/>
    <x v="0"/>
    <x v="37"/>
  </r>
  <r>
    <x v="40"/>
    <x v="40"/>
    <x v="40"/>
    <x v="0"/>
    <x v="24"/>
    <x v="40"/>
    <x v="0"/>
    <x v="0"/>
    <x v="0"/>
    <x v="38"/>
  </r>
  <r>
    <x v="41"/>
    <x v="41"/>
    <x v="41"/>
    <x v="0"/>
    <x v="25"/>
    <x v="41"/>
    <x v="0"/>
    <x v="0"/>
    <x v="0"/>
    <x v="39"/>
  </r>
  <r>
    <x v="42"/>
    <x v="42"/>
    <x v="42"/>
    <x v="4"/>
    <x v="26"/>
    <x v="42"/>
    <x v="0"/>
    <x v="0"/>
    <x v="0"/>
    <x v="40"/>
  </r>
  <r>
    <x v="43"/>
    <x v="43"/>
    <x v="43"/>
    <x v="0"/>
    <x v="27"/>
    <x v="43"/>
    <x v="0"/>
    <x v="0"/>
    <x v="0"/>
    <x v="41"/>
  </r>
  <r>
    <x v="44"/>
    <x v="44"/>
    <x v="44"/>
    <x v="0"/>
    <x v="12"/>
    <x v="44"/>
    <x v="0"/>
    <x v="0"/>
    <x v="0"/>
    <x v="42"/>
  </r>
  <r>
    <x v="45"/>
    <x v="45"/>
    <x v="45"/>
    <x v="0"/>
    <x v="13"/>
    <x v="45"/>
    <x v="0"/>
    <x v="0"/>
    <x v="0"/>
    <x v="40"/>
  </r>
  <r>
    <x v="46"/>
    <x v="46"/>
    <x v="46"/>
    <x v="0"/>
    <x v="28"/>
    <x v="46"/>
    <x v="0"/>
    <x v="0"/>
    <x v="0"/>
    <x v="43"/>
  </r>
  <r>
    <x v="47"/>
    <x v="47"/>
    <x v="47"/>
    <x v="1"/>
    <x v="8"/>
    <x v="47"/>
    <x v="0"/>
    <x v="0"/>
    <x v="0"/>
    <x v="44"/>
  </r>
  <r>
    <x v="48"/>
    <x v="48"/>
    <x v="48"/>
    <x v="0"/>
    <x v="14"/>
    <x v="48"/>
    <x v="0"/>
    <x v="0"/>
    <x v="0"/>
    <x v="45"/>
  </r>
  <r>
    <x v="49"/>
    <x v="49"/>
    <x v="49"/>
    <x v="0"/>
    <x v="3"/>
    <x v="49"/>
    <x v="0"/>
    <x v="0"/>
    <x v="0"/>
    <x v="46"/>
  </r>
  <r>
    <x v="50"/>
    <x v="50"/>
    <x v="50"/>
    <x v="0"/>
    <x v="29"/>
    <x v="50"/>
    <x v="0"/>
    <x v="0"/>
    <x v="0"/>
    <x v="47"/>
  </r>
  <r>
    <x v="51"/>
    <x v="51"/>
    <x v="51"/>
    <x v="0"/>
    <x v="28"/>
    <x v="51"/>
    <x v="0"/>
    <x v="0"/>
    <x v="0"/>
    <x v="48"/>
  </r>
  <r>
    <x v="52"/>
    <x v="52"/>
    <x v="52"/>
    <x v="0"/>
    <x v="18"/>
    <x v="52"/>
    <x v="0"/>
    <x v="0"/>
    <x v="0"/>
    <x v="49"/>
  </r>
  <r>
    <x v="53"/>
    <x v="53"/>
    <x v="53"/>
    <x v="0"/>
    <x v="30"/>
    <x v="53"/>
    <x v="0"/>
    <x v="0"/>
    <x v="0"/>
    <x v="50"/>
  </r>
  <r>
    <x v="54"/>
    <x v="54"/>
    <x v="54"/>
    <x v="0"/>
    <x v="31"/>
    <x v="54"/>
    <x v="0"/>
    <x v="0"/>
    <x v="0"/>
    <x v="51"/>
  </r>
  <r>
    <x v="55"/>
    <x v="55"/>
    <x v="55"/>
    <x v="0"/>
    <x v="8"/>
    <x v="55"/>
    <x v="0"/>
    <x v="0"/>
    <x v="0"/>
    <x v="52"/>
  </r>
  <r>
    <x v="56"/>
    <x v="56"/>
    <x v="56"/>
    <x v="0"/>
    <x v="32"/>
    <x v="56"/>
    <x v="0"/>
    <x v="0"/>
    <x v="0"/>
    <x v="53"/>
  </r>
  <r>
    <x v="57"/>
    <x v="57"/>
    <x v="57"/>
    <x v="0"/>
    <x v="33"/>
    <x v="57"/>
    <x v="0"/>
    <x v="0"/>
    <x v="0"/>
    <x v="54"/>
  </r>
  <r>
    <x v="58"/>
    <x v="58"/>
    <x v="58"/>
    <x v="5"/>
    <x v="13"/>
    <x v="58"/>
    <x v="0"/>
    <x v="0"/>
    <x v="0"/>
    <x v="55"/>
  </r>
  <r>
    <x v="59"/>
    <x v="59"/>
    <x v="59"/>
    <x v="5"/>
    <x v="34"/>
    <x v="59"/>
    <x v="0"/>
    <x v="0"/>
    <x v="0"/>
    <x v="56"/>
  </r>
  <r>
    <x v="60"/>
    <x v="60"/>
    <x v="60"/>
    <x v="1"/>
    <x v="35"/>
    <x v="60"/>
    <x v="0"/>
    <x v="0"/>
    <x v="0"/>
    <x v="57"/>
  </r>
  <r>
    <x v="61"/>
    <x v="61"/>
    <x v="61"/>
    <x v="6"/>
    <x v="36"/>
    <x v="61"/>
    <x v="0"/>
    <x v="0"/>
    <x v="0"/>
    <x v="58"/>
  </r>
  <r>
    <x v="62"/>
    <x v="62"/>
    <x v="62"/>
    <x v="7"/>
    <x v="21"/>
    <x v="62"/>
    <x v="0"/>
    <x v="0"/>
    <x v="0"/>
    <x v="59"/>
  </r>
  <r>
    <x v="63"/>
    <x v="63"/>
    <x v="63"/>
    <x v="8"/>
    <x v="37"/>
    <x v="63"/>
    <x v="0"/>
    <x v="0"/>
    <x v="0"/>
    <x v="57"/>
  </r>
  <r>
    <x v="64"/>
    <x v="64"/>
    <x v="64"/>
    <x v="9"/>
    <x v="38"/>
    <x v="64"/>
    <x v="0"/>
    <x v="0"/>
    <x v="0"/>
    <x v="60"/>
  </r>
  <r>
    <x v="65"/>
    <x v="65"/>
    <x v="65"/>
    <x v="10"/>
    <x v="2"/>
    <x v="65"/>
    <x v="0"/>
    <x v="0"/>
    <x v="0"/>
    <x v="53"/>
  </r>
  <r>
    <x v="66"/>
    <x v="66"/>
    <x v="66"/>
    <x v="11"/>
    <x v="32"/>
    <x v="66"/>
    <x v="0"/>
    <x v="0"/>
    <x v="0"/>
    <x v="59"/>
  </r>
  <r>
    <x v="67"/>
    <x v="67"/>
    <x v="67"/>
    <x v="11"/>
    <x v="39"/>
    <x v="67"/>
    <x v="0"/>
    <x v="0"/>
    <x v="0"/>
    <x v="61"/>
  </r>
  <r>
    <x v="68"/>
    <x v="68"/>
    <x v="68"/>
    <x v="3"/>
    <x v="40"/>
    <x v="68"/>
    <x v="0"/>
    <x v="0"/>
    <x v="0"/>
    <x v="62"/>
  </r>
  <r>
    <x v="69"/>
    <x v="69"/>
    <x v="69"/>
    <x v="5"/>
    <x v="10"/>
    <x v="69"/>
    <x v="0"/>
    <x v="0"/>
    <x v="0"/>
    <x v="63"/>
  </r>
  <r>
    <x v="70"/>
    <x v="70"/>
    <x v="70"/>
    <x v="12"/>
    <x v="19"/>
    <x v="70"/>
    <x v="0"/>
    <x v="0"/>
    <x v="0"/>
    <x v="64"/>
  </r>
  <r>
    <x v="71"/>
    <x v="71"/>
    <x v="71"/>
    <x v="13"/>
    <x v="7"/>
    <x v="71"/>
    <x v="0"/>
    <x v="0"/>
    <x v="0"/>
    <x v="65"/>
  </r>
  <r>
    <x v="72"/>
    <x v="72"/>
    <x v="72"/>
    <x v="10"/>
    <x v="15"/>
    <x v="72"/>
    <x v="0"/>
    <x v="0"/>
    <x v="0"/>
    <x v="66"/>
  </r>
  <r>
    <x v="73"/>
    <x v="73"/>
    <x v="73"/>
    <x v="1"/>
    <x v="1"/>
    <x v="73"/>
    <x v="0"/>
    <x v="0"/>
    <x v="0"/>
    <x v="67"/>
  </r>
  <r>
    <x v="74"/>
    <x v="74"/>
    <x v="74"/>
    <x v="14"/>
    <x v="34"/>
    <x v="74"/>
    <x v="0"/>
    <x v="0"/>
    <x v="0"/>
    <x v="68"/>
  </r>
  <r>
    <x v="75"/>
    <x v="75"/>
    <x v="75"/>
    <x v="15"/>
    <x v="10"/>
    <x v="75"/>
    <x v="0"/>
    <x v="0"/>
    <x v="0"/>
    <x v="69"/>
  </r>
  <r>
    <x v="76"/>
    <x v="76"/>
    <x v="76"/>
    <x v="12"/>
    <x v="41"/>
    <x v="76"/>
    <x v="0"/>
    <x v="0"/>
    <x v="0"/>
    <x v="70"/>
  </r>
  <r>
    <x v="77"/>
    <x v="77"/>
    <x v="77"/>
    <x v="16"/>
    <x v="42"/>
    <x v="77"/>
    <x v="0"/>
    <x v="0"/>
    <x v="0"/>
    <x v="68"/>
  </r>
  <r>
    <x v="78"/>
    <x v="78"/>
    <x v="78"/>
    <x v="12"/>
    <x v="2"/>
    <x v="78"/>
    <x v="0"/>
    <x v="0"/>
    <x v="0"/>
    <x v="71"/>
  </r>
  <r>
    <x v="79"/>
    <x v="79"/>
    <x v="79"/>
    <x v="4"/>
    <x v="43"/>
    <x v="79"/>
    <x v="0"/>
    <x v="0"/>
    <x v="0"/>
    <x v="72"/>
  </r>
  <r>
    <x v="80"/>
    <x v="80"/>
    <x v="80"/>
    <x v="8"/>
    <x v="18"/>
    <x v="80"/>
    <x v="0"/>
    <x v="0"/>
    <x v="0"/>
    <x v="73"/>
  </r>
  <r>
    <x v="81"/>
    <x v="81"/>
    <x v="81"/>
    <x v="10"/>
    <x v="13"/>
    <x v="81"/>
    <x v="0"/>
    <x v="0"/>
    <x v="0"/>
    <x v="74"/>
  </r>
  <r>
    <x v="82"/>
    <x v="82"/>
    <x v="82"/>
    <x v="11"/>
    <x v="22"/>
    <x v="82"/>
    <x v="0"/>
    <x v="0"/>
    <x v="0"/>
    <x v="73"/>
  </r>
  <r>
    <x v="83"/>
    <x v="83"/>
    <x v="83"/>
    <x v="12"/>
    <x v="22"/>
    <x v="83"/>
    <x v="0"/>
    <x v="0"/>
    <x v="0"/>
    <x v="75"/>
  </r>
  <r>
    <x v="84"/>
    <x v="84"/>
    <x v="84"/>
    <x v="6"/>
    <x v="44"/>
    <x v="84"/>
    <x v="0"/>
    <x v="0"/>
    <x v="0"/>
    <x v="76"/>
  </r>
  <r>
    <x v="85"/>
    <x v="85"/>
    <x v="85"/>
    <x v="9"/>
    <x v="44"/>
    <x v="85"/>
    <x v="0"/>
    <x v="0"/>
    <x v="0"/>
    <x v="77"/>
  </r>
  <r>
    <x v="86"/>
    <x v="86"/>
    <x v="86"/>
    <x v="2"/>
    <x v="40"/>
    <x v="86"/>
    <x v="0"/>
    <x v="0"/>
    <x v="0"/>
    <x v="78"/>
  </r>
  <r>
    <x v="87"/>
    <x v="87"/>
    <x v="87"/>
    <x v="3"/>
    <x v="41"/>
    <x v="87"/>
    <x v="0"/>
    <x v="0"/>
    <x v="0"/>
    <x v="79"/>
  </r>
  <r>
    <x v="88"/>
    <x v="88"/>
    <x v="88"/>
    <x v="17"/>
    <x v="42"/>
    <x v="88"/>
    <x v="0"/>
    <x v="0"/>
    <x v="0"/>
    <x v="80"/>
  </r>
  <r>
    <x v="89"/>
    <x v="89"/>
    <x v="89"/>
    <x v="12"/>
    <x v="45"/>
    <x v="89"/>
    <x v="0"/>
    <x v="0"/>
    <x v="0"/>
    <x v="81"/>
  </r>
  <r>
    <x v="90"/>
    <x v="90"/>
    <x v="90"/>
    <x v="3"/>
    <x v="38"/>
    <x v="90"/>
    <x v="0"/>
    <x v="0"/>
    <x v="0"/>
    <x v="82"/>
  </r>
  <r>
    <x v="91"/>
    <x v="91"/>
    <x v="91"/>
    <x v="18"/>
    <x v="27"/>
    <x v="91"/>
    <x v="0"/>
    <x v="0"/>
    <x v="0"/>
    <x v="82"/>
  </r>
  <r>
    <x v="92"/>
    <x v="92"/>
    <x v="92"/>
    <x v="9"/>
    <x v="46"/>
    <x v="92"/>
    <x v="0"/>
    <x v="0"/>
    <x v="0"/>
    <x v="83"/>
  </r>
  <r>
    <x v="93"/>
    <x v="93"/>
    <x v="93"/>
    <x v="5"/>
    <x v="47"/>
    <x v="93"/>
    <x v="0"/>
    <x v="0"/>
    <x v="0"/>
    <x v="84"/>
  </r>
  <r>
    <x v="94"/>
    <x v="94"/>
    <x v="94"/>
    <x v="9"/>
    <x v="29"/>
    <x v="94"/>
    <x v="0"/>
    <x v="0"/>
    <x v="0"/>
    <x v="85"/>
  </r>
  <r>
    <x v="95"/>
    <x v="95"/>
    <x v="95"/>
    <x v="12"/>
    <x v="48"/>
    <x v="95"/>
    <x v="0"/>
    <x v="0"/>
    <x v="0"/>
    <x v="86"/>
  </r>
  <r>
    <x v="96"/>
    <x v="96"/>
    <x v="96"/>
    <x v="12"/>
    <x v="8"/>
    <x v="96"/>
    <x v="0"/>
    <x v="0"/>
    <x v="0"/>
    <x v="87"/>
  </r>
  <r>
    <x v="97"/>
    <x v="97"/>
    <x v="97"/>
    <x v="17"/>
    <x v="44"/>
    <x v="97"/>
    <x v="0"/>
    <x v="0"/>
    <x v="0"/>
    <x v="88"/>
  </r>
  <r>
    <x v="98"/>
    <x v="98"/>
    <x v="98"/>
    <x v="12"/>
    <x v="2"/>
    <x v="98"/>
    <x v="0"/>
    <x v="0"/>
    <x v="0"/>
    <x v="89"/>
  </r>
  <r>
    <x v="99"/>
    <x v="99"/>
    <x v="99"/>
    <x v="9"/>
    <x v="49"/>
    <x v="99"/>
    <x v="0"/>
    <x v="0"/>
    <x v="0"/>
    <x v="90"/>
  </r>
  <r>
    <x v="100"/>
    <x v="100"/>
    <x v="100"/>
    <x v="19"/>
    <x v="50"/>
    <x v="100"/>
    <x v="0"/>
    <x v="0"/>
    <x v="0"/>
    <x v="91"/>
  </r>
  <r>
    <x v="101"/>
    <x v="101"/>
    <x v="101"/>
    <x v="12"/>
    <x v="51"/>
    <x v="101"/>
    <x v="0"/>
    <x v="0"/>
    <x v="0"/>
    <x v="92"/>
  </r>
  <r>
    <x v="102"/>
    <x v="102"/>
    <x v="102"/>
    <x v="5"/>
    <x v="30"/>
    <x v="102"/>
    <x v="0"/>
    <x v="0"/>
    <x v="0"/>
    <x v="93"/>
  </r>
  <r>
    <x v="103"/>
    <x v="103"/>
    <x v="103"/>
    <x v="7"/>
    <x v="13"/>
    <x v="103"/>
    <x v="0"/>
    <x v="0"/>
    <x v="0"/>
    <x v="94"/>
  </r>
  <r>
    <x v="104"/>
    <x v="104"/>
    <x v="104"/>
    <x v="7"/>
    <x v="52"/>
    <x v="104"/>
    <x v="0"/>
    <x v="0"/>
    <x v="0"/>
    <x v="94"/>
  </r>
  <r>
    <x v="105"/>
    <x v="105"/>
    <x v="105"/>
    <x v="5"/>
    <x v="36"/>
    <x v="105"/>
    <x v="0"/>
    <x v="0"/>
    <x v="0"/>
    <x v="25"/>
  </r>
  <r>
    <x v="106"/>
    <x v="106"/>
    <x v="106"/>
    <x v="20"/>
    <x v="4"/>
    <x v="106"/>
    <x v="0"/>
    <x v="0"/>
    <x v="0"/>
    <x v="95"/>
  </r>
  <r>
    <x v="107"/>
    <x v="107"/>
    <x v="107"/>
    <x v="21"/>
    <x v="49"/>
    <x v="107"/>
    <x v="0"/>
    <x v="0"/>
    <x v="0"/>
    <x v="21"/>
  </r>
  <r>
    <x v="108"/>
    <x v="108"/>
    <x v="108"/>
    <x v="8"/>
    <x v="4"/>
    <x v="108"/>
    <x v="0"/>
    <x v="0"/>
    <x v="0"/>
    <x v="96"/>
  </r>
  <r>
    <x v="109"/>
    <x v="109"/>
    <x v="109"/>
    <x v="3"/>
    <x v="34"/>
    <x v="109"/>
    <x v="0"/>
    <x v="0"/>
    <x v="0"/>
    <x v="97"/>
  </r>
  <r>
    <x v="110"/>
    <x v="110"/>
    <x v="110"/>
    <x v="9"/>
    <x v="53"/>
    <x v="110"/>
    <x v="0"/>
    <x v="0"/>
    <x v="0"/>
    <x v="24"/>
  </r>
  <r>
    <x v="111"/>
    <x v="111"/>
    <x v="111"/>
    <x v="17"/>
    <x v="54"/>
    <x v="111"/>
    <x v="0"/>
    <x v="0"/>
    <x v="0"/>
    <x v="98"/>
  </r>
  <r>
    <x v="112"/>
    <x v="112"/>
    <x v="112"/>
    <x v="6"/>
    <x v="10"/>
    <x v="112"/>
    <x v="0"/>
    <x v="0"/>
    <x v="0"/>
    <x v="99"/>
  </r>
  <r>
    <x v="113"/>
    <x v="113"/>
    <x v="113"/>
    <x v="5"/>
    <x v="55"/>
    <x v="113"/>
    <x v="0"/>
    <x v="0"/>
    <x v="0"/>
    <x v="100"/>
  </r>
  <r>
    <x v="114"/>
    <x v="114"/>
    <x v="114"/>
    <x v="5"/>
    <x v="56"/>
    <x v="114"/>
    <x v="0"/>
    <x v="0"/>
    <x v="0"/>
    <x v="101"/>
  </r>
  <r>
    <x v="115"/>
    <x v="115"/>
    <x v="115"/>
    <x v="3"/>
    <x v="42"/>
    <x v="115"/>
    <x v="0"/>
    <x v="0"/>
    <x v="0"/>
    <x v="25"/>
  </r>
  <r>
    <x v="116"/>
    <x v="116"/>
    <x v="116"/>
    <x v="22"/>
    <x v="57"/>
    <x v="116"/>
    <x v="0"/>
    <x v="0"/>
    <x v="0"/>
    <x v="102"/>
  </r>
  <r>
    <x v="117"/>
    <x v="117"/>
    <x v="117"/>
    <x v="23"/>
    <x v="38"/>
    <x v="117"/>
    <x v="0"/>
    <x v="0"/>
    <x v="0"/>
    <x v="101"/>
  </r>
  <r>
    <x v="118"/>
    <x v="118"/>
    <x v="118"/>
    <x v="5"/>
    <x v="58"/>
    <x v="118"/>
    <x v="0"/>
    <x v="0"/>
    <x v="0"/>
    <x v="101"/>
  </r>
  <r>
    <x v="119"/>
    <x v="119"/>
    <x v="119"/>
    <x v="4"/>
    <x v="59"/>
    <x v="119"/>
    <x v="0"/>
    <x v="0"/>
    <x v="0"/>
    <x v="103"/>
  </r>
  <r>
    <x v="120"/>
    <x v="120"/>
    <x v="120"/>
    <x v="5"/>
    <x v="17"/>
    <x v="120"/>
    <x v="0"/>
    <x v="0"/>
    <x v="0"/>
    <x v="104"/>
  </r>
  <r>
    <x v="121"/>
    <x v="121"/>
    <x v="121"/>
    <x v="5"/>
    <x v="22"/>
    <x v="121"/>
    <x v="0"/>
    <x v="0"/>
    <x v="0"/>
    <x v="105"/>
  </r>
  <r>
    <x v="122"/>
    <x v="122"/>
    <x v="122"/>
    <x v="5"/>
    <x v="7"/>
    <x v="122"/>
    <x v="0"/>
    <x v="0"/>
    <x v="0"/>
    <x v="105"/>
  </r>
  <r>
    <x v="123"/>
    <x v="123"/>
    <x v="123"/>
    <x v="5"/>
    <x v="34"/>
    <x v="123"/>
    <x v="0"/>
    <x v="0"/>
    <x v="0"/>
    <x v="106"/>
  </r>
  <r>
    <x v="124"/>
    <x v="124"/>
    <x v="124"/>
    <x v="22"/>
    <x v="13"/>
    <x v="124"/>
    <x v="0"/>
    <x v="0"/>
    <x v="0"/>
    <x v="107"/>
  </r>
  <r>
    <x v="125"/>
    <x v="125"/>
    <x v="125"/>
    <x v="24"/>
    <x v="21"/>
    <x v="125"/>
    <x v="0"/>
    <x v="0"/>
    <x v="0"/>
    <x v="108"/>
  </r>
  <r>
    <x v="126"/>
    <x v="126"/>
    <x v="126"/>
    <x v="25"/>
    <x v="45"/>
    <x v="126"/>
    <x v="0"/>
    <x v="0"/>
    <x v="0"/>
    <x v="109"/>
  </r>
  <r>
    <x v="127"/>
    <x v="127"/>
    <x v="127"/>
    <x v="5"/>
    <x v="17"/>
    <x v="127"/>
    <x v="0"/>
    <x v="0"/>
    <x v="0"/>
    <x v="107"/>
  </r>
  <r>
    <x v="128"/>
    <x v="128"/>
    <x v="128"/>
    <x v="26"/>
    <x v="22"/>
    <x v="128"/>
    <x v="0"/>
    <x v="0"/>
    <x v="0"/>
    <x v="16"/>
  </r>
  <r>
    <x v="129"/>
    <x v="129"/>
    <x v="129"/>
    <x v="5"/>
    <x v="10"/>
    <x v="129"/>
    <x v="0"/>
    <x v="0"/>
    <x v="0"/>
    <x v="110"/>
  </r>
  <r>
    <x v="130"/>
    <x v="130"/>
    <x v="130"/>
    <x v="6"/>
    <x v="17"/>
    <x v="130"/>
    <x v="0"/>
    <x v="0"/>
    <x v="0"/>
    <x v="111"/>
  </r>
  <r>
    <x v="131"/>
    <x v="131"/>
    <x v="131"/>
    <x v="13"/>
    <x v="3"/>
    <x v="131"/>
    <x v="0"/>
    <x v="0"/>
    <x v="0"/>
    <x v="103"/>
  </r>
  <r>
    <x v="132"/>
    <x v="132"/>
    <x v="132"/>
    <x v="2"/>
    <x v="52"/>
    <x v="132"/>
    <x v="0"/>
    <x v="0"/>
    <x v="0"/>
    <x v="109"/>
  </r>
  <r>
    <x v="133"/>
    <x v="133"/>
    <x v="133"/>
    <x v="2"/>
    <x v="3"/>
    <x v="133"/>
    <x v="0"/>
    <x v="0"/>
    <x v="0"/>
    <x v="109"/>
  </r>
  <r>
    <x v="134"/>
    <x v="134"/>
    <x v="134"/>
    <x v="22"/>
    <x v="28"/>
    <x v="134"/>
    <x v="0"/>
    <x v="0"/>
    <x v="0"/>
    <x v="112"/>
  </r>
  <r>
    <x v="135"/>
    <x v="135"/>
    <x v="135"/>
    <x v="9"/>
    <x v="47"/>
    <x v="135"/>
    <x v="0"/>
    <x v="0"/>
    <x v="0"/>
    <x v="111"/>
  </r>
  <r>
    <x v="136"/>
    <x v="136"/>
    <x v="136"/>
    <x v="15"/>
    <x v="60"/>
    <x v="136"/>
    <x v="0"/>
    <x v="0"/>
    <x v="0"/>
    <x v="113"/>
  </r>
  <r>
    <x v="137"/>
    <x v="137"/>
    <x v="137"/>
    <x v="3"/>
    <x v="53"/>
    <x v="137"/>
    <x v="0"/>
    <x v="0"/>
    <x v="0"/>
    <x v="104"/>
  </r>
  <r>
    <x v="138"/>
    <x v="138"/>
    <x v="138"/>
    <x v="27"/>
    <x v="61"/>
    <x v="138"/>
    <x v="0"/>
    <x v="0"/>
    <x v="0"/>
    <x v="104"/>
  </r>
  <r>
    <x v="139"/>
    <x v="139"/>
    <x v="139"/>
    <x v="17"/>
    <x v="42"/>
    <x v="139"/>
    <x v="0"/>
    <x v="0"/>
    <x v="0"/>
    <x v="114"/>
  </r>
  <r>
    <x v="140"/>
    <x v="140"/>
    <x v="140"/>
    <x v="12"/>
    <x v="32"/>
    <x v="140"/>
    <x v="0"/>
    <x v="0"/>
    <x v="0"/>
    <x v="109"/>
  </r>
  <r>
    <x v="141"/>
    <x v="141"/>
    <x v="141"/>
    <x v="0"/>
    <x v="2"/>
    <x v="141"/>
    <x v="0"/>
    <x v="0"/>
    <x v="0"/>
    <x v="27"/>
  </r>
  <r>
    <x v="142"/>
    <x v="142"/>
    <x v="142"/>
    <x v="28"/>
    <x v="62"/>
    <x v="142"/>
    <x v="0"/>
    <x v="0"/>
    <x v="0"/>
    <x v="28"/>
  </r>
  <r>
    <x v="143"/>
    <x v="143"/>
    <x v="143"/>
    <x v="8"/>
    <x v="57"/>
    <x v="143"/>
    <x v="0"/>
    <x v="0"/>
    <x v="0"/>
    <x v="26"/>
  </r>
  <r>
    <x v="144"/>
    <x v="144"/>
    <x v="144"/>
    <x v="8"/>
    <x v="19"/>
    <x v="144"/>
    <x v="0"/>
    <x v="0"/>
    <x v="0"/>
    <x v="106"/>
  </r>
  <r>
    <x v="145"/>
    <x v="145"/>
    <x v="145"/>
    <x v="25"/>
    <x v="24"/>
    <x v="145"/>
    <x v="0"/>
    <x v="0"/>
    <x v="0"/>
    <x v="16"/>
  </r>
  <r>
    <x v="146"/>
    <x v="146"/>
    <x v="146"/>
    <x v="21"/>
    <x v="28"/>
    <x v="146"/>
    <x v="0"/>
    <x v="0"/>
    <x v="0"/>
    <x v="26"/>
  </r>
  <r>
    <x v="147"/>
    <x v="147"/>
    <x v="147"/>
    <x v="21"/>
    <x v="22"/>
    <x v="147"/>
    <x v="0"/>
    <x v="0"/>
    <x v="0"/>
    <x v="106"/>
  </r>
  <r>
    <x v="148"/>
    <x v="148"/>
    <x v="148"/>
    <x v="21"/>
    <x v="44"/>
    <x v="148"/>
    <x v="0"/>
    <x v="0"/>
    <x v="0"/>
    <x v="106"/>
  </r>
  <r>
    <x v="149"/>
    <x v="149"/>
    <x v="149"/>
    <x v="20"/>
    <x v="63"/>
    <x v="149"/>
    <x v="0"/>
    <x v="0"/>
    <x v="0"/>
    <x v="27"/>
  </r>
  <r>
    <x v="150"/>
    <x v="150"/>
    <x v="150"/>
    <x v="19"/>
    <x v="36"/>
    <x v="150"/>
    <x v="0"/>
    <x v="0"/>
    <x v="0"/>
    <x v="115"/>
  </r>
  <r>
    <x v="151"/>
    <x v="151"/>
    <x v="151"/>
    <x v="19"/>
    <x v="22"/>
    <x v="151"/>
    <x v="0"/>
    <x v="0"/>
    <x v="0"/>
    <x v="115"/>
  </r>
  <r>
    <x v="152"/>
    <x v="152"/>
    <x v="152"/>
    <x v="7"/>
    <x v="64"/>
    <x v="152"/>
    <x v="0"/>
    <x v="0"/>
    <x v="0"/>
    <x v="26"/>
  </r>
  <r>
    <x v="153"/>
    <x v="153"/>
    <x v="153"/>
    <x v="3"/>
    <x v="65"/>
    <x v="153"/>
    <x v="0"/>
    <x v="0"/>
    <x v="0"/>
    <x v="29"/>
  </r>
  <r>
    <x v="154"/>
    <x v="154"/>
    <x v="154"/>
    <x v="19"/>
    <x v="61"/>
    <x v="154"/>
    <x v="0"/>
    <x v="0"/>
    <x v="0"/>
    <x v="115"/>
  </r>
  <r>
    <x v="155"/>
    <x v="155"/>
    <x v="155"/>
    <x v="19"/>
    <x v="60"/>
    <x v="155"/>
    <x v="0"/>
    <x v="0"/>
    <x v="0"/>
    <x v="30"/>
  </r>
  <r>
    <x v="156"/>
    <x v="156"/>
    <x v="156"/>
    <x v="5"/>
    <x v="4"/>
    <x v="156"/>
    <x v="0"/>
    <x v="0"/>
    <x v="0"/>
    <x v="32"/>
  </r>
  <r>
    <x v="157"/>
    <x v="157"/>
    <x v="157"/>
    <x v="5"/>
    <x v="50"/>
    <x v="157"/>
    <x v="0"/>
    <x v="0"/>
    <x v="0"/>
    <x v="116"/>
  </r>
  <r>
    <x v="158"/>
    <x v="158"/>
    <x v="158"/>
    <x v="3"/>
    <x v="19"/>
    <x v="158"/>
    <x v="0"/>
    <x v="0"/>
    <x v="0"/>
    <x v="117"/>
  </r>
  <r>
    <x v="159"/>
    <x v="159"/>
    <x v="159"/>
    <x v="23"/>
    <x v="30"/>
    <x v="159"/>
    <x v="0"/>
    <x v="0"/>
    <x v="0"/>
    <x v="118"/>
  </r>
  <r>
    <x v="160"/>
    <x v="160"/>
    <x v="160"/>
    <x v="3"/>
    <x v="53"/>
    <x v="160"/>
    <x v="0"/>
    <x v="0"/>
    <x v="0"/>
    <x v="119"/>
  </r>
  <r>
    <x v="161"/>
    <x v="161"/>
    <x v="161"/>
    <x v="7"/>
    <x v="28"/>
    <x v="161"/>
    <x v="0"/>
    <x v="0"/>
    <x v="0"/>
    <x v="120"/>
  </r>
  <r>
    <x v="162"/>
    <x v="162"/>
    <x v="162"/>
    <x v="29"/>
    <x v="11"/>
    <x v="162"/>
    <x v="0"/>
    <x v="0"/>
    <x v="0"/>
    <x v="121"/>
  </r>
  <r>
    <x v="163"/>
    <x v="163"/>
    <x v="163"/>
    <x v="26"/>
    <x v="19"/>
    <x v="163"/>
    <x v="0"/>
    <x v="0"/>
    <x v="0"/>
    <x v="122"/>
  </r>
  <r>
    <x v="164"/>
    <x v="164"/>
    <x v="164"/>
    <x v="9"/>
    <x v="45"/>
    <x v="164"/>
    <x v="0"/>
    <x v="0"/>
    <x v="0"/>
    <x v="123"/>
  </r>
  <r>
    <x v="165"/>
    <x v="165"/>
    <x v="165"/>
    <x v="20"/>
    <x v="21"/>
    <x v="165"/>
    <x v="0"/>
    <x v="0"/>
    <x v="0"/>
    <x v="124"/>
  </r>
  <r>
    <x v="166"/>
    <x v="166"/>
    <x v="166"/>
    <x v="22"/>
    <x v="66"/>
    <x v="166"/>
    <x v="0"/>
    <x v="0"/>
    <x v="0"/>
    <x v="125"/>
  </r>
  <r>
    <x v="167"/>
    <x v="167"/>
    <x v="167"/>
    <x v="7"/>
    <x v="41"/>
    <x v="167"/>
    <x v="0"/>
    <x v="0"/>
    <x v="0"/>
    <x v="126"/>
  </r>
  <r>
    <x v="168"/>
    <x v="168"/>
    <x v="168"/>
    <x v="28"/>
    <x v="59"/>
    <x v="168"/>
    <x v="0"/>
    <x v="0"/>
    <x v="0"/>
    <x v="127"/>
  </r>
  <r>
    <x v="169"/>
    <x v="169"/>
    <x v="169"/>
    <x v="6"/>
    <x v="64"/>
    <x v="169"/>
    <x v="0"/>
    <x v="0"/>
    <x v="0"/>
    <x v="128"/>
  </r>
  <r>
    <x v="170"/>
    <x v="170"/>
    <x v="170"/>
    <x v="4"/>
    <x v="36"/>
    <x v="170"/>
    <x v="0"/>
    <x v="0"/>
    <x v="0"/>
    <x v="129"/>
  </r>
  <r>
    <x v="171"/>
    <x v="171"/>
    <x v="171"/>
    <x v="7"/>
    <x v="67"/>
    <x v="171"/>
    <x v="0"/>
    <x v="0"/>
    <x v="0"/>
    <x v="130"/>
  </r>
  <r>
    <x v="172"/>
    <x v="172"/>
    <x v="172"/>
    <x v="12"/>
    <x v="19"/>
    <x v="172"/>
    <x v="0"/>
    <x v="0"/>
    <x v="0"/>
    <x v="131"/>
  </r>
  <r>
    <x v="173"/>
    <x v="173"/>
    <x v="173"/>
    <x v="10"/>
    <x v="17"/>
    <x v="173"/>
    <x v="0"/>
    <x v="0"/>
    <x v="0"/>
    <x v="132"/>
  </r>
  <r>
    <x v="174"/>
    <x v="174"/>
    <x v="174"/>
    <x v="5"/>
    <x v="68"/>
    <x v="174"/>
    <x v="0"/>
    <x v="0"/>
    <x v="0"/>
    <x v="133"/>
  </r>
  <r>
    <x v="175"/>
    <x v="175"/>
    <x v="175"/>
    <x v="1"/>
    <x v="27"/>
    <x v="175"/>
    <x v="0"/>
    <x v="0"/>
    <x v="0"/>
    <x v="134"/>
  </r>
  <r>
    <x v="176"/>
    <x v="176"/>
    <x v="176"/>
    <x v="1"/>
    <x v="41"/>
    <x v="176"/>
    <x v="0"/>
    <x v="0"/>
    <x v="0"/>
    <x v="135"/>
  </r>
  <r>
    <x v="177"/>
    <x v="177"/>
    <x v="177"/>
    <x v="16"/>
    <x v="69"/>
    <x v="177"/>
    <x v="0"/>
    <x v="0"/>
    <x v="0"/>
    <x v="136"/>
  </r>
  <r>
    <x v="178"/>
    <x v="178"/>
    <x v="178"/>
    <x v="8"/>
    <x v="70"/>
    <x v="178"/>
    <x v="0"/>
    <x v="0"/>
    <x v="0"/>
    <x v="133"/>
  </r>
  <r>
    <x v="179"/>
    <x v="179"/>
    <x v="179"/>
    <x v="23"/>
    <x v="4"/>
    <x v="179"/>
    <x v="0"/>
    <x v="0"/>
    <x v="0"/>
    <x v="137"/>
  </r>
  <r>
    <x v="180"/>
    <x v="180"/>
    <x v="180"/>
    <x v="1"/>
    <x v="4"/>
    <x v="180"/>
    <x v="0"/>
    <x v="0"/>
    <x v="0"/>
    <x v="138"/>
  </r>
  <r>
    <x v="181"/>
    <x v="181"/>
    <x v="181"/>
    <x v="21"/>
    <x v="56"/>
    <x v="181"/>
    <x v="0"/>
    <x v="0"/>
    <x v="0"/>
    <x v="139"/>
  </r>
  <r>
    <x v="182"/>
    <x v="182"/>
    <x v="182"/>
    <x v="13"/>
    <x v="71"/>
    <x v="182"/>
    <x v="0"/>
    <x v="0"/>
    <x v="0"/>
    <x v="139"/>
  </r>
  <r>
    <x v="183"/>
    <x v="183"/>
    <x v="183"/>
    <x v="17"/>
    <x v="49"/>
    <x v="183"/>
    <x v="0"/>
    <x v="0"/>
    <x v="0"/>
    <x v="140"/>
  </r>
  <r>
    <x v="184"/>
    <x v="184"/>
    <x v="184"/>
    <x v="4"/>
    <x v="1"/>
    <x v="184"/>
    <x v="0"/>
    <x v="0"/>
    <x v="0"/>
    <x v="141"/>
  </r>
  <r>
    <x v="185"/>
    <x v="185"/>
    <x v="185"/>
    <x v="11"/>
    <x v="22"/>
    <x v="185"/>
    <x v="0"/>
    <x v="0"/>
    <x v="0"/>
    <x v="142"/>
  </r>
  <r>
    <x v="186"/>
    <x v="186"/>
    <x v="186"/>
    <x v="6"/>
    <x v="72"/>
    <x v="186"/>
    <x v="0"/>
    <x v="0"/>
    <x v="0"/>
    <x v="143"/>
  </r>
  <r>
    <x v="187"/>
    <x v="187"/>
    <x v="187"/>
    <x v="1"/>
    <x v="1"/>
    <x v="187"/>
    <x v="0"/>
    <x v="0"/>
    <x v="0"/>
    <x v="144"/>
  </r>
  <r>
    <x v="188"/>
    <x v="188"/>
    <x v="188"/>
    <x v="9"/>
    <x v="73"/>
    <x v="188"/>
    <x v="0"/>
    <x v="0"/>
    <x v="0"/>
    <x v="145"/>
  </r>
  <r>
    <x v="189"/>
    <x v="189"/>
    <x v="189"/>
    <x v="2"/>
    <x v="45"/>
    <x v="189"/>
    <x v="0"/>
    <x v="0"/>
    <x v="0"/>
    <x v="146"/>
  </r>
  <r>
    <x v="190"/>
    <x v="190"/>
    <x v="190"/>
    <x v="20"/>
    <x v="60"/>
    <x v="190"/>
    <x v="0"/>
    <x v="0"/>
    <x v="0"/>
    <x v="147"/>
  </r>
  <r>
    <x v="191"/>
    <x v="191"/>
    <x v="191"/>
    <x v="3"/>
    <x v="35"/>
    <x v="191"/>
    <x v="0"/>
    <x v="0"/>
    <x v="0"/>
    <x v="148"/>
  </r>
  <r>
    <x v="192"/>
    <x v="192"/>
    <x v="192"/>
    <x v="17"/>
    <x v="74"/>
    <x v="192"/>
    <x v="0"/>
    <x v="0"/>
    <x v="0"/>
    <x v="149"/>
  </r>
  <r>
    <x v="193"/>
    <x v="193"/>
    <x v="193"/>
    <x v="7"/>
    <x v="8"/>
    <x v="193"/>
    <x v="0"/>
    <x v="0"/>
    <x v="0"/>
    <x v="150"/>
  </r>
  <r>
    <x v="194"/>
    <x v="194"/>
    <x v="194"/>
    <x v="7"/>
    <x v="75"/>
    <x v="194"/>
    <x v="0"/>
    <x v="0"/>
    <x v="0"/>
    <x v="151"/>
  </r>
  <r>
    <x v="195"/>
    <x v="195"/>
    <x v="195"/>
    <x v="6"/>
    <x v="76"/>
    <x v="195"/>
    <x v="0"/>
    <x v="0"/>
    <x v="0"/>
    <x v="152"/>
  </r>
  <r>
    <x v="196"/>
    <x v="196"/>
    <x v="196"/>
    <x v="8"/>
    <x v="4"/>
    <x v="196"/>
    <x v="0"/>
    <x v="0"/>
    <x v="0"/>
    <x v="153"/>
  </r>
  <r>
    <x v="197"/>
    <x v="197"/>
    <x v="197"/>
    <x v="22"/>
    <x v="20"/>
    <x v="197"/>
    <x v="0"/>
    <x v="0"/>
    <x v="0"/>
    <x v="154"/>
  </r>
  <r>
    <x v="198"/>
    <x v="198"/>
    <x v="198"/>
    <x v="11"/>
    <x v="75"/>
    <x v="198"/>
    <x v="0"/>
    <x v="0"/>
    <x v="0"/>
    <x v="149"/>
  </r>
  <r>
    <x v="199"/>
    <x v="199"/>
    <x v="199"/>
    <x v="28"/>
    <x v="52"/>
    <x v="199"/>
    <x v="0"/>
    <x v="0"/>
    <x v="0"/>
    <x v="152"/>
  </r>
  <r>
    <x v="200"/>
    <x v="200"/>
    <x v="200"/>
    <x v="5"/>
    <x v="13"/>
    <x v="200"/>
    <x v="0"/>
    <x v="0"/>
    <x v="0"/>
    <x v="155"/>
  </r>
  <r>
    <x v="201"/>
    <x v="201"/>
    <x v="201"/>
    <x v="5"/>
    <x v="26"/>
    <x v="201"/>
    <x v="0"/>
    <x v="0"/>
    <x v="0"/>
    <x v="156"/>
  </r>
  <r>
    <x v="202"/>
    <x v="202"/>
    <x v="202"/>
    <x v="2"/>
    <x v="2"/>
    <x v="202"/>
    <x v="0"/>
    <x v="0"/>
    <x v="0"/>
    <x v="157"/>
  </r>
  <r>
    <x v="203"/>
    <x v="203"/>
    <x v="203"/>
    <x v="12"/>
    <x v="50"/>
    <x v="203"/>
    <x v="0"/>
    <x v="0"/>
    <x v="0"/>
    <x v="157"/>
  </r>
  <r>
    <x v="204"/>
    <x v="204"/>
    <x v="204"/>
    <x v="15"/>
    <x v="45"/>
    <x v="204"/>
    <x v="0"/>
    <x v="0"/>
    <x v="0"/>
    <x v="158"/>
  </r>
  <r>
    <x v="205"/>
    <x v="205"/>
    <x v="205"/>
    <x v="5"/>
    <x v="10"/>
    <x v="205"/>
    <x v="0"/>
    <x v="0"/>
    <x v="0"/>
    <x v="150"/>
  </r>
  <r>
    <x v="206"/>
    <x v="206"/>
    <x v="206"/>
    <x v="24"/>
    <x v="73"/>
    <x v="206"/>
    <x v="0"/>
    <x v="0"/>
    <x v="0"/>
    <x v="148"/>
  </r>
  <r>
    <x v="207"/>
    <x v="207"/>
    <x v="207"/>
    <x v="12"/>
    <x v="77"/>
    <x v="207"/>
    <x v="0"/>
    <x v="0"/>
    <x v="0"/>
    <x v="148"/>
  </r>
  <r>
    <x v="208"/>
    <x v="208"/>
    <x v="208"/>
    <x v="20"/>
    <x v="1"/>
    <x v="208"/>
    <x v="0"/>
    <x v="0"/>
    <x v="0"/>
    <x v="148"/>
  </r>
  <r>
    <x v="209"/>
    <x v="209"/>
    <x v="209"/>
    <x v="19"/>
    <x v="75"/>
    <x v="209"/>
    <x v="0"/>
    <x v="0"/>
    <x v="0"/>
    <x v="159"/>
  </r>
  <r>
    <x v="210"/>
    <x v="210"/>
    <x v="210"/>
    <x v="5"/>
    <x v="70"/>
    <x v="210"/>
    <x v="0"/>
    <x v="0"/>
    <x v="0"/>
    <x v="160"/>
  </r>
  <r>
    <x v="211"/>
    <x v="211"/>
    <x v="211"/>
    <x v="2"/>
    <x v="34"/>
    <x v="211"/>
    <x v="0"/>
    <x v="0"/>
    <x v="0"/>
    <x v="161"/>
  </r>
  <r>
    <x v="212"/>
    <x v="212"/>
    <x v="212"/>
    <x v="22"/>
    <x v="66"/>
    <x v="212"/>
    <x v="0"/>
    <x v="0"/>
    <x v="0"/>
    <x v="162"/>
  </r>
  <r>
    <x v="213"/>
    <x v="213"/>
    <x v="213"/>
    <x v="17"/>
    <x v="37"/>
    <x v="213"/>
    <x v="0"/>
    <x v="0"/>
    <x v="0"/>
    <x v="158"/>
  </r>
  <r>
    <x v="214"/>
    <x v="214"/>
    <x v="214"/>
    <x v="1"/>
    <x v="22"/>
    <x v="214"/>
    <x v="0"/>
    <x v="0"/>
    <x v="0"/>
    <x v="158"/>
  </r>
  <r>
    <x v="215"/>
    <x v="215"/>
    <x v="215"/>
    <x v="25"/>
    <x v="1"/>
    <x v="215"/>
    <x v="0"/>
    <x v="0"/>
    <x v="0"/>
    <x v="159"/>
  </r>
  <r>
    <x v="216"/>
    <x v="216"/>
    <x v="216"/>
    <x v="12"/>
    <x v="18"/>
    <x v="216"/>
    <x v="0"/>
    <x v="0"/>
    <x v="0"/>
    <x v="158"/>
  </r>
  <r>
    <x v="217"/>
    <x v="217"/>
    <x v="217"/>
    <x v="2"/>
    <x v="41"/>
    <x v="217"/>
    <x v="0"/>
    <x v="0"/>
    <x v="0"/>
    <x v="158"/>
  </r>
  <r>
    <x v="218"/>
    <x v="218"/>
    <x v="218"/>
    <x v="17"/>
    <x v="13"/>
    <x v="218"/>
    <x v="0"/>
    <x v="0"/>
    <x v="0"/>
    <x v="163"/>
  </r>
  <r>
    <x v="219"/>
    <x v="219"/>
    <x v="219"/>
    <x v="22"/>
    <x v="4"/>
    <x v="219"/>
    <x v="0"/>
    <x v="0"/>
    <x v="0"/>
    <x v="161"/>
  </r>
  <r>
    <x v="220"/>
    <x v="220"/>
    <x v="220"/>
    <x v="27"/>
    <x v="15"/>
    <x v="220"/>
    <x v="0"/>
    <x v="0"/>
    <x v="0"/>
    <x v="161"/>
  </r>
  <r>
    <x v="221"/>
    <x v="221"/>
    <x v="221"/>
    <x v="5"/>
    <x v="69"/>
    <x v="221"/>
    <x v="0"/>
    <x v="0"/>
    <x v="0"/>
    <x v="164"/>
  </r>
  <r>
    <x v="222"/>
    <x v="222"/>
    <x v="222"/>
    <x v="12"/>
    <x v="40"/>
    <x v="222"/>
    <x v="0"/>
    <x v="0"/>
    <x v="0"/>
    <x v="39"/>
  </r>
  <r>
    <x v="223"/>
    <x v="223"/>
    <x v="223"/>
    <x v="17"/>
    <x v="19"/>
    <x v="223"/>
    <x v="0"/>
    <x v="0"/>
    <x v="0"/>
    <x v="165"/>
  </r>
  <r>
    <x v="224"/>
    <x v="224"/>
    <x v="224"/>
    <x v="4"/>
    <x v="44"/>
    <x v="224"/>
    <x v="0"/>
    <x v="0"/>
    <x v="0"/>
    <x v="166"/>
  </r>
  <r>
    <x v="225"/>
    <x v="225"/>
    <x v="225"/>
    <x v="12"/>
    <x v="38"/>
    <x v="225"/>
    <x v="0"/>
    <x v="0"/>
    <x v="0"/>
    <x v="167"/>
  </r>
  <r>
    <x v="226"/>
    <x v="226"/>
    <x v="226"/>
    <x v="3"/>
    <x v="69"/>
    <x v="226"/>
    <x v="0"/>
    <x v="0"/>
    <x v="0"/>
    <x v="168"/>
  </r>
  <r>
    <x v="227"/>
    <x v="227"/>
    <x v="227"/>
    <x v="12"/>
    <x v="7"/>
    <x v="227"/>
    <x v="0"/>
    <x v="0"/>
    <x v="0"/>
    <x v="168"/>
  </r>
  <r>
    <x v="228"/>
    <x v="228"/>
    <x v="228"/>
    <x v="18"/>
    <x v="52"/>
    <x v="228"/>
    <x v="0"/>
    <x v="0"/>
    <x v="0"/>
    <x v="169"/>
  </r>
  <r>
    <x v="229"/>
    <x v="229"/>
    <x v="229"/>
    <x v="5"/>
    <x v="67"/>
    <x v="229"/>
    <x v="0"/>
    <x v="0"/>
    <x v="0"/>
    <x v="41"/>
  </r>
  <r>
    <x v="230"/>
    <x v="230"/>
    <x v="230"/>
    <x v="2"/>
    <x v="39"/>
    <x v="230"/>
    <x v="0"/>
    <x v="0"/>
    <x v="0"/>
    <x v="170"/>
  </r>
  <r>
    <x v="231"/>
    <x v="231"/>
    <x v="231"/>
    <x v="20"/>
    <x v="27"/>
    <x v="231"/>
    <x v="0"/>
    <x v="0"/>
    <x v="0"/>
    <x v="171"/>
  </r>
  <r>
    <x v="232"/>
    <x v="232"/>
    <x v="232"/>
    <x v="5"/>
    <x v="17"/>
    <x v="232"/>
    <x v="0"/>
    <x v="0"/>
    <x v="0"/>
    <x v="172"/>
  </r>
  <r>
    <x v="233"/>
    <x v="233"/>
    <x v="233"/>
    <x v="27"/>
    <x v="52"/>
    <x v="233"/>
    <x v="0"/>
    <x v="0"/>
    <x v="0"/>
    <x v="173"/>
  </r>
  <r>
    <x v="234"/>
    <x v="234"/>
    <x v="234"/>
    <x v="4"/>
    <x v="41"/>
    <x v="234"/>
    <x v="0"/>
    <x v="0"/>
    <x v="0"/>
    <x v="170"/>
  </r>
  <r>
    <x v="235"/>
    <x v="235"/>
    <x v="235"/>
    <x v="24"/>
    <x v="70"/>
    <x v="235"/>
    <x v="0"/>
    <x v="0"/>
    <x v="0"/>
    <x v="174"/>
  </r>
  <r>
    <x v="236"/>
    <x v="236"/>
    <x v="236"/>
    <x v="21"/>
    <x v="78"/>
    <x v="236"/>
    <x v="0"/>
    <x v="0"/>
    <x v="0"/>
    <x v="175"/>
  </r>
  <r>
    <x v="237"/>
    <x v="237"/>
    <x v="237"/>
    <x v="4"/>
    <x v="26"/>
    <x v="237"/>
    <x v="0"/>
    <x v="0"/>
    <x v="0"/>
    <x v="176"/>
  </r>
  <r>
    <x v="238"/>
    <x v="238"/>
    <x v="238"/>
    <x v="3"/>
    <x v="19"/>
    <x v="238"/>
    <x v="0"/>
    <x v="0"/>
    <x v="0"/>
    <x v="173"/>
  </r>
  <r>
    <x v="239"/>
    <x v="239"/>
    <x v="239"/>
    <x v="22"/>
    <x v="35"/>
    <x v="239"/>
    <x v="0"/>
    <x v="0"/>
    <x v="0"/>
    <x v="177"/>
  </r>
  <r>
    <x v="240"/>
    <x v="240"/>
    <x v="240"/>
    <x v="9"/>
    <x v="79"/>
    <x v="240"/>
    <x v="0"/>
    <x v="0"/>
    <x v="0"/>
    <x v="178"/>
  </r>
  <r>
    <x v="241"/>
    <x v="241"/>
    <x v="241"/>
    <x v="23"/>
    <x v="40"/>
    <x v="241"/>
    <x v="0"/>
    <x v="0"/>
    <x v="0"/>
    <x v="179"/>
  </r>
  <r>
    <x v="242"/>
    <x v="242"/>
    <x v="242"/>
    <x v="8"/>
    <x v="18"/>
    <x v="242"/>
    <x v="0"/>
    <x v="0"/>
    <x v="0"/>
    <x v="180"/>
  </r>
  <r>
    <x v="243"/>
    <x v="243"/>
    <x v="243"/>
    <x v="17"/>
    <x v="52"/>
    <x v="243"/>
    <x v="0"/>
    <x v="0"/>
    <x v="0"/>
    <x v="181"/>
  </r>
  <r>
    <x v="244"/>
    <x v="244"/>
    <x v="244"/>
    <x v="17"/>
    <x v="80"/>
    <x v="244"/>
    <x v="0"/>
    <x v="0"/>
    <x v="0"/>
    <x v="182"/>
  </r>
  <r>
    <x v="245"/>
    <x v="245"/>
    <x v="245"/>
    <x v="10"/>
    <x v="77"/>
    <x v="245"/>
    <x v="0"/>
    <x v="0"/>
    <x v="0"/>
    <x v="183"/>
  </r>
  <r>
    <x v="246"/>
    <x v="246"/>
    <x v="246"/>
    <x v="7"/>
    <x v="49"/>
    <x v="246"/>
    <x v="0"/>
    <x v="0"/>
    <x v="0"/>
    <x v="184"/>
  </r>
  <r>
    <x v="247"/>
    <x v="247"/>
    <x v="247"/>
    <x v="29"/>
    <x v="3"/>
    <x v="247"/>
    <x v="0"/>
    <x v="0"/>
    <x v="0"/>
    <x v="185"/>
  </r>
  <r>
    <x v="248"/>
    <x v="248"/>
    <x v="248"/>
    <x v="5"/>
    <x v="39"/>
    <x v="248"/>
    <x v="0"/>
    <x v="0"/>
    <x v="0"/>
    <x v="181"/>
  </r>
  <r>
    <x v="249"/>
    <x v="249"/>
    <x v="249"/>
    <x v="6"/>
    <x v="81"/>
    <x v="249"/>
    <x v="0"/>
    <x v="0"/>
    <x v="0"/>
    <x v="184"/>
  </r>
  <r>
    <x v="250"/>
    <x v="250"/>
    <x v="250"/>
    <x v="4"/>
    <x v="44"/>
    <x v="250"/>
    <x v="0"/>
    <x v="0"/>
    <x v="0"/>
    <x v="186"/>
  </r>
  <r>
    <x v="251"/>
    <x v="251"/>
    <x v="251"/>
    <x v="23"/>
    <x v="50"/>
    <x v="251"/>
    <x v="0"/>
    <x v="0"/>
    <x v="0"/>
    <x v="65"/>
  </r>
  <r>
    <x v="252"/>
    <x v="252"/>
    <x v="252"/>
    <x v="5"/>
    <x v="77"/>
    <x v="252"/>
    <x v="0"/>
    <x v="0"/>
    <x v="0"/>
    <x v="186"/>
  </r>
  <r>
    <x v="253"/>
    <x v="253"/>
    <x v="253"/>
    <x v="2"/>
    <x v="4"/>
    <x v="253"/>
    <x v="0"/>
    <x v="0"/>
    <x v="0"/>
    <x v="187"/>
  </r>
  <r>
    <x v="254"/>
    <x v="254"/>
    <x v="254"/>
    <x v="13"/>
    <x v="58"/>
    <x v="254"/>
    <x v="0"/>
    <x v="0"/>
    <x v="0"/>
    <x v="188"/>
  </r>
  <r>
    <x v="255"/>
    <x v="255"/>
    <x v="255"/>
    <x v="12"/>
    <x v="82"/>
    <x v="255"/>
    <x v="0"/>
    <x v="0"/>
    <x v="0"/>
    <x v="189"/>
  </r>
  <r>
    <x v="256"/>
    <x v="256"/>
    <x v="256"/>
    <x v="21"/>
    <x v="46"/>
    <x v="256"/>
    <x v="0"/>
    <x v="0"/>
    <x v="0"/>
    <x v="190"/>
  </r>
  <r>
    <x v="257"/>
    <x v="257"/>
    <x v="257"/>
    <x v="9"/>
    <x v="72"/>
    <x v="257"/>
    <x v="0"/>
    <x v="0"/>
    <x v="0"/>
    <x v="191"/>
  </r>
  <r>
    <x v="258"/>
    <x v="258"/>
    <x v="258"/>
    <x v="14"/>
    <x v="83"/>
    <x v="258"/>
    <x v="0"/>
    <x v="0"/>
    <x v="0"/>
    <x v="192"/>
  </r>
  <r>
    <x v="259"/>
    <x v="259"/>
    <x v="259"/>
    <x v="1"/>
    <x v="13"/>
    <x v="259"/>
    <x v="0"/>
    <x v="0"/>
    <x v="0"/>
    <x v="193"/>
  </r>
  <r>
    <x v="260"/>
    <x v="260"/>
    <x v="260"/>
    <x v="12"/>
    <x v="84"/>
    <x v="260"/>
    <x v="0"/>
    <x v="0"/>
    <x v="0"/>
    <x v="194"/>
  </r>
  <r>
    <x v="261"/>
    <x v="261"/>
    <x v="261"/>
    <x v="3"/>
    <x v="13"/>
    <x v="261"/>
    <x v="0"/>
    <x v="0"/>
    <x v="0"/>
    <x v="195"/>
  </r>
  <r>
    <x v="262"/>
    <x v="262"/>
    <x v="262"/>
    <x v="6"/>
    <x v="39"/>
    <x v="262"/>
    <x v="0"/>
    <x v="0"/>
    <x v="0"/>
    <x v="196"/>
  </r>
  <r>
    <x v="263"/>
    <x v="263"/>
    <x v="263"/>
    <x v="1"/>
    <x v="85"/>
    <x v="263"/>
    <x v="0"/>
    <x v="0"/>
    <x v="0"/>
    <x v="197"/>
  </r>
  <r>
    <x v="264"/>
    <x v="264"/>
    <x v="264"/>
    <x v="7"/>
    <x v="42"/>
    <x v="264"/>
    <x v="0"/>
    <x v="0"/>
    <x v="0"/>
    <x v="198"/>
  </r>
  <r>
    <x v="265"/>
    <x v="265"/>
    <x v="265"/>
    <x v="22"/>
    <x v="4"/>
    <x v="265"/>
    <x v="0"/>
    <x v="0"/>
    <x v="0"/>
    <x v="199"/>
  </r>
  <r>
    <x v="266"/>
    <x v="266"/>
    <x v="266"/>
    <x v="26"/>
    <x v="13"/>
    <x v="266"/>
    <x v="0"/>
    <x v="0"/>
    <x v="0"/>
    <x v="200"/>
  </r>
  <r>
    <x v="267"/>
    <x v="267"/>
    <x v="267"/>
    <x v="19"/>
    <x v="12"/>
    <x v="267"/>
    <x v="0"/>
    <x v="0"/>
    <x v="0"/>
    <x v="46"/>
  </r>
  <r>
    <x v="268"/>
    <x v="268"/>
    <x v="268"/>
    <x v="20"/>
    <x v="1"/>
    <x v="268"/>
    <x v="0"/>
    <x v="0"/>
    <x v="0"/>
    <x v="201"/>
  </r>
  <r>
    <x v="269"/>
    <x v="269"/>
    <x v="269"/>
    <x v="14"/>
    <x v="76"/>
    <x v="269"/>
    <x v="0"/>
    <x v="0"/>
    <x v="0"/>
    <x v="202"/>
  </r>
  <r>
    <x v="270"/>
    <x v="270"/>
    <x v="270"/>
    <x v="3"/>
    <x v="78"/>
    <x v="270"/>
    <x v="0"/>
    <x v="0"/>
    <x v="0"/>
    <x v="45"/>
  </r>
  <r>
    <x v="271"/>
    <x v="271"/>
    <x v="271"/>
    <x v="8"/>
    <x v="36"/>
    <x v="271"/>
    <x v="0"/>
    <x v="0"/>
    <x v="0"/>
    <x v="189"/>
  </r>
  <r>
    <x v="272"/>
    <x v="272"/>
    <x v="272"/>
    <x v="23"/>
    <x v="39"/>
    <x v="272"/>
    <x v="0"/>
    <x v="0"/>
    <x v="0"/>
    <x v="203"/>
  </r>
  <r>
    <x v="273"/>
    <x v="273"/>
    <x v="273"/>
    <x v="4"/>
    <x v="27"/>
    <x v="273"/>
    <x v="0"/>
    <x v="0"/>
    <x v="0"/>
    <x v="45"/>
  </r>
  <r>
    <x v="274"/>
    <x v="274"/>
    <x v="274"/>
    <x v="30"/>
    <x v="85"/>
    <x v="274"/>
    <x v="0"/>
    <x v="0"/>
    <x v="0"/>
    <x v="204"/>
  </r>
  <r>
    <x v="275"/>
    <x v="275"/>
    <x v="275"/>
    <x v="22"/>
    <x v="16"/>
    <x v="275"/>
    <x v="0"/>
    <x v="0"/>
    <x v="0"/>
    <x v="45"/>
  </r>
  <r>
    <x v="276"/>
    <x v="276"/>
    <x v="276"/>
    <x v="14"/>
    <x v="47"/>
    <x v="276"/>
    <x v="0"/>
    <x v="0"/>
    <x v="0"/>
    <x v="205"/>
  </r>
  <r>
    <x v="277"/>
    <x v="277"/>
    <x v="277"/>
    <x v="12"/>
    <x v="36"/>
    <x v="277"/>
    <x v="0"/>
    <x v="0"/>
    <x v="0"/>
    <x v="206"/>
  </r>
  <r>
    <x v="278"/>
    <x v="278"/>
    <x v="278"/>
    <x v="7"/>
    <x v="19"/>
    <x v="278"/>
    <x v="0"/>
    <x v="0"/>
    <x v="0"/>
    <x v="205"/>
  </r>
  <r>
    <x v="279"/>
    <x v="279"/>
    <x v="279"/>
    <x v="1"/>
    <x v="27"/>
    <x v="279"/>
    <x v="0"/>
    <x v="0"/>
    <x v="0"/>
    <x v="183"/>
  </r>
  <r>
    <x v="280"/>
    <x v="280"/>
    <x v="280"/>
    <x v="17"/>
    <x v="86"/>
    <x v="280"/>
    <x v="0"/>
    <x v="0"/>
    <x v="0"/>
    <x v="207"/>
  </r>
  <r>
    <x v="281"/>
    <x v="281"/>
    <x v="281"/>
    <x v="4"/>
    <x v="77"/>
    <x v="281"/>
    <x v="0"/>
    <x v="0"/>
    <x v="0"/>
    <x v="208"/>
  </r>
  <r>
    <x v="282"/>
    <x v="282"/>
    <x v="282"/>
    <x v="30"/>
    <x v="75"/>
    <x v="282"/>
    <x v="0"/>
    <x v="0"/>
    <x v="0"/>
    <x v="209"/>
  </r>
  <r>
    <x v="283"/>
    <x v="283"/>
    <x v="283"/>
    <x v="2"/>
    <x v="36"/>
    <x v="283"/>
    <x v="0"/>
    <x v="0"/>
    <x v="0"/>
    <x v="190"/>
  </r>
  <r>
    <x v="284"/>
    <x v="284"/>
    <x v="284"/>
    <x v="14"/>
    <x v="17"/>
    <x v="284"/>
    <x v="0"/>
    <x v="0"/>
    <x v="0"/>
    <x v="87"/>
  </r>
  <r>
    <x v="285"/>
    <x v="285"/>
    <x v="285"/>
    <x v="21"/>
    <x v="78"/>
    <x v="285"/>
    <x v="0"/>
    <x v="0"/>
    <x v="0"/>
    <x v="45"/>
  </r>
  <r>
    <x v="286"/>
    <x v="286"/>
    <x v="286"/>
    <x v="5"/>
    <x v="39"/>
    <x v="286"/>
    <x v="0"/>
    <x v="0"/>
    <x v="0"/>
    <x v="46"/>
  </r>
  <r>
    <x v="287"/>
    <x v="287"/>
    <x v="287"/>
    <x v="3"/>
    <x v="59"/>
    <x v="287"/>
    <x v="0"/>
    <x v="0"/>
    <x v="0"/>
    <x v="210"/>
  </r>
  <r>
    <x v="288"/>
    <x v="288"/>
    <x v="288"/>
    <x v="10"/>
    <x v="87"/>
    <x v="288"/>
    <x v="0"/>
    <x v="0"/>
    <x v="0"/>
    <x v="211"/>
  </r>
  <r>
    <x v="289"/>
    <x v="289"/>
    <x v="289"/>
    <x v="27"/>
    <x v="8"/>
    <x v="289"/>
    <x v="0"/>
    <x v="0"/>
    <x v="0"/>
    <x v="212"/>
  </r>
  <r>
    <x v="290"/>
    <x v="290"/>
    <x v="290"/>
    <x v="5"/>
    <x v="40"/>
    <x v="290"/>
    <x v="0"/>
    <x v="0"/>
    <x v="0"/>
    <x v="213"/>
  </r>
  <r>
    <x v="291"/>
    <x v="291"/>
    <x v="291"/>
    <x v="17"/>
    <x v="39"/>
    <x v="291"/>
    <x v="0"/>
    <x v="0"/>
    <x v="0"/>
    <x v="214"/>
  </r>
  <r>
    <x v="292"/>
    <x v="292"/>
    <x v="292"/>
    <x v="17"/>
    <x v="44"/>
    <x v="292"/>
    <x v="0"/>
    <x v="0"/>
    <x v="0"/>
    <x v="215"/>
  </r>
  <r>
    <x v="293"/>
    <x v="293"/>
    <x v="293"/>
    <x v="1"/>
    <x v="72"/>
    <x v="293"/>
    <x v="0"/>
    <x v="0"/>
    <x v="0"/>
    <x v="211"/>
  </r>
  <r>
    <x v="294"/>
    <x v="294"/>
    <x v="294"/>
    <x v="20"/>
    <x v="36"/>
    <x v="294"/>
    <x v="0"/>
    <x v="0"/>
    <x v="0"/>
    <x v="196"/>
  </r>
  <r>
    <x v="295"/>
    <x v="295"/>
    <x v="295"/>
    <x v="15"/>
    <x v="15"/>
    <x v="295"/>
    <x v="0"/>
    <x v="0"/>
    <x v="0"/>
    <x v="216"/>
  </r>
  <r>
    <x v="296"/>
    <x v="296"/>
    <x v="296"/>
    <x v="7"/>
    <x v="45"/>
    <x v="296"/>
    <x v="0"/>
    <x v="0"/>
    <x v="0"/>
    <x v="217"/>
  </r>
  <r>
    <x v="297"/>
    <x v="297"/>
    <x v="297"/>
    <x v="27"/>
    <x v="68"/>
    <x v="297"/>
    <x v="0"/>
    <x v="0"/>
    <x v="0"/>
    <x v="218"/>
  </r>
  <r>
    <x v="298"/>
    <x v="298"/>
    <x v="298"/>
    <x v="16"/>
    <x v="42"/>
    <x v="298"/>
    <x v="0"/>
    <x v="0"/>
    <x v="0"/>
    <x v="219"/>
  </r>
  <r>
    <x v="299"/>
    <x v="299"/>
    <x v="299"/>
    <x v="19"/>
    <x v="58"/>
    <x v="299"/>
    <x v="0"/>
    <x v="0"/>
    <x v="0"/>
    <x v="220"/>
  </r>
  <r>
    <x v="300"/>
    <x v="300"/>
    <x v="300"/>
    <x v="8"/>
    <x v="88"/>
    <x v="300"/>
    <x v="0"/>
    <x v="0"/>
    <x v="0"/>
    <x v="221"/>
  </r>
  <r>
    <x v="301"/>
    <x v="301"/>
    <x v="301"/>
    <x v="19"/>
    <x v="56"/>
    <x v="301"/>
    <x v="0"/>
    <x v="0"/>
    <x v="0"/>
    <x v="200"/>
  </r>
  <r>
    <x v="302"/>
    <x v="302"/>
    <x v="302"/>
    <x v="22"/>
    <x v="1"/>
    <x v="302"/>
    <x v="0"/>
    <x v="0"/>
    <x v="0"/>
    <x v="222"/>
  </r>
  <r>
    <x v="303"/>
    <x v="303"/>
    <x v="303"/>
    <x v="1"/>
    <x v="89"/>
    <x v="303"/>
    <x v="0"/>
    <x v="0"/>
    <x v="0"/>
    <x v="223"/>
  </r>
  <r>
    <x v="304"/>
    <x v="304"/>
    <x v="304"/>
    <x v="9"/>
    <x v="64"/>
    <x v="304"/>
    <x v="0"/>
    <x v="0"/>
    <x v="0"/>
    <x v="224"/>
  </r>
  <r>
    <x v="305"/>
    <x v="305"/>
    <x v="305"/>
    <x v="2"/>
    <x v="60"/>
    <x v="305"/>
    <x v="0"/>
    <x v="0"/>
    <x v="0"/>
    <x v="225"/>
  </r>
  <r>
    <x v="306"/>
    <x v="306"/>
    <x v="306"/>
    <x v="7"/>
    <x v="10"/>
    <x v="306"/>
    <x v="0"/>
    <x v="0"/>
    <x v="0"/>
    <x v="226"/>
  </r>
  <r>
    <x v="307"/>
    <x v="307"/>
    <x v="307"/>
    <x v="1"/>
    <x v="37"/>
    <x v="307"/>
    <x v="0"/>
    <x v="0"/>
    <x v="0"/>
    <x v="227"/>
  </r>
  <r>
    <x v="308"/>
    <x v="308"/>
    <x v="308"/>
    <x v="7"/>
    <x v="3"/>
    <x v="308"/>
    <x v="0"/>
    <x v="0"/>
    <x v="0"/>
    <x v="228"/>
  </r>
  <r>
    <x v="309"/>
    <x v="309"/>
    <x v="309"/>
    <x v="23"/>
    <x v="7"/>
    <x v="309"/>
    <x v="0"/>
    <x v="0"/>
    <x v="0"/>
    <x v="229"/>
  </r>
  <r>
    <x v="310"/>
    <x v="310"/>
    <x v="310"/>
    <x v="25"/>
    <x v="71"/>
    <x v="310"/>
    <x v="0"/>
    <x v="0"/>
    <x v="0"/>
    <x v="230"/>
  </r>
  <r>
    <x v="311"/>
    <x v="311"/>
    <x v="311"/>
    <x v="4"/>
    <x v="4"/>
    <x v="311"/>
    <x v="0"/>
    <x v="0"/>
    <x v="0"/>
    <x v="231"/>
  </r>
  <r>
    <x v="312"/>
    <x v="312"/>
    <x v="312"/>
    <x v="7"/>
    <x v="10"/>
    <x v="312"/>
    <x v="0"/>
    <x v="0"/>
    <x v="0"/>
    <x v="232"/>
  </r>
  <r>
    <x v="313"/>
    <x v="313"/>
    <x v="313"/>
    <x v="12"/>
    <x v="38"/>
    <x v="313"/>
    <x v="0"/>
    <x v="0"/>
    <x v="0"/>
    <x v="233"/>
  </r>
  <r>
    <x v="314"/>
    <x v="314"/>
    <x v="314"/>
    <x v="21"/>
    <x v="70"/>
    <x v="314"/>
    <x v="0"/>
    <x v="0"/>
    <x v="0"/>
    <x v="234"/>
  </r>
  <r>
    <x v="315"/>
    <x v="315"/>
    <x v="315"/>
    <x v="11"/>
    <x v="36"/>
    <x v="315"/>
    <x v="0"/>
    <x v="0"/>
    <x v="0"/>
    <x v="235"/>
  </r>
  <r>
    <x v="316"/>
    <x v="316"/>
    <x v="316"/>
    <x v="28"/>
    <x v="48"/>
    <x v="316"/>
    <x v="0"/>
    <x v="0"/>
    <x v="0"/>
    <x v="236"/>
  </r>
  <r>
    <x v="317"/>
    <x v="317"/>
    <x v="317"/>
    <x v="3"/>
    <x v="65"/>
    <x v="317"/>
    <x v="0"/>
    <x v="0"/>
    <x v="0"/>
    <x v="237"/>
  </r>
  <r>
    <x v="318"/>
    <x v="318"/>
    <x v="318"/>
    <x v="4"/>
    <x v="52"/>
    <x v="318"/>
    <x v="0"/>
    <x v="0"/>
    <x v="0"/>
    <x v="238"/>
  </r>
  <r>
    <x v="319"/>
    <x v="319"/>
    <x v="319"/>
    <x v="9"/>
    <x v="26"/>
    <x v="319"/>
    <x v="0"/>
    <x v="0"/>
    <x v="0"/>
    <x v="204"/>
  </r>
  <r>
    <x v="320"/>
    <x v="320"/>
    <x v="320"/>
    <x v="15"/>
    <x v="3"/>
    <x v="320"/>
    <x v="0"/>
    <x v="0"/>
    <x v="0"/>
    <x v="239"/>
  </r>
  <r>
    <x v="321"/>
    <x v="321"/>
    <x v="321"/>
    <x v="17"/>
    <x v="7"/>
    <x v="321"/>
    <x v="0"/>
    <x v="0"/>
    <x v="0"/>
    <x v="240"/>
  </r>
  <r>
    <x v="322"/>
    <x v="322"/>
    <x v="322"/>
    <x v="12"/>
    <x v="52"/>
    <x v="322"/>
    <x v="0"/>
    <x v="0"/>
    <x v="0"/>
    <x v="241"/>
  </r>
  <r>
    <x v="323"/>
    <x v="323"/>
    <x v="323"/>
    <x v="5"/>
    <x v="13"/>
    <x v="323"/>
    <x v="0"/>
    <x v="0"/>
    <x v="0"/>
    <x v="242"/>
  </r>
  <r>
    <x v="324"/>
    <x v="324"/>
    <x v="324"/>
    <x v="14"/>
    <x v="80"/>
    <x v="324"/>
    <x v="0"/>
    <x v="0"/>
    <x v="0"/>
    <x v="243"/>
  </r>
  <r>
    <x v="325"/>
    <x v="325"/>
    <x v="325"/>
    <x v="17"/>
    <x v="3"/>
    <x v="325"/>
    <x v="0"/>
    <x v="0"/>
    <x v="0"/>
    <x v="244"/>
  </r>
  <r>
    <x v="326"/>
    <x v="326"/>
    <x v="326"/>
    <x v="5"/>
    <x v="47"/>
    <x v="326"/>
    <x v="0"/>
    <x v="0"/>
    <x v="0"/>
    <x v="198"/>
  </r>
  <r>
    <x v="327"/>
    <x v="327"/>
    <x v="327"/>
    <x v="15"/>
    <x v="5"/>
    <x v="327"/>
    <x v="0"/>
    <x v="0"/>
    <x v="0"/>
    <x v="245"/>
  </r>
  <r>
    <x v="328"/>
    <x v="328"/>
    <x v="328"/>
    <x v="12"/>
    <x v="42"/>
    <x v="328"/>
    <x v="0"/>
    <x v="0"/>
    <x v="0"/>
    <x v="246"/>
  </r>
  <r>
    <x v="329"/>
    <x v="329"/>
    <x v="329"/>
    <x v="15"/>
    <x v="75"/>
    <x v="329"/>
    <x v="0"/>
    <x v="0"/>
    <x v="0"/>
    <x v="247"/>
  </r>
  <r>
    <x v="330"/>
    <x v="330"/>
    <x v="330"/>
    <x v="23"/>
    <x v="50"/>
    <x v="330"/>
    <x v="0"/>
    <x v="0"/>
    <x v="0"/>
    <x v="248"/>
  </r>
  <r>
    <x v="331"/>
    <x v="331"/>
    <x v="331"/>
    <x v="24"/>
    <x v="28"/>
    <x v="331"/>
    <x v="0"/>
    <x v="0"/>
    <x v="0"/>
    <x v="249"/>
  </r>
  <r>
    <x v="332"/>
    <x v="332"/>
    <x v="332"/>
    <x v="21"/>
    <x v="43"/>
    <x v="332"/>
    <x v="0"/>
    <x v="0"/>
    <x v="0"/>
    <x v="250"/>
  </r>
  <r>
    <x v="333"/>
    <x v="333"/>
    <x v="333"/>
    <x v="20"/>
    <x v="4"/>
    <x v="333"/>
    <x v="0"/>
    <x v="0"/>
    <x v="0"/>
    <x v="45"/>
  </r>
  <r>
    <x v="334"/>
    <x v="334"/>
    <x v="334"/>
    <x v="1"/>
    <x v="20"/>
    <x v="334"/>
    <x v="0"/>
    <x v="0"/>
    <x v="0"/>
    <x v="251"/>
  </r>
  <r>
    <x v="335"/>
    <x v="335"/>
    <x v="335"/>
    <x v="10"/>
    <x v="90"/>
    <x v="335"/>
    <x v="0"/>
    <x v="0"/>
    <x v="0"/>
    <x v="252"/>
  </r>
  <r>
    <x v="336"/>
    <x v="336"/>
    <x v="336"/>
    <x v="6"/>
    <x v="84"/>
    <x v="336"/>
    <x v="0"/>
    <x v="0"/>
    <x v="0"/>
    <x v="253"/>
  </r>
  <r>
    <x v="337"/>
    <x v="337"/>
    <x v="337"/>
    <x v="26"/>
    <x v="28"/>
    <x v="337"/>
    <x v="0"/>
    <x v="0"/>
    <x v="0"/>
    <x v="236"/>
  </r>
  <r>
    <x v="338"/>
    <x v="338"/>
    <x v="338"/>
    <x v="17"/>
    <x v="91"/>
    <x v="338"/>
    <x v="0"/>
    <x v="0"/>
    <x v="0"/>
    <x v="254"/>
  </r>
  <r>
    <x v="339"/>
    <x v="339"/>
    <x v="339"/>
    <x v="10"/>
    <x v="53"/>
    <x v="339"/>
    <x v="0"/>
    <x v="0"/>
    <x v="0"/>
    <x v="255"/>
  </r>
  <r>
    <x v="340"/>
    <x v="340"/>
    <x v="340"/>
    <x v="7"/>
    <x v="64"/>
    <x v="340"/>
    <x v="0"/>
    <x v="0"/>
    <x v="0"/>
    <x v="256"/>
  </r>
  <r>
    <x v="341"/>
    <x v="341"/>
    <x v="341"/>
    <x v="6"/>
    <x v="92"/>
    <x v="341"/>
    <x v="0"/>
    <x v="0"/>
    <x v="0"/>
    <x v="257"/>
  </r>
  <r>
    <x v="342"/>
    <x v="342"/>
    <x v="342"/>
    <x v="1"/>
    <x v="64"/>
    <x v="342"/>
    <x v="0"/>
    <x v="0"/>
    <x v="0"/>
    <x v="258"/>
  </r>
  <r>
    <x v="343"/>
    <x v="343"/>
    <x v="343"/>
    <x v="5"/>
    <x v="5"/>
    <x v="343"/>
    <x v="0"/>
    <x v="0"/>
    <x v="0"/>
    <x v="259"/>
  </r>
  <r>
    <x v="344"/>
    <x v="344"/>
    <x v="344"/>
    <x v="28"/>
    <x v="21"/>
    <x v="344"/>
    <x v="0"/>
    <x v="0"/>
    <x v="0"/>
    <x v="260"/>
  </r>
  <r>
    <x v="345"/>
    <x v="345"/>
    <x v="345"/>
    <x v="31"/>
    <x v="4"/>
    <x v="345"/>
    <x v="0"/>
    <x v="0"/>
    <x v="0"/>
    <x v="261"/>
  </r>
  <r>
    <x v="346"/>
    <x v="346"/>
    <x v="346"/>
    <x v="6"/>
    <x v="60"/>
    <x v="346"/>
    <x v="0"/>
    <x v="0"/>
    <x v="0"/>
    <x v="262"/>
  </r>
  <r>
    <x v="347"/>
    <x v="347"/>
    <x v="347"/>
    <x v="12"/>
    <x v="93"/>
    <x v="347"/>
    <x v="0"/>
    <x v="0"/>
    <x v="0"/>
    <x v="263"/>
  </r>
  <r>
    <x v="348"/>
    <x v="348"/>
    <x v="348"/>
    <x v="2"/>
    <x v="17"/>
    <x v="348"/>
    <x v="0"/>
    <x v="0"/>
    <x v="0"/>
    <x v="264"/>
  </r>
  <r>
    <x v="349"/>
    <x v="349"/>
    <x v="349"/>
    <x v="7"/>
    <x v="79"/>
    <x v="349"/>
    <x v="0"/>
    <x v="0"/>
    <x v="0"/>
    <x v="265"/>
  </r>
  <r>
    <x v="350"/>
    <x v="350"/>
    <x v="350"/>
    <x v="11"/>
    <x v="15"/>
    <x v="350"/>
    <x v="0"/>
    <x v="0"/>
    <x v="0"/>
    <x v="266"/>
  </r>
  <r>
    <x v="351"/>
    <x v="351"/>
    <x v="351"/>
    <x v="25"/>
    <x v="76"/>
    <x v="351"/>
    <x v="0"/>
    <x v="0"/>
    <x v="0"/>
    <x v="232"/>
  </r>
  <r>
    <x v="352"/>
    <x v="352"/>
    <x v="352"/>
    <x v="12"/>
    <x v="53"/>
    <x v="352"/>
    <x v="0"/>
    <x v="0"/>
    <x v="0"/>
    <x v="267"/>
  </r>
  <r>
    <x v="353"/>
    <x v="353"/>
    <x v="353"/>
    <x v="4"/>
    <x v="20"/>
    <x v="353"/>
    <x v="0"/>
    <x v="0"/>
    <x v="0"/>
    <x v="268"/>
  </r>
  <r>
    <x v="354"/>
    <x v="354"/>
    <x v="354"/>
    <x v="1"/>
    <x v="5"/>
    <x v="354"/>
    <x v="0"/>
    <x v="0"/>
    <x v="0"/>
    <x v="231"/>
  </r>
  <r>
    <x v="355"/>
    <x v="355"/>
    <x v="355"/>
    <x v="17"/>
    <x v="17"/>
    <x v="355"/>
    <x v="0"/>
    <x v="0"/>
    <x v="0"/>
    <x v="235"/>
  </r>
  <r>
    <x v="356"/>
    <x v="356"/>
    <x v="356"/>
    <x v="13"/>
    <x v="3"/>
    <x v="356"/>
    <x v="0"/>
    <x v="0"/>
    <x v="0"/>
    <x v="269"/>
  </r>
  <r>
    <x v="357"/>
    <x v="357"/>
    <x v="357"/>
    <x v="19"/>
    <x v="4"/>
    <x v="357"/>
    <x v="0"/>
    <x v="0"/>
    <x v="0"/>
    <x v="270"/>
  </r>
  <r>
    <x v="358"/>
    <x v="358"/>
    <x v="358"/>
    <x v="6"/>
    <x v="19"/>
    <x v="358"/>
    <x v="0"/>
    <x v="0"/>
    <x v="0"/>
    <x v="271"/>
  </r>
  <r>
    <x v="359"/>
    <x v="359"/>
    <x v="359"/>
    <x v="7"/>
    <x v="29"/>
    <x v="359"/>
    <x v="0"/>
    <x v="0"/>
    <x v="0"/>
    <x v="272"/>
  </r>
  <r>
    <x v="360"/>
    <x v="360"/>
    <x v="360"/>
    <x v="10"/>
    <x v="28"/>
    <x v="360"/>
    <x v="0"/>
    <x v="0"/>
    <x v="0"/>
    <x v="273"/>
  </r>
  <r>
    <x v="361"/>
    <x v="361"/>
    <x v="361"/>
    <x v="3"/>
    <x v="87"/>
    <x v="361"/>
    <x v="0"/>
    <x v="0"/>
    <x v="0"/>
    <x v="274"/>
  </r>
  <r>
    <x v="362"/>
    <x v="362"/>
    <x v="362"/>
    <x v="20"/>
    <x v="37"/>
    <x v="362"/>
    <x v="0"/>
    <x v="0"/>
    <x v="0"/>
    <x v="275"/>
  </r>
  <r>
    <x v="363"/>
    <x v="363"/>
    <x v="363"/>
    <x v="5"/>
    <x v="42"/>
    <x v="363"/>
    <x v="0"/>
    <x v="0"/>
    <x v="0"/>
    <x v="276"/>
  </r>
  <r>
    <x v="364"/>
    <x v="364"/>
    <x v="364"/>
    <x v="13"/>
    <x v="50"/>
    <x v="364"/>
    <x v="0"/>
    <x v="0"/>
    <x v="0"/>
    <x v="277"/>
  </r>
  <r>
    <x v="365"/>
    <x v="365"/>
    <x v="365"/>
    <x v="24"/>
    <x v="4"/>
    <x v="365"/>
    <x v="0"/>
    <x v="0"/>
    <x v="0"/>
    <x v="278"/>
  </r>
  <r>
    <x v="366"/>
    <x v="366"/>
    <x v="366"/>
    <x v="4"/>
    <x v="77"/>
    <x v="366"/>
    <x v="0"/>
    <x v="0"/>
    <x v="0"/>
    <x v="279"/>
  </r>
  <r>
    <x v="367"/>
    <x v="367"/>
    <x v="367"/>
    <x v="15"/>
    <x v="17"/>
    <x v="367"/>
    <x v="0"/>
    <x v="0"/>
    <x v="0"/>
    <x v="280"/>
  </r>
  <r>
    <x v="368"/>
    <x v="368"/>
    <x v="368"/>
    <x v="9"/>
    <x v="47"/>
    <x v="368"/>
    <x v="0"/>
    <x v="0"/>
    <x v="0"/>
    <x v="281"/>
  </r>
  <r>
    <x v="369"/>
    <x v="369"/>
    <x v="369"/>
    <x v="29"/>
    <x v="19"/>
    <x v="369"/>
    <x v="0"/>
    <x v="0"/>
    <x v="0"/>
    <x v="282"/>
  </r>
  <r>
    <x v="370"/>
    <x v="370"/>
    <x v="370"/>
    <x v="17"/>
    <x v="42"/>
    <x v="370"/>
    <x v="0"/>
    <x v="0"/>
    <x v="0"/>
    <x v="283"/>
  </r>
  <r>
    <x v="371"/>
    <x v="371"/>
    <x v="371"/>
    <x v="25"/>
    <x v="19"/>
    <x v="371"/>
    <x v="0"/>
    <x v="0"/>
    <x v="0"/>
    <x v="284"/>
  </r>
  <r>
    <x v="372"/>
    <x v="372"/>
    <x v="372"/>
    <x v="22"/>
    <x v="30"/>
    <x v="372"/>
    <x v="0"/>
    <x v="0"/>
    <x v="0"/>
    <x v="285"/>
  </r>
  <r>
    <x v="373"/>
    <x v="373"/>
    <x v="373"/>
    <x v="8"/>
    <x v="82"/>
    <x v="373"/>
    <x v="0"/>
    <x v="0"/>
    <x v="0"/>
    <x v="286"/>
  </r>
  <r>
    <x v="374"/>
    <x v="374"/>
    <x v="374"/>
    <x v="9"/>
    <x v="36"/>
    <x v="374"/>
    <x v="0"/>
    <x v="0"/>
    <x v="0"/>
    <x v="287"/>
  </r>
  <r>
    <x v="375"/>
    <x v="375"/>
    <x v="375"/>
    <x v="8"/>
    <x v="20"/>
    <x v="375"/>
    <x v="0"/>
    <x v="0"/>
    <x v="0"/>
    <x v="288"/>
  </r>
  <r>
    <x v="376"/>
    <x v="376"/>
    <x v="376"/>
    <x v="3"/>
    <x v="94"/>
    <x v="376"/>
    <x v="0"/>
    <x v="0"/>
    <x v="0"/>
    <x v="289"/>
  </r>
  <r>
    <x v="377"/>
    <x v="377"/>
    <x v="377"/>
    <x v="23"/>
    <x v="50"/>
    <x v="377"/>
    <x v="0"/>
    <x v="0"/>
    <x v="0"/>
    <x v="290"/>
  </r>
  <r>
    <x v="378"/>
    <x v="378"/>
    <x v="378"/>
    <x v="7"/>
    <x v="42"/>
    <x v="378"/>
    <x v="0"/>
    <x v="0"/>
    <x v="0"/>
    <x v="291"/>
  </r>
  <r>
    <x v="379"/>
    <x v="379"/>
    <x v="379"/>
    <x v="8"/>
    <x v="95"/>
    <x v="379"/>
    <x v="0"/>
    <x v="0"/>
    <x v="0"/>
    <x v="292"/>
  </r>
  <r>
    <x v="380"/>
    <x v="380"/>
    <x v="380"/>
    <x v="12"/>
    <x v="36"/>
    <x v="380"/>
    <x v="0"/>
    <x v="0"/>
    <x v="0"/>
    <x v="293"/>
  </r>
  <r>
    <x v="381"/>
    <x v="381"/>
    <x v="381"/>
    <x v="9"/>
    <x v="37"/>
    <x v="381"/>
    <x v="0"/>
    <x v="0"/>
    <x v="0"/>
    <x v="294"/>
  </r>
  <r>
    <x v="382"/>
    <x v="382"/>
    <x v="382"/>
    <x v="8"/>
    <x v="1"/>
    <x v="382"/>
    <x v="0"/>
    <x v="0"/>
    <x v="0"/>
    <x v="295"/>
  </r>
  <r>
    <x v="383"/>
    <x v="383"/>
    <x v="383"/>
    <x v="3"/>
    <x v="36"/>
    <x v="383"/>
    <x v="0"/>
    <x v="0"/>
    <x v="0"/>
    <x v="296"/>
  </r>
  <r>
    <x v="384"/>
    <x v="384"/>
    <x v="384"/>
    <x v="26"/>
    <x v="3"/>
    <x v="384"/>
    <x v="0"/>
    <x v="0"/>
    <x v="0"/>
    <x v="297"/>
  </r>
  <r>
    <x v="385"/>
    <x v="385"/>
    <x v="385"/>
    <x v="5"/>
    <x v="10"/>
    <x v="385"/>
    <x v="0"/>
    <x v="0"/>
    <x v="0"/>
    <x v="298"/>
  </r>
  <r>
    <x v="386"/>
    <x v="386"/>
    <x v="386"/>
    <x v="29"/>
    <x v="7"/>
    <x v="386"/>
    <x v="0"/>
    <x v="0"/>
    <x v="0"/>
    <x v="299"/>
  </r>
  <r>
    <x v="387"/>
    <x v="387"/>
    <x v="387"/>
    <x v="10"/>
    <x v="77"/>
    <x v="387"/>
    <x v="0"/>
    <x v="0"/>
    <x v="0"/>
    <x v="300"/>
  </r>
  <r>
    <x v="388"/>
    <x v="388"/>
    <x v="388"/>
    <x v="8"/>
    <x v="6"/>
    <x v="388"/>
    <x v="0"/>
    <x v="0"/>
    <x v="0"/>
    <x v="301"/>
  </r>
  <r>
    <x v="389"/>
    <x v="389"/>
    <x v="389"/>
    <x v="17"/>
    <x v="4"/>
    <x v="389"/>
    <x v="0"/>
    <x v="0"/>
    <x v="0"/>
    <x v="299"/>
  </r>
  <r>
    <x v="390"/>
    <x v="390"/>
    <x v="390"/>
    <x v="24"/>
    <x v="82"/>
    <x v="390"/>
    <x v="0"/>
    <x v="0"/>
    <x v="0"/>
    <x v="302"/>
  </r>
  <r>
    <x v="391"/>
    <x v="391"/>
    <x v="391"/>
    <x v="2"/>
    <x v="8"/>
    <x v="391"/>
    <x v="0"/>
    <x v="0"/>
    <x v="0"/>
    <x v="303"/>
  </r>
  <r>
    <x v="392"/>
    <x v="392"/>
    <x v="392"/>
    <x v="27"/>
    <x v="85"/>
    <x v="392"/>
    <x v="0"/>
    <x v="0"/>
    <x v="0"/>
    <x v="304"/>
  </r>
  <r>
    <x v="393"/>
    <x v="393"/>
    <x v="393"/>
    <x v="6"/>
    <x v="12"/>
    <x v="393"/>
    <x v="0"/>
    <x v="0"/>
    <x v="0"/>
    <x v="305"/>
  </r>
  <r>
    <x v="394"/>
    <x v="394"/>
    <x v="394"/>
    <x v="1"/>
    <x v="36"/>
    <x v="394"/>
    <x v="0"/>
    <x v="0"/>
    <x v="0"/>
    <x v="305"/>
  </r>
  <r>
    <x v="395"/>
    <x v="395"/>
    <x v="395"/>
    <x v="9"/>
    <x v="77"/>
    <x v="395"/>
    <x v="0"/>
    <x v="0"/>
    <x v="0"/>
    <x v="306"/>
  </r>
  <r>
    <x v="396"/>
    <x v="396"/>
    <x v="396"/>
    <x v="13"/>
    <x v="71"/>
    <x v="396"/>
    <x v="0"/>
    <x v="0"/>
    <x v="0"/>
    <x v="307"/>
  </r>
  <r>
    <x v="397"/>
    <x v="397"/>
    <x v="397"/>
    <x v="7"/>
    <x v="15"/>
    <x v="397"/>
    <x v="0"/>
    <x v="0"/>
    <x v="0"/>
    <x v="308"/>
  </r>
  <r>
    <x v="398"/>
    <x v="398"/>
    <x v="398"/>
    <x v="3"/>
    <x v="40"/>
    <x v="398"/>
    <x v="0"/>
    <x v="0"/>
    <x v="0"/>
    <x v="309"/>
  </r>
  <r>
    <x v="399"/>
    <x v="399"/>
    <x v="399"/>
    <x v="10"/>
    <x v="61"/>
    <x v="399"/>
    <x v="0"/>
    <x v="0"/>
    <x v="0"/>
    <x v="310"/>
  </r>
  <r>
    <x v="400"/>
    <x v="400"/>
    <x v="400"/>
    <x v="1"/>
    <x v="2"/>
    <x v="400"/>
    <x v="0"/>
    <x v="0"/>
    <x v="0"/>
    <x v="311"/>
  </r>
  <r>
    <x v="401"/>
    <x v="401"/>
    <x v="401"/>
    <x v="25"/>
    <x v="2"/>
    <x v="401"/>
    <x v="0"/>
    <x v="0"/>
    <x v="0"/>
    <x v="312"/>
  </r>
  <r>
    <x v="402"/>
    <x v="402"/>
    <x v="402"/>
    <x v="13"/>
    <x v="40"/>
    <x v="402"/>
    <x v="0"/>
    <x v="0"/>
    <x v="0"/>
    <x v="313"/>
  </r>
  <r>
    <x v="403"/>
    <x v="403"/>
    <x v="403"/>
    <x v="20"/>
    <x v="18"/>
    <x v="403"/>
    <x v="0"/>
    <x v="0"/>
    <x v="0"/>
    <x v="314"/>
  </r>
  <r>
    <x v="404"/>
    <x v="404"/>
    <x v="404"/>
    <x v="12"/>
    <x v="60"/>
    <x v="404"/>
    <x v="0"/>
    <x v="0"/>
    <x v="0"/>
    <x v="315"/>
  </r>
  <r>
    <x v="405"/>
    <x v="405"/>
    <x v="405"/>
    <x v="17"/>
    <x v="36"/>
    <x v="405"/>
    <x v="0"/>
    <x v="0"/>
    <x v="0"/>
    <x v="316"/>
  </r>
  <r>
    <x v="406"/>
    <x v="406"/>
    <x v="406"/>
    <x v="23"/>
    <x v="36"/>
    <x v="406"/>
    <x v="0"/>
    <x v="0"/>
    <x v="0"/>
    <x v="317"/>
  </r>
  <r>
    <x v="407"/>
    <x v="407"/>
    <x v="407"/>
    <x v="19"/>
    <x v="84"/>
    <x v="407"/>
    <x v="0"/>
    <x v="0"/>
    <x v="0"/>
    <x v="318"/>
  </r>
  <r>
    <x v="408"/>
    <x v="408"/>
    <x v="408"/>
    <x v="12"/>
    <x v="60"/>
    <x v="408"/>
    <x v="0"/>
    <x v="0"/>
    <x v="0"/>
    <x v="319"/>
  </r>
  <r>
    <x v="409"/>
    <x v="409"/>
    <x v="409"/>
    <x v="10"/>
    <x v="22"/>
    <x v="409"/>
    <x v="0"/>
    <x v="0"/>
    <x v="0"/>
    <x v="320"/>
  </r>
  <r>
    <x v="410"/>
    <x v="410"/>
    <x v="410"/>
    <x v="1"/>
    <x v="77"/>
    <x v="410"/>
    <x v="0"/>
    <x v="0"/>
    <x v="0"/>
    <x v="321"/>
  </r>
  <r>
    <x v="411"/>
    <x v="411"/>
    <x v="411"/>
    <x v="25"/>
    <x v="75"/>
    <x v="411"/>
    <x v="0"/>
    <x v="0"/>
    <x v="0"/>
    <x v="322"/>
  </r>
  <r>
    <x v="412"/>
    <x v="412"/>
    <x v="412"/>
    <x v="3"/>
    <x v="1"/>
    <x v="412"/>
    <x v="0"/>
    <x v="0"/>
    <x v="0"/>
    <x v="323"/>
  </r>
  <r>
    <x v="413"/>
    <x v="413"/>
    <x v="413"/>
    <x v="28"/>
    <x v="75"/>
    <x v="413"/>
    <x v="0"/>
    <x v="0"/>
    <x v="0"/>
    <x v="324"/>
  </r>
  <r>
    <x v="414"/>
    <x v="414"/>
    <x v="414"/>
    <x v="8"/>
    <x v="36"/>
    <x v="414"/>
    <x v="0"/>
    <x v="0"/>
    <x v="0"/>
    <x v="325"/>
  </r>
  <r>
    <x v="415"/>
    <x v="415"/>
    <x v="415"/>
    <x v="24"/>
    <x v="4"/>
    <x v="415"/>
    <x v="0"/>
    <x v="0"/>
    <x v="0"/>
    <x v="326"/>
  </r>
  <r>
    <x v="416"/>
    <x v="416"/>
    <x v="416"/>
    <x v="17"/>
    <x v="17"/>
    <x v="416"/>
    <x v="0"/>
    <x v="0"/>
    <x v="0"/>
    <x v="327"/>
  </r>
  <r>
    <x v="417"/>
    <x v="417"/>
    <x v="417"/>
    <x v="8"/>
    <x v="3"/>
    <x v="417"/>
    <x v="0"/>
    <x v="0"/>
    <x v="0"/>
    <x v="328"/>
  </r>
  <r>
    <x v="418"/>
    <x v="418"/>
    <x v="418"/>
    <x v="14"/>
    <x v="96"/>
    <x v="418"/>
    <x v="0"/>
    <x v="0"/>
    <x v="0"/>
    <x v="329"/>
  </r>
  <r>
    <x v="419"/>
    <x v="419"/>
    <x v="419"/>
    <x v="1"/>
    <x v="75"/>
    <x v="419"/>
    <x v="0"/>
    <x v="0"/>
    <x v="0"/>
    <x v="62"/>
  </r>
  <r>
    <x v="420"/>
    <x v="420"/>
    <x v="420"/>
    <x v="1"/>
    <x v="88"/>
    <x v="420"/>
    <x v="0"/>
    <x v="0"/>
    <x v="0"/>
    <x v="330"/>
  </r>
  <r>
    <x v="421"/>
    <x v="421"/>
    <x v="421"/>
    <x v="17"/>
    <x v="69"/>
    <x v="421"/>
    <x v="0"/>
    <x v="0"/>
    <x v="0"/>
    <x v="331"/>
  </r>
  <r>
    <x v="422"/>
    <x v="422"/>
    <x v="422"/>
    <x v="11"/>
    <x v="50"/>
    <x v="422"/>
    <x v="0"/>
    <x v="0"/>
    <x v="0"/>
    <x v="59"/>
  </r>
  <r>
    <x v="423"/>
    <x v="423"/>
    <x v="423"/>
    <x v="5"/>
    <x v="92"/>
    <x v="423"/>
    <x v="0"/>
    <x v="0"/>
    <x v="0"/>
    <x v="332"/>
  </r>
  <r>
    <x v="424"/>
    <x v="424"/>
    <x v="424"/>
    <x v="18"/>
    <x v="51"/>
    <x v="424"/>
    <x v="0"/>
    <x v="0"/>
    <x v="0"/>
    <x v="333"/>
  </r>
  <r>
    <x v="425"/>
    <x v="425"/>
    <x v="425"/>
    <x v="5"/>
    <x v="6"/>
    <x v="425"/>
    <x v="0"/>
    <x v="0"/>
    <x v="0"/>
    <x v="334"/>
  </r>
  <r>
    <x v="426"/>
    <x v="426"/>
    <x v="426"/>
    <x v="12"/>
    <x v="14"/>
    <x v="426"/>
    <x v="0"/>
    <x v="0"/>
    <x v="0"/>
    <x v="333"/>
  </r>
  <r>
    <x v="427"/>
    <x v="427"/>
    <x v="427"/>
    <x v="23"/>
    <x v="29"/>
    <x v="427"/>
    <x v="0"/>
    <x v="0"/>
    <x v="0"/>
    <x v="335"/>
  </r>
  <r>
    <x v="428"/>
    <x v="428"/>
    <x v="428"/>
    <x v="8"/>
    <x v="19"/>
    <x v="428"/>
    <x v="0"/>
    <x v="0"/>
    <x v="0"/>
    <x v="336"/>
  </r>
  <r>
    <x v="429"/>
    <x v="429"/>
    <x v="429"/>
    <x v="27"/>
    <x v="19"/>
    <x v="429"/>
    <x v="0"/>
    <x v="0"/>
    <x v="0"/>
    <x v="329"/>
  </r>
  <r>
    <x v="430"/>
    <x v="430"/>
    <x v="430"/>
    <x v="28"/>
    <x v="84"/>
    <x v="430"/>
    <x v="0"/>
    <x v="0"/>
    <x v="0"/>
    <x v="337"/>
  </r>
  <r>
    <x v="431"/>
    <x v="431"/>
    <x v="431"/>
    <x v="14"/>
    <x v="61"/>
    <x v="431"/>
    <x v="0"/>
    <x v="0"/>
    <x v="0"/>
    <x v="338"/>
  </r>
  <r>
    <x v="432"/>
    <x v="432"/>
    <x v="432"/>
    <x v="29"/>
    <x v="52"/>
    <x v="432"/>
    <x v="0"/>
    <x v="0"/>
    <x v="0"/>
    <x v="338"/>
  </r>
  <r>
    <x v="433"/>
    <x v="433"/>
    <x v="433"/>
    <x v="5"/>
    <x v="22"/>
    <x v="433"/>
    <x v="0"/>
    <x v="0"/>
    <x v="0"/>
    <x v="339"/>
  </r>
  <r>
    <x v="434"/>
    <x v="434"/>
    <x v="434"/>
    <x v="17"/>
    <x v="53"/>
    <x v="434"/>
    <x v="0"/>
    <x v="0"/>
    <x v="0"/>
    <x v="333"/>
  </r>
  <r>
    <x v="435"/>
    <x v="435"/>
    <x v="435"/>
    <x v="9"/>
    <x v="45"/>
    <x v="435"/>
    <x v="0"/>
    <x v="0"/>
    <x v="0"/>
    <x v="340"/>
  </r>
  <r>
    <x v="436"/>
    <x v="436"/>
    <x v="436"/>
    <x v="15"/>
    <x v="52"/>
    <x v="436"/>
    <x v="0"/>
    <x v="0"/>
    <x v="0"/>
    <x v="337"/>
  </r>
  <r>
    <x v="437"/>
    <x v="437"/>
    <x v="437"/>
    <x v="22"/>
    <x v="68"/>
    <x v="437"/>
    <x v="0"/>
    <x v="0"/>
    <x v="0"/>
    <x v="54"/>
  </r>
  <r>
    <x v="438"/>
    <x v="438"/>
    <x v="438"/>
    <x v="27"/>
    <x v="64"/>
    <x v="438"/>
    <x v="0"/>
    <x v="0"/>
    <x v="0"/>
    <x v="56"/>
  </r>
  <r>
    <x v="439"/>
    <x v="439"/>
    <x v="439"/>
    <x v="1"/>
    <x v="16"/>
    <x v="439"/>
    <x v="0"/>
    <x v="0"/>
    <x v="0"/>
    <x v="339"/>
  </r>
  <r>
    <x v="440"/>
    <x v="440"/>
    <x v="440"/>
    <x v="22"/>
    <x v="2"/>
    <x v="440"/>
    <x v="0"/>
    <x v="0"/>
    <x v="0"/>
    <x v="56"/>
  </r>
  <r>
    <x v="441"/>
    <x v="441"/>
    <x v="441"/>
    <x v="9"/>
    <x v="81"/>
    <x v="441"/>
    <x v="0"/>
    <x v="0"/>
    <x v="0"/>
    <x v="341"/>
  </r>
  <r>
    <x v="442"/>
    <x v="442"/>
    <x v="442"/>
    <x v="0"/>
    <x v="45"/>
    <x v="442"/>
    <x v="0"/>
    <x v="0"/>
    <x v="0"/>
    <x v="342"/>
  </r>
  <r>
    <x v="443"/>
    <x v="443"/>
    <x v="443"/>
    <x v="5"/>
    <x v="12"/>
    <x v="443"/>
    <x v="0"/>
    <x v="0"/>
    <x v="0"/>
    <x v="343"/>
  </r>
  <r>
    <x v="444"/>
    <x v="444"/>
    <x v="444"/>
    <x v="5"/>
    <x v="82"/>
    <x v="444"/>
    <x v="0"/>
    <x v="0"/>
    <x v="0"/>
    <x v="344"/>
  </r>
  <r>
    <x v="445"/>
    <x v="445"/>
    <x v="445"/>
    <x v="18"/>
    <x v="77"/>
    <x v="445"/>
    <x v="0"/>
    <x v="0"/>
    <x v="0"/>
    <x v="345"/>
  </r>
  <r>
    <x v="446"/>
    <x v="446"/>
    <x v="446"/>
    <x v="3"/>
    <x v="54"/>
    <x v="446"/>
    <x v="0"/>
    <x v="0"/>
    <x v="0"/>
    <x v="346"/>
  </r>
  <r>
    <x v="447"/>
    <x v="447"/>
    <x v="447"/>
    <x v="24"/>
    <x v="48"/>
    <x v="447"/>
    <x v="0"/>
    <x v="0"/>
    <x v="0"/>
    <x v="347"/>
  </r>
  <r>
    <x v="448"/>
    <x v="448"/>
    <x v="448"/>
    <x v="12"/>
    <x v="52"/>
    <x v="448"/>
    <x v="0"/>
    <x v="0"/>
    <x v="0"/>
    <x v="348"/>
  </r>
  <r>
    <x v="449"/>
    <x v="449"/>
    <x v="449"/>
    <x v="9"/>
    <x v="7"/>
    <x v="449"/>
    <x v="0"/>
    <x v="0"/>
    <x v="0"/>
    <x v="349"/>
  </r>
  <r>
    <x v="450"/>
    <x v="450"/>
    <x v="450"/>
    <x v="5"/>
    <x v="11"/>
    <x v="450"/>
    <x v="0"/>
    <x v="0"/>
    <x v="0"/>
    <x v="350"/>
  </r>
  <r>
    <x v="451"/>
    <x v="451"/>
    <x v="451"/>
    <x v="1"/>
    <x v="41"/>
    <x v="451"/>
    <x v="0"/>
    <x v="0"/>
    <x v="0"/>
    <x v="351"/>
  </r>
  <r>
    <x v="452"/>
    <x v="452"/>
    <x v="452"/>
    <x v="8"/>
    <x v="94"/>
    <x v="452"/>
    <x v="0"/>
    <x v="0"/>
    <x v="0"/>
    <x v="352"/>
  </r>
  <r>
    <x v="453"/>
    <x v="453"/>
    <x v="453"/>
    <x v="5"/>
    <x v="72"/>
    <x v="453"/>
    <x v="0"/>
    <x v="0"/>
    <x v="0"/>
    <x v="353"/>
  </r>
  <r>
    <x v="454"/>
    <x v="454"/>
    <x v="454"/>
    <x v="1"/>
    <x v="82"/>
    <x v="454"/>
    <x v="0"/>
    <x v="0"/>
    <x v="0"/>
    <x v="354"/>
  </r>
  <r>
    <x v="455"/>
    <x v="455"/>
    <x v="455"/>
    <x v="13"/>
    <x v="50"/>
    <x v="455"/>
    <x v="0"/>
    <x v="0"/>
    <x v="0"/>
    <x v="355"/>
  </r>
  <r>
    <x v="456"/>
    <x v="456"/>
    <x v="456"/>
    <x v="9"/>
    <x v="94"/>
    <x v="456"/>
    <x v="0"/>
    <x v="0"/>
    <x v="0"/>
    <x v="356"/>
  </r>
  <r>
    <x v="457"/>
    <x v="457"/>
    <x v="457"/>
    <x v="6"/>
    <x v="52"/>
    <x v="457"/>
    <x v="0"/>
    <x v="0"/>
    <x v="0"/>
    <x v="357"/>
  </r>
  <r>
    <x v="458"/>
    <x v="458"/>
    <x v="458"/>
    <x v="9"/>
    <x v="52"/>
    <x v="458"/>
    <x v="0"/>
    <x v="0"/>
    <x v="0"/>
    <x v="358"/>
  </r>
  <r>
    <x v="459"/>
    <x v="459"/>
    <x v="459"/>
    <x v="12"/>
    <x v="50"/>
    <x v="459"/>
    <x v="0"/>
    <x v="0"/>
    <x v="0"/>
    <x v="359"/>
  </r>
  <r>
    <x v="460"/>
    <x v="460"/>
    <x v="460"/>
    <x v="8"/>
    <x v="57"/>
    <x v="460"/>
    <x v="0"/>
    <x v="0"/>
    <x v="0"/>
    <x v="360"/>
  </r>
  <r>
    <x v="461"/>
    <x v="461"/>
    <x v="461"/>
    <x v="15"/>
    <x v="53"/>
    <x v="461"/>
    <x v="0"/>
    <x v="0"/>
    <x v="0"/>
    <x v="361"/>
  </r>
  <r>
    <x v="462"/>
    <x v="462"/>
    <x v="462"/>
    <x v="6"/>
    <x v="38"/>
    <x v="462"/>
    <x v="0"/>
    <x v="0"/>
    <x v="0"/>
    <x v="362"/>
  </r>
  <r>
    <x v="463"/>
    <x v="463"/>
    <x v="463"/>
    <x v="27"/>
    <x v="0"/>
    <x v="463"/>
    <x v="0"/>
    <x v="0"/>
    <x v="0"/>
    <x v="363"/>
  </r>
  <r>
    <x v="464"/>
    <x v="464"/>
    <x v="464"/>
    <x v="8"/>
    <x v="82"/>
    <x v="464"/>
    <x v="0"/>
    <x v="0"/>
    <x v="0"/>
    <x v="364"/>
  </r>
  <r>
    <x v="465"/>
    <x v="465"/>
    <x v="465"/>
    <x v="5"/>
    <x v="14"/>
    <x v="465"/>
    <x v="0"/>
    <x v="0"/>
    <x v="0"/>
    <x v="365"/>
  </r>
  <r>
    <x v="466"/>
    <x v="466"/>
    <x v="466"/>
    <x v="6"/>
    <x v="3"/>
    <x v="466"/>
    <x v="0"/>
    <x v="0"/>
    <x v="0"/>
    <x v="366"/>
  </r>
  <r>
    <x v="467"/>
    <x v="467"/>
    <x v="467"/>
    <x v="21"/>
    <x v="42"/>
    <x v="467"/>
    <x v="0"/>
    <x v="0"/>
    <x v="0"/>
    <x v="367"/>
  </r>
  <r>
    <x v="468"/>
    <x v="468"/>
    <x v="468"/>
    <x v="3"/>
    <x v="11"/>
    <x v="468"/>
    <x v="0"/>
    <x v="0"/>
    <x v="0"/>
    <x v="368"/>
  </r>
  <r>
    <x v="469"/>
    <x v="469"/>
    <x v="469"/>
    <x v="3"/>
    <x v="22"/>
    <x v="469"/>
    <x v="0"/>
    <x v="0"/>
    <x v="0"/>
    <x v="369"/>
  </r>
  <r>
    <x v="470"/>
    <x v="470"/>
    <x v="470"/>
    <x v="8"/>
    <x v="94"/>
    <x v="470"/>
    <x v="0"/>
    <x v="0"/>
    <x v="0"/>
    <x v="370"/>
  </r>
  <r>
    <x v="471"/>
    <x v="471"/>
    <x v="471"/>
    <x v="8"/>
    <x v="52"/>
    <x v="471"/>
    <x v="0"/>
    <x v="0"/>
    <x v="0"/>
    <x v="371"/>
  </r>
  <r>
    <x v="472"/>
    <x v="472"/>
    <x v="472"/>
    <x v="8"/>
    <x v="97"/>
    <x v="472"/>
    <x v="0"/>
    <x v="0"/>
    <x v="0"/>
    <x v="372"/>
  </r>
  <r>
    <x v="473"/>
    <x v="473"/>
    <x v="473"/>
    <x v="11"/>
    <x v="21"/>
    <x v="473"/>
    <x v="0"/>
    <x v="0"/>
    <x v="0"/>
    <x v="373"/>
  </r>
  <r>
    <x v="474"/>
    <x v="474"/>
    <x v="474"/>
    <x v="1"/>
    <x v="10"/>
    <x v="474"/>
    <x v="0"/>
    <x v="0"/>
    <x v="0"/>
    <x v="374"/>
  </r>
  <r>
    <x v="475"/>
    <x v="475"/>
    <x v="475"/>
    <x v="31"/>
    <x v="98"/>
    <x v="475"/>
    <x v="0"/>
    <x v="0"/>
    <x v="0"/>
    <x v="375"/>
  </r>
  <r>
    <x v="476"/>
    <x v="476"/>
    <x v="476"/>
    <x v="17"/>
    <x v="8"/>
    <x v="476"/>
    <x v="0"/>
    <x v="0"/>
    <x v="0"/>
    <x v="376"/>
  </r>
  <r>
    <x v="477"/>
    <x v="477"/>
    <x v="477"/>
    <x v="5"/>
    <x v="59"/>
    <x v="477"/>
    <x v="0"/>
    <x v="0"/>
    <x v="0"/>
    <x v="377"/>
  </r>
  <r>
    <x v="478"/>
    <x v="478"/>
    <x v="478"/>
    <x v="18"/>
    <x v="88"/>
    <x v="478"/>
    <x v="0"/>
    <x v="0"/>
    <x v="0"/>
    <x v="371"/>
  </r>
  <r>
    <x v="479"/>
    <x v="479"/>
    <x v="479"/>
    <x v="8"/>
    <x v="99"/>
    <x v="479"/>
    <x v="0"/>
    <x v="0"/>
    <x v="0"/>
    <x v="378"/>
  </r>
  <r>
    <x v="480"/>
    <x v="480"/>
    <x v="480"/>
    <x v="0"/>
    <x v="7"/>
    <x v="480"/>
    <x v="0"/>
    <x v="0"/>
    <x v="0"/>
    <x v="379"/>
  </r>
  <r>
    <x v="481"/>
    <x v="481"/>
    <x v="481"/>
    <x v="7"/>
    <x v="53"/>
    <x v="481"/>
    <x v="0"/>
    <x v="0"/>
    <x v="0"/>
    <x v="380"/>
  </r>
  <r>
    <x v="482"/>
    <x v="482"/>
    <x v="482"/>
    <x v="1"/>
    <x v="21"/>
    <x v="482"/>
    <x v="0"/>
    <x v="0"/>
    <x v="0"/>
    <x v="381"/>
  </r>
  <r>
    <x v="483"/>
    <x v="483"/>
    <x v="483"/>
    <x v="20"/>
    <x v="72"/>
    <x v="483"/>
    <x v="0"/>
    <x v="0"/>
    <x v="0"/>
    <x v="382"/>
  </r>
  <r>
    <x v="484"/>
    <x v="484"/>
    <x v="484"/>
    <x v="0"/>
    <x v="73"/>
    <x v="484"/>
    <x v="0"/>
    <x v="0"/>
    <x v="0"/>
    <x v="383"/>
  </r>
  <r>
    <x v="485"/>
    <x v="485"/>
    <x v="485"/>
    <x v="21"/>
    <x v="41"/>
    <x v="485"/>
    <x v="0"/>
    <x v="0"/>
    <x v="0"/>
    <x v="383"/>
  </r>
  <r>
    <x v="486"/>
    <x v="486"/>
    <x v="486"/>
    <x v="12"/>
    <x v="57"/>
    <x v="486"/>
    <x v="0"/>
    <x v="0"/>
    <x v="0"/>
    <x v="384"/>
  </r>
  <r>
    <x v="487"/>
    <x v="487"/>
    <x v="487"/>
    <x v="10"/>
    <x v="7"/>
    <x v="487"/>
    <x v="0"/>
    <x v="0"/>
    <x v="0"/>
    <x v="385"/>
  </r>
  <r>
    <x v="488"/>
    <x v="488"/>
    <x v="488"/>
    <x v="0"/>
    <x v="13"/>
    <x v="488"/>
    <x v="0"/>
    <x v="0"/>
    <x v="0"/>
    <x v="386"/>
  </r>
  <r>
    <x v="489"/>
    <x v="489"/>
    <x v="489"/>
    <x v="0"/>
    <x v="99"/>
    <x v="489"/>
    <x v="0"/>
    <x v="0"/>
    <x v="0"/>
    <x v="387"/>
  </r>
  <r>
    <x v="490"/>
    <x v="490"/>
    <x v="490"/>
    <x v="5"/>
    <x v="79"/>
    <x v="490"/>
    <x v="0"/>
    <x v="0"/>
    <x v="0"/>
    <x v="388"/>
  </r>
  <r>
    <x v="491"/>
    <x v="491"/>
    <x v="491"/>
    <x v="0"/>
    <x v="73"/>
    <x v="491"/>
    <x v="0"/>
    <x v="0"/>
    <x v="0"/>
    <x v="389"/>
  </r>
  <r>
    <x v="492"/>
    <x v="492"/>
    <x v="492"/>
    <x v="20"/>
    <x v="82"/>
    <x v="492"/>
    <x v="0"/>
    <x v="0"/>
    <x v="0"/>
    <x v="390"/>
  </r>
  <r>
    <x v="493"/>
    <x v="493"/>
    <x v="493"/>
    <x v="15"/>
    <x v="100"/>
    <x v="493"/>
    <x v="0"/>
    <x v="0"/>
    <x v="0"/>
    <x v="391"/>
  </r>
  <r>
    <x v="494"/>
    <x v="494"/>
    <x v="494"/>
    <x v="5"/>
    <x v="19"/>
    <x v="494"/>
    <x v="0"/>
    <x v="0"/>
    <x v="0"/>
    <x v="392"/>
  </r>
  <r>
    <x v="495"/>
    <x v="495"/>
    <x v="495"/>
    <x v="5"/>
    <x v="94"/>
    <x v="495"/>
    <x v="0"/>
    <x v="0"/>
    <x v="0"/>
    <x v="393"/>
  </r>
  <r>
    <x v="496"/>
    <x v="496"/>
    <x v="496"/>
    <x v="5"/>
    <x v="94"/>
    <x v="496"/>
    <x v="0"/>
    <x v="0"/>
    <x v="0"/>
    <x v="394"/>
  </r>
  <r>
    <x v="497"/>
    <x v="497"/>
    <x v="497"/>
    <x v="11"/>
    <x v="37"/>
    <x v="497"/>
    <x v="0"/>
    <x v="0"/>
    <x v="0"/>
    <x v="360"/>
  </r>
  <r>
    <x v="498"/>
    <x v="498"/>
    <x v="498"/>
    <x v="12"/>
    <x v="82"/>
    <x v="498"/>
    <x v="0"/>
    <x v="0"/>
    <x v="0"/>
    <x v="395"/>
  </r>
  <r>
    <x v="499"/>
    <x v="499"/>
    <x v="499"/>
    <x v="3"/>
    <x v="53"/>
    <x v="499"/>
    <x v="0"/>
    <x v="0"/>
    <x v="0"/>
    <x v="396"/>
  </r>
  <r>
    <x v="500"/>
    <x v="500"/>
    <x v="500"/>
    <x v="8"/>
    <x v="52"/>
    <x v="500"/>
    <x v="0"/>
    <x v="0"/>
    <x v="0"/>
    <x v="397"/>
  </r>
  <r>
    <x v="501"/>
    <x v="501"/>
    <x v="501"/>
    <x v="8"/>
    <x v="53"/>
    <x v="501"/>
    <x v="0"/>
    <x v="0"/>
    <x v="0"/>
    <x v="398"/>
  </r>
  <r>
    <x v="502"/>
    <x v="502"/>
    <x v="502"/>
    <x v="5"/>
    <x v="85"/>
    <x v="502"/>
    <x v="0"/>
    <x v="0"/>
    <x v="0"/>
    <x v="399"/>
  </r>
  <r>
    <x v="503"/>
    <x v="503"/>
    <x v="503"/>
    <x v="0"/>
    <x v="14"/>
    <x v="503"/>
    <x v="0"/>
    <x v="0"/>
    <x v="0"/>
    <x v="400"/>
  </r>
  <r>
    <x v="504"/>
    <x v="504"/>
    <x v="504"/>
    <x v="20"/>
    <x v="95"/>
    <x v="504"/>
    <x v="0"/>
    <x v="0"/>
    <x v="0"/>
    <x v="401"/>
  </r>
  <r>
    <x v="505"/>
    <x v="505"/>
    <x v="505"/>
    <x v="0"/>
    <x v="30"/>
    <x v="505"/>
    <x v="0"/>
    <x v="0"/>
    <x v="0"/>
    <x v="402"/>
  </r>
  <r>
    <x v="506"/>
    <x v="506"/>
    <x v="506"/>
    <x v="13"/>
    <x v="17"/>
    <x v="506"/>
    <x v="0"/>
    <x v="0"/>
    <x v="0"/>
    <x v="403"/>
  </r>
  <r>
    <x v="507"/>
    <x v="507"/>
    <x v="507"/>
    <x v="0"/>
    <x v="24"/>
    <x v="507"/>
    <x v="0"/>
    <x v="0"/>
    <x v="0"/>
    <x v="404"/>
  </r>
  <r>
    <x v="508"/>
    <x v="508"/>
    <x v="508"/>
    <x v="24"/>
    <x v="47"/>
    <x v="508"/>
    <x v="0"/>
    <x v="0"/>
    <x v="0"/>
    <x v="405"/>
  </r>
  <r>
    <x v="509"/>
    <x v="509"/>
    <x v="509"/>
    <x v="0"/>
    <x v="1"/>
    <x v="509"/>
    <x v="0"/>
    <x v="0"/>
    <x v="0"/>
    <x v="406"/>
  </r>
  <r>
    <x v="510"/>
    <x v="510"/>
    <x v="510"/>
    <x v="31"/>
    <x v="0"/>
    <x v="510"/>
    <x v="0"/>
    <x v="1"/>
    <x v="0"/>
    <x v="407"/>
  </r>
  <r>
    <x v="511"/>
    <x v="511"/>
    <x v="511"/>
    <x v="5"/>
    <x v="31"/>
    <x v="511"/>
    <x v="0"/>
    <x v="1"/>
    <x v="0"/>
    <x v="408"/>
  </r>
  <r>
    <x v="512"/>
    <x v="512"/>
    <x v="512"/>
    <x v="17"/>
    <x v="60"/>
    <x v="512"/>
    <x v="0"/>
    <x v="1"/>
    <x v="0"/>
    <x v="302"/>
  </r>
  <r>
    <x v="513"/>
    <x v="513"/>
    <x v="513"/>
    <x v="1"/>
    <x v="101"/>
    <x v="513"/>
    <x v="0"/>
    <x v="1"/>
    <x v="0"/>
    <x v="303"/>
  </r>
  <r>
    <x v="514"/>
    <x v="514"/>
    <x v="514"/>
    <x v="1"/>
    <x v="3"/>
    <x v="514"/>
    <x v="0"/>
    <x v="1"/>
    <x v="0"/>
    <x v="331"/>
  </r>
  <r>
    <x v="515"/>
    <x v="515"/>
    <x v="515"/>
    <x v="31"/>
    <x v="31"/>
    <x v="515"/>
    <x v="0"/>
    <x v="1"/>
    <x v="0"/>
    <x v="409"/>
  </r>
  <r>
    <x v="516"/>
    <x v="516"/>
    <x v="516"/>
    <x v="18"/>
    <x v="77"/>
    <x v="516"/>
    <x v="0"/>
    <x v="1"/>
    <x v="0"/>
    <x v="410"/>
  </r>
  <r>
    <x v="517"/>
    <x v="517"/>
    <x v="517"/>
    <x v="1"/>
    <x v="17"/>
    <x v="517"/>
    <x v="0"/>
    <x v="1"/>
    <x v="0"/>
    <x v="411"/>
  </r>
  <r>
    <x v="518"/>
    <x v="518"/>
    <x v="518"/>
    <x v="6"/>
    <x v="47"/>
    <x v="518"/>
    <x v="0"/>
    <x v="1"/>
    <x v="0"/>
    <x v="412"/>
  </r>
  <r>
    <x v="519"/>
    <x v="519"/>
    <x v="519"/>
    <x v="1"/>
    <x v="0"/>
    <x v="519"/>
    <x v="0"/>
    <x v="1"/>
    <x v="0"/>
    <x v="413"/>
  </r>
  <r>
    <x v="520"/>
    <x v="520"/>
    <x v="520"/>
    <x v="1"/>
    <x v="0"/>
    <x v="520"/>
    <x v="0"/>
    <x v="1"/>
    <x v="0"/>
    <x v="414"/>
  </r>
  <r>
    <x v="521"/>
    <x v="521"/>
    <x v="521"/>
    <x v="12"/>
    <x v="30"/>
    <x v="521"/>
    <x v="0"/>
    <x v="1"/>
    <x v="0"/>
    <x v="415"/>
  </r>
  <r>
    <x v="522"/>
    <x v="522"/>
    <x v="522"/>
    <x v="31"/>
    <x v="30"/>
    <x v="522"/>
    <x v="0"/>
    <x v="1"/>
    <x v="0"/>
    <x v="416"/>
  </r>
  <r>
    <x v="523"/>
    <x v="523"/>
    <x v="523"/>
    <x v="31"/>
    <x v="77"/>
    <x v="523"/>
    <x v="0"/>
    <x v="1"/>
    <x v="0"/>
    <x v="417"/>
  </r>
  <r>
    <x v="524"/>
    <x v="524"/>
    <x v="524"/>
    <x v="13"/>
    <x v="47"/>
    <x v="524"/>
    <x v="0"/>
    <x v="1"/>
    <x v="0"/>
    <x v="418"/>
  </r>
  <r>
    <x v="525"/>
    <x v="525"/>
    <x v="525"/>
    <x v="31"/>
    <x v="17"/>
    <x v="525"/>
    <x v="0"/>
    <x v="1"/>
    <x v="0"/>
    <x v="419"/>
  </r>
  <r>
    <x v="526"/>
    <x v="526"/>
    <x v="526"/>
    <x v="12"/>
    <x v="77"/>
    <x v="526"/>
    <x v="0"/>
    <x v="1"/>
    <x v="0"/>
    <x v="420"/>
  </r>
  <r>
    <x v="527"/>
    <x v="527"/>
    <x v="527"/>
    <x v="8"/>
    <x v="17"/>
    <x v="527"/>
    <x v="0"/>
    <x v="1"/>
    <x v="0"/>
    <x v="421"/>
  </r>
  <r>
    <x v="528"/>
    <x v="528"/>
    <x v="528"/>
    <x v="25"/>
    <x v="68"/>
    <x v="528"/>
    <x v="0"/>
    <x v="1"/>
    <x v="0"/>
    <x v="422"/>
  </r>
  <r>
    <x v="529"/>
    <x v="529"/>
    <x v="529"/>
    <x v="31"/>
    <x v="54"/>
    <x v="529"/>
    <x v="0"/>
    <x v="1"/>
    <x v="0"/>
    <x v="423"/>
  </r>
  <r>
    <x v="530"/>
    <x v="530"/>
    <x v="530"/>
    <x v="12"/>
    <x v="17"/>
    <x v="530"/>
    <x v="0"/>
    <x v="1"/>
    <x v="0"/>
    <x v="424"/>
  </r>
  <r>
    <x v="531"/>
    <x v="531"/>
    <x v="531"/>
    <x v="1"/>
    <x v="26"/>
    <x v="531"/>
    <x v="0"/>
    <x v="1"/>
    <x v="0"/>
    <x v="425"/>
  </r>
  <r>
    <x v="532"/>
    <x v="532"/>
    <x v="532"/>
    <x v="5"/>
    <x v="33"/>
    <x v="532"/>
    <x v="0"/>
    <x v="1"/>
    <x v="0"/>
    <x v="426"/>
  </r>
  <r>
    <x v="533"/>
    <x v="533"/>
    <x v="533"/>
    <x v="0"/>
    <x v="39"/>
    <x v="533"/>
    <x v="0"/>
    <x v="1"/>
    <x v="0"/>
    <x v="427"/>
  </r>
  <r>
    <x v="534"/>
    <x v="534"/>
    <x v="534"/>
    <x v="1"/>
    <x v="38"/>
    <x v="534"/>
    <x v="0"/>
    <x v="1"/>
    <x v="0"/>
    <x v="428"/>
  </r>
  <r>
    <x v="535"/>
    <x v="535"/>
    <x v="535"/>
    <x v="8"/>
    <x v="21"/>
    <x v="535"/>
    <x v="0"/>
    <x v="1"/>
    <x v="0"/>
    <x v="429"/>
  </r>
  <r>
    <x v="536"/>
    <x v="536"/>
    <x v="536"/>
    <x v="22"/>
    <x v="47"/>
    <x v="536"/>
    <x v="0"/>
    <x v="1"/>
    <x v="0"/>
    <x v="430"/>
  </r>
  <r>
    <x v="537"/>
    <x v="537"/>
    <x v="537"/>
    <x v="17"/>
    <x v="47"/>
    <x v="537"/>
    <x v="0"/>
    <x v="1"/>
    <x v="0"/>
    <x v="431"/>
  </r>
  <r>
    <x v="538"/>
    <x v="538"/>
    <x v="538"/>
    <x v="0"/>
    <x v="0"/>
    <x v="538"/>
    <x v="0"/>
    <x v="1"/>
    <x v="0"/>
    <x v="432"/>
  </r>
  <r>
    <x v="539"/>
    <x v="539"/>
    <x v="539"/>
    <x v="1"/>
    <x v="37"/>
    <x v="539"/>
    <x v="0"/>
    <x v="1"/>
    <x v="0"/>
    <x v="433"/>
  </r>
  <r>
    <x v="540"/>
    <x v="540"/>
    <x v="540"/>
    <x v="29"/>
    <x v="78"/>
    <x v="540"/>
    <x v="0"/>
    <x v="1"/>
    <x v="0"/>
    <x v="434"/>
  </r>
  <r>
    <x v="541"/>
    <x v="541"/>
    <x v="541"/>
    <x v="7"/>
    <x v="8"/>
    <x v="541"/>
    <x v="0"/>
    <x v="1"/>
    <x v="0"/>
    <x v="435"/>
  </r>
  <r>
    <x v="542"/>
    <x v="542"/>
    <x v="542"/>
    <x v="5"/>
    <x v="1"/>
    <x v="542"/>
    <x v="0"/>
    <x v="1"/>
    <x v="0"/>
    <x v="436"/>
  </r>
  <r>
    <x v="543"/>
    <x v="543"/>
    <x v="543"/>
    <x v="1"/>
    <x v="102"/>
    <x v="543"/>
    <x v="0"/>
    <x v="1"/>
    <x v="0"/>
    <x v="437"/>
  </r>
  <r>
    <x v="544"/>
    <x v="544"/>
    <x v="544"/>
    <x v="8"/>
    <x v="20"/>
    <x v="544"/>
    <x v="0"/>
    <x v="1"/>
    <x v="0"/>
    <x v="180"/>
  </r>
  <r>
    <x v="545"/>
    <x v="545"/>
    <x v="545"/>
    <x v="8"/>
    <x v="37"/>
    <x v="545"/>
    <x v="0"/>
    <x v="1"/>
    <x v="0"/>
    <x v="181"/>
  </r>
  <r>
    <x v="546"/>
    <x v="546"/>
    <x v="546"/>
    <x v="15"/>
    <x v="22"/>
    <x v="546"/>
    <x v="0"/>
    <x v="1"/>
    <x v="0"/>
    <x v="65"/>
  </r>
  <r>
    <x v="547"/>
    <x v="547"/>
    <x v="547"/>
    <x v="6"/>
    <x v="29"/>
    <x v="547"/>
    <x v="0"/>
    <x v="1"/>
    <x v="0"/>
    <x v="438"/>
  </r>
  <r>
    <x v="548"/>
    <x v="548"/>
    <x v="548"/>
    <x v="1"/>
    <x v="49"/>
    <x v="548"/>
    <x v="0"/>
    <x v="1"/>
    <x v="0"/>
    <x v="207"/>
  </r>
  <r>
    <x v="549"/>
    <x v="549"/>
    <x v="549"/>
    <x v="1"/>
    <x v="18"/>
    <x v="549"/>
    <x v="0"/>
    <x v="1"/>
    <x v="0"/>
    <x v="192"/>
  </r>
  <r>
    <x v="550"/>
    <x v="550"/>
    <x v="550"/>
    <x v="22"/>
    <x v="82"/>
    <x v="550"/>
    <x v="0"/>
    <x v="1"/>
    <x v="0"/>
    <x v="439"/>
  </r>
  <r>
    <x v="551"/>
    <x v="551"/>
    <x v="551"/>
    <x v="1"/>
    <x v="35"/>
    <x v="551"/>
    <x v="0"/>
    <x v="1"/>
    <x v="0"/>
    <x v="212"/>
  </r>
  <r>
    <x v="552"/>
    <x v="552"/>
    <x v="552"/>
    <x v="8"/>
    <x v="93"/>
    <x v="552"/>
    <x v="0"/>
    <x v="1"/>
    <x v="0"/>
    <x v="440"/>
  </r>
  <r>
    <x v="553"/>
    <x v="553"/>
    <x v="553"/>
    <x v="12"/>
    <x v="10"/>
    <x v="553"/>
    <x v="0"/>
    <x v="1"/>
    <x v="0"/>
    <x v="184"/>
  </r>
  <r>
    <x v="554"/>
    <x v="554"/>
    <x v="554"/>
    <x v="31"/>
    <x v="39"/>
    <x v="554"/>
    <x v="0"/>
    <x v="1"/>
    <x v="0"/>
    <x v="207"/>
  </r>
  <r>
    <x v="555"/>
    <x v="555"/>
    <x v="555"/>
    <x v="1"/>
    <x v="36"/>
    <x v="555"/>
    <x v="0"/>
    <x v="1"/>
    <x v="0"/>
    <x v="191"/>
  </r>
  <r>
    <x v="556"/>
    <x v="556"/>
    <x v="556"/>
    <x v="6"/>
    <x v="40"/>
    <x v="556"/>
    <x v="0"/>
    <x v="1"/>
    <x v="0"/>
    <x v="212"/>
  </r>
  <r>
    <x v="557"/>
    <x v="557"/>
    <x v="557"/>
    <x v="3"/>
    <x v="101"/>
    <x v="557"/>
    <x v="0"/>
    <x v="1"/>
    <x v="0"/>
    <x v="438"/>
  </r>
  <r>
    <x v="558"/>
    <x v="558"/>
    <x v="558"/>
    <x v="13"/>
    <x v="60"/>
    <x v="558"/>
    <x v="0"/>
    <x v="1"/>
    <x v="0"/>
    <x v="186"/>
  </r>
  <r>
    <x v="559"/>
    <x v="559"/>
    <x v="559"/>
    <x v="22"/>
    <x v="7"/>
    <x v="559"/>
    <x v="0"/>
    <x v="1"/>
    <x v="0"/>
    <x v="186"/>
  </r>
  <r>
    <x v="560"/>
    <x v="560"/>
    <x v="560"/>
    <x v="8"/>
    <x v="69"/>
    <x v="560"/>
    <x v="0"/>
    <x v="1"/>
    <x v="0"/>
    <x v="439"/>
  </r>
  <r>
    <x v="561"/>
    <x v="561"/>
    <x v="561"/>
    <x v="15"/>
    <x v="13"/>
    <x v="561"/>
    <x v="0"/>
    <x v="1"/>
    <x v="0"/>
    <x v="212"/>
  </r>
  <r>
    <x v="562"/>
    <x v="562"/>
    <x v="562"/>
    <x v="31"/>
    <x v="103"/>
    <x v="562"/>
    <x v="0"/>
    <x v="1"/>
    <x v="0"/>
    <x v="441"/>
  </r>
  <r>
    <x v="563"/>
    <x v="563"/>
    <x v="563"/>
    <x v="31"/>
    <x v="50"/>
    <x v="563"/>
    <x v="0"/>
    <x v="1"/>
    <x v="0"/>
    <x v="199"/>
  </r>
  <r>
    <x v="564"/>
    <x v="564"/>
    <x v="564"/>
    <x v="11"/>
    <x v="52"/>
    <x v="564"/>
    <x v="0"/>
    <x v="1"/>
    <x v="0"/>
    <x v="198"/>
  </r>
  <r>
    <x v="565"/>
    <x v="565"/>
    <x v="565"/>
    <x v="12"/>
    <x v="72"/>
    <x v="565"/>
    <x v="0"/>
    <x v="1"/>
    <x v="0"/>
    <x v="442"/>
  </r>
  <r>
    <x v="566"/>
    <x v="566"/>
    <x v="566"/>
    <x v="8"/>
    <x v="1"/>
    <x v="566"/>
    <x v="0"/>
    <x v="1"/>
    <x v="0"/>
    <x v="195"/>
  </r>
  <r>
    <x v="567"/>
    <x v="567"/>
    <x v="567"/>
    <x v="3"/>
    <x v="52"/>
    <x v="567"/>
    <x v="0"/>
    <x v="1"/>
    <x v="0"/>
    <x v="205"/>
  </r>
  <r>
    <x v="568"/>
    <x v="568"/>
    <x v="568"/>
    <x v="17"/>
    <x v="36"/>
    <x v="568"/>
    <x v="0"/>
    <x v="1"/>
    <x v="0"/>
    <x v="211"/>
  </r>
  <r>
    <x v="569"/>
    <x v="569"/>
    <x v="569"/>
    <x v="21"/>
    <x v="45"/>
    <x v="569"/>
    <x v="0"/>
    <x v="1"/>
    <x v="0"/>
    <x v="443"/>
  </r>
  <r>
    <x v="570"/>
    <x v="570"/>
    <x v="570"/>
    <x v="31"/>
    <x v="19"/>
    <x v="570"/>
    <x v="0"/>
    <x v="1"/>
    <x v="0"/>
    <x v="200"/>
  </r>
  <r>
    <x v="571"/>
    <x v="571"/>
    <x v="571"/>
    <x v="24"/>
    <x v="101"/>
    <x v="571"/>
    <x v="0"/>
    <x v="1"/>
    <x v="0"/>
    <x v="444"/>
  </r>
  <r>
    <x v="572"/>
    <x v="572"/>
    <x v="572"/>
    <x v="3"/>
    <x v="20"/>
    <x v="572"/>
    <x v="0"/>
    <x v="1"/>
    <x v="0"/>
    <x v="211"/>
  </r>
  <r>
    <x v="573"/>
    <x v="573"/>
    <x v="573"/>
    <x v="11"/>
    <x v="93"/>
    <x v="573"/>
    <x v="0"/>
    <x v="1"/>
    <x v="0"/>
    <x v="215"/>
  </r>
  <r>
    <x v="574"/>
    <x v="574"/>
    <x v="574"/>
    <x v="1"/>
    <x v="45"/>
    <x v="574"/>
    <x v="0"/>
    <x v="1"/>
    <x v="0"/>
    <x v="204"/>
  </r>
  <r>
    <x v="575"/>
    <x v="575"/>
    <x v="575"/>
    <x v="31"/>
    <x v="37"/>
    <x v="575"/>
    <x v="0"/>
    <x v="1"/>
    <x v="0"/>
    <x v="196"/>
  </r>
  <r>
    <x v="576"/>
    <x v="576"/>
    <x v="576"/>
    <x v="11"/>
    <x v="7"/>
    <x v="576"/>
    <x v="0"/>
    <x v="1"/>
    <x v="0"/>
    <x v="225"/>
  </r>
  <r>
    <x v="577"/>
    <x v="577"/>
    <x v="577"/>
    <x v="31"/>
    <x v="4"/>
    <x v="577"/>
    <x v="0"/>
    <x v="1"/>
    <x v="0"/>
    <x v="200"/>
  </r>
  <r>
    <x v="578"/>
    <x v="578"/>
    <x v="578"/>
    <x v="29"/>
    <x v="39"/>
    <x v="578"/>
    <x v="0"/>
    <x v="1"/>
    <x v="0"/>
    <x v="209"/>
  </r>
  <r>
    <x v="579"/>
    <x v="579"/>
    <x v="579"/>
    <x v="25"/>
    <x v="42"/>
    <x v="579"/>
    <x v="0"/>
    <x v="1"/>
    <x v="0"/>
    <x v="203"/>
  </r>
  <r>
    <x v="580"/>
    <x v="580"/>
    <x v="580"/>
    <x v="31"/>
    <x v="89"/>
    <x v="580"/>
    <x v="0"/>
    <x v="1"/>
    <x v="0"/>
    <x v="213"/>
  </r>
  <r>
    <x v="581"/>
    <x v="581"/>
    <x v="581"/>
    <x v="5"/>
    <x v="17"/>
    <x v="581"/>
    <x v="0"/>
    <x v="1"/>
    <x v="0"/>
    <x v="224"/>
  </r>
  <r>
    <x v="582"/>
    <x v="582"/>
    <x v="582"/>
    <x v="3"/>
    <x v="60"/>
    <x v="582"/>
    <x v="0"/>
    <x v="1"/>
    <x v="0"/>
    <x v="199"/>
  </r>
  <r>
    <x v="583"/>
    <x v="583"/>
    <x v="583"/>
    <x v="1"/>
    <x v="14"/>
    <x v="583"/>
    <x v="0"/>
    <x v="1"/>
    <x v="0"/>
    <x v="205"/>
  </r>
  <r>
    <x v="584"/>
    <x v="584"/>
    <x v="584"/>
    <x v="7"/>
    <x v="68"/>
    <x v="584"/>
    <x v="0"/>
    <x v="1"/>
    <x v="0"/>
    <x v="205"/>
  </r>
  <r>
    <x v="585"/>
    <x v="585"/>
    <x v="585"/>
    <x v="22"/>
    <x v="48"/>
    <x v="585"/>
    <x v="0"/>
    <x v="1"/>
    <x v="0"/>
    <x v="200"/>
  </r>
  <r>
    <x v="586"/>
    <x v="586"/>
    <x v="586"/>
    <x v="31"/>
    <x v="60"/>
    <x v="586"/>
    <x v="0"/>
    <x v="1"/>
    <x v="0"/>
    <x v="445"/>
  </r>
  <r>
    <x v="587"/>
    <x v="587"/>
    <x v="587"/>
    <x v="3"/>
    <x v="28"/>
    <x v="587"/>
    <x v="0"/>
    <x v="1"/>
    <x v="0"/>
    <x v="249"/>
  </r>
  <r>
    <x v="588"/>
    <x v="588"/>
    <x v="588"/>
    <x v="20"/>
    <x v="47"/>
    <x v="588"/>
    <x v="0"/>
    <x v="1"/>
    <x v="0"/>
    <x v="225"/>
  </r>
  <r>
    <x v="589"/>
    <x v="589"/>
    <x v="589"/>
    <x v="17"/>
    <x v="11"/>
    <x v="589"/>
    <x v="0"/>
    <x v="1"/>
    <x v="0"/>
    <x v="446"/>
  </r>
  <r>
    <x v="590"/>
    <x v="590"/>
    <x v="590"/>
    <x v="27"/>
    <x v="81"/>
    <x v="590"/>
    <x v="0"/>
    <x v="1"/>
    <x v="0"/>
    <x v="237"/>
  </r>
  <r>
    <x v="591"/>
    <x v="591"/>
    <x v="591"/>
    <x v="7"/>
    <x v="39"/>
    <x v="591"/>
    <x v="0"/>
    <x v="1"/>
    <x v="0"/>
    <x v="447"/>
  </r>
  <r>
    <x v="592"/>
    <x v="592"/>
    <x v="592"/>
    <x v="2"/>
    <x v="76"/>
    <x v="592"/>
    <x v="0"/>
    <x v="1"/>
    <x v="0"/>
    <x v="448"/>
  </r>
  <r>
    <x v="593"/>
    <x v="593"/>
    <x v="593"/>
    <x v="18"/>
    <x v="75"/>
    <x v="593"/>
    <x v="0"/>
    <x v="1"/>
    <x v="0"/>
    <x v="449"/>
  </r>
  <r>
    <x v="594"/>
    <x v="594"/>
    <x v="594"/>
    <x v="26"/>
    <x v="7"/>
    <x v="594"/>
    <x v="0"/>
    <x v="1"/>
    <x v="0"/>
    <x v="450"/>
  </r>
  <r>
    <x v="595"/>
    <x v="595"/>
    <x v="595"/>
    <x v="8"/>
    <x v="4"/>
    <x v="595"/>
    <x v="0"/>
    <x v="1"/>
    <x v="0"/>
    <x v="272"/>
  </r>
  <r>
    <x v="596"/>
    <x v="596"/>
    <x v="596"/>
    <x v="8"/>
    <x v="59"/>
    <x v="596"/>
    <x v="0"/>
    <x v="1"/>
    <x v="0"/>
    <x v="451"/>
  </r>
  <r>
    <x v="597"/>
    <x v="597"/>
    <x v="597"/>
    <x v="31"/>
    <x v="33"/>
    <x v="597"/>
    <x v="0"/>
    <x v="1"/>
    <x v="0"/>
    <x v="452"/>
  </r>
  <r>
    <x v="598"/>
    <x v="598"/>
    <x v="598"/>
    <x v="20"/>
    <x v="68"/>
    <x v="598"/>
    <x v="0"/>
    <x v="1"/>
    <x v="0"/>
    <x v="453"/>
  </r>
  <r>
    <x v="599"/>
    <x v="599"/>
    <x v="599"/>
    <x v="16"/>
    <x v="80"/>
    <x v="599"/>
    <x v="0"/>
    <x v="1"/>
    <x v="0"/>
    <x v="454"/>
  </r>
  <r>
    <x v="600"/>
    <x v="600"/>
    <x v="600"/>
    <x v="1"/>
    <x v="78"/>
    <x v="600"/>
    <x v="0"/>
    <x v="1"/>
    <x v="0"/>
    <x v="455"/>
  </r>
  <r>
    <x v="601"/>
    <x v="601"/>
    <x v="601"/>
    <x v="31"/>
    <x v="82"/>
    <x v="601"/>
    <x v="0"/>
    <x v="1"/>
    <x v="0"/>
    <x v="208"/>
  </r>
  <r>
    <x v="602"/>
    <x v="602"/>
    <x v="602"/>
    <x v="8"/>
    <x v="22"/>
    <x v="602"/>
    <x v="0"/>
    <x v="1"/>
    <x v="0"/>
    <x v="456"/>
  </r>
  <r>
    <x v="603"/>
    <x v="603"/>
    <x v="603"/>
    <x v="13"/>
    <x v="61"/>
    <x v="603"/>
    <x v="0"/>
    <x v="1"/>
    <x v="0"/>
    <x v="457"/>
  </r>
  <r>
    <x v="604"/>
    <x v="604"/>
    <x v="604"/>
    <x v="3"/>
    <x v="5"/>
    <x v="604"/>
    <x v="0"/>
    <x v="1"/>
    <x v="0"/>
    <x v="51"/>
  </r>
  <r>
    <x v="605"/>
    <x v="605"/>
    <x v="605"/>
    <x v="14"/>
    <x v="61"/>
    <x v="605"/>
    <x v="0"/>
    <x v="1"/>
    <x v="0"/>
    <x v="458"/>
  </r>
  <r>
    <x v="606"/>
    <x v="606"/>
    <x v="606"/>
    <x v="4"/>
    <x v="62"/>
    <x v="606"/>
    <x v="0"/>
    <x v="1"/>
    <x v="0"/>
    <x v="459"/>
  </r>
  <r>
    <x v="607"/>
    <x v="607"/>
    <x v="607"/>
    <x v="8"/>
    <x v="77"/>
    <x v="607"/>
    <x v="0"/>
    <x v="1"/>
    <x v="0"/>
    <x v="265"/>
  </r>
  <r>
    <x v="608"/>
    <x v="608"/>
    <x v="608"/>
    <x v="9"/>
    <x v="12"/>
    <x v="608"/>
    <x v="0"/>
    <x v="1"/>
    <x v="0"/>
    <x v="226"/>
  </r>
  <r>
    <x v="609"/>
    <x v="609"/>
    <x v="609"/>
    <x v="3"/>
    <x v="35"/>
    <x v="609"/>
    <x v="0"/>
    <x v="1"/>
    <x v="0"/>
    <x v="460"/>
  </r>
  <r>
    <x v="610"/>
    <x v="610"/>
    <x v="610"/>
    <x v="20"/>
    <x v="45"/>
    <x v="610"/>
    <x v="0"/>
    <x v="1"/>
    <x v="0"/>
    <x v="43"/>
  </r>
  <r>
    <x v="611"/>
    <x v="611"/>
    <x v="611"/>
    <x v="8"/>
    <x v="28"/>
    <x v="611"/>
    <x v="0"/>
    <x v="1"/>
    <x v="0"/>
    <x v="337"/>
  </r>
  <r>
    <x v="612"/>
    <x v="612"/>
    <x v="612"/>
    <x v="7"/>
    <x v="28"/>
    <x v="612"/>
    <x v="0"/>
    <x v="1"/>
    <x v="0"/>
    <x v="267"/>
  </r>
  <r>
    <x v="613"/>
    <x v="613"/>
    <x v="613"/>
    <x v="20"/>
    <x v="85"/>
    <x v="613"/>
    <x v="0"/>
    <x v="1"/>
    <x v="0"/>
    <x v="461"/>
  </r>
  <r>
    <x v="614"/>
    <x v="614"/>
    <x v="614"/>
    <x v="17"/>
    <x v="8"/>
    <x v="614"/>
    <x v="0"/>
    <x v="1"/>
    <x v="0"/>
    <x v="223"/>
  </r>
  <r>
    <x v="615"/>
    <x v="615"/>
    <x v="615"/>
    <x v="10"/>
    <x v="52"/>
    <x v="615"/>
    <x v="0"/>
    <x v="1"/>
    <x v="0"/>
    <x v="403"/>
  </r>
  <r>
    <x v="616"/>
    <x v="616"/>
    <x v="616"/>
    <x v="17"/>
    <x v="37"/>
    <x v="616"/>
    <x v="0"/>
    <x v="1"/>
    <x v="0"/>
    <x v="228"/>
  </r>
  <r>
    <x v="617"/>
    <x v="617"/>
    <x v="617"/>
    <x v="7"/>
    <x v="11"/>
    <x v="617"/>
    <x v="0"/>
    <x v="1"/>
    <x v="0"/>
    <x v="229"/>
  </r>
  <r>
    <x v="618"/>
    <x v="618"/>
    <x v="618"/>
    <x v="1"/>
    <x v="56"/>
    <x v="618"/>
    <x v="0"/>
    <x v="1"/>
    <x v="0"/>
    <x v="462"/>
  </r>
  <r>
    <x v="619"/>
    <x v="619"/>
    <x v="619"/>
    <x v="7"/>
    <x v="20"/>
    <x v="619"/>
    <x v="0"/>
    <x v="1"/>
    <x v="0"/>
    <x v="244"/>
  </r>
  <r>
    <x v="620"/>
    <x v="620"/>
    <x v="620"/>
    <x v="17"/>
    <x v="42"/>
    <x v="620"/>
    <x v="0"/>
    <x v="1"/>
    <x v="0"/>
    <x v="297"/>
  </r>
  <r>
    <x v="621"/>
    <x v="621"/>
    <x v="621"/>
    <x v="5"/>
    <x v="92"/>
    <x v="621"/>
    <x v="0"/>
    <x v="1"/>
    <x v="0"/>
    <x v="463"/>
  </r>
  <r>
    <x v="622"/>
    <x v="622"/>
    <x v="622"/>
    <x v="2"/>
    <x v="19"/>
    <x v="622"/>
    <x v="0"/>
    <x v="1"/>
    <x v="0"/>
    <x v="464"/>
  </r>
  <r>
    <x v="623"/>
    <x v="623"/>
    <x v="623"/>
    <x v="10"/>
    <x v="20"/>
    <x v="623"/>
    <x v="0"/>
    <x v="1"/>
    <x v="0"/>
    <x v="312"/>
  </r>
  <r>
    <x v="624"/>
    <x v="624"/>
    <x v="624"/>
    <x v="31"/>
    <x v="103"/>
    <x v="624"/>
    <x v="0"/>
    <x v="1"/>
    <x v="0"/>
    <x v="464"/>
  </r>
  <r>
    <x v="625"/>
    <x v="625"/>
    <x v="625"/>
    <x v="31"/>
    <x v="19"/>
    <x v="625"/>
    <x v="0"/>
    <x v="1"/>
    <x v="0"/>
    <x v="44"/>
  </r>
  <r>
    <x v="626"/>
    <x v="626"/>
    <x v="626"/>
    <x v="8"/>
    <x v="7"/>
    <x v="626"/>
    <x v="0"/>
    <x v="1"/>
    <x v="0"/>
    <x v="236"/>
  </r>
  <r>
    <x v="627"/>
    <x v="627"/>
    <x v="627"/>
    <x v="22"/>
    <x v="82"/>
    <x v="627"/>
    <x v="0"/>
    <x v="1"/>
    <x v="0"/>
    <x v="231"/>
  </r>
  <r>
    <x v="628"/>
    <x v="628"/>
    <x v="628"/>
    <x v="1"/>
    <x v="39"/>
    <x v="628"/>
    <x v="0"/>
    <x v="1"/>
    <x v="0"/>
    <x v="465"/>
  </r>
  <r>
    <x v="629"/>
    <x v="629"/>
    <x v="629"/>
    <x v="9"/>
    <x v="84"/>
    <x v="629"/>
    <x v="0"/>
    <x v="1"/>
    <x v="0"/>
    <x v="466"/>
  </r>
  <r>
    <x v="630"/>
    <x v="630"/>
    <x v="630"/>
    <x v="14"/>
    <x v="17"/>
    <x v="630"/>
    <x v="0"/>
    <x v="1"/>
    <x v="0"/>
    <x v="467"/>
  </r>
  <r>
    <x v="631"/>
    <x v="631"/>
    <x v="631"/>
    <x v="24"/>
    <x v="57"/>
    <x v="631"/>
    <x v="0"/>
    <x v="1"/>
    <x v="0"/>
    <x v="217"/>
  </r>
  <r>
    <x v="632"/>
    <x v="632"/>
    <x v="632"/>
    <x v="1"/>
    <x v="4"/>
    <x v="632"/>
    <x v="0"/>
    <x v="1"/>
    <x v="0"/>
    <x v="468"/>
  </r>
  <r>
    <x v="633"/>
    <x v="633"/>
    <x v="633"/>
    <x v="8"/>
    <x v="52"/>
    <x v="633"/>
    <x v="0"/>
    <x v="1"/>
    <x v="0"/>
    <x v="240"/>
  </r>
  <r>
    <x v="634"/>
    <x v="634"/>
    <x v="634"/>
    <x v="1"/>
    <x v="34"/>
    <x v="634"/>
    <x v="0"/>
    <x v="1"/>
    <x v="0"/>
    <x v="231"/>
  </r>
  <r>
    <x v="635"/>
    <x v="635"/>
    <x v="635"/>
    <x v="0"/>
    <x v="1"/>
    <x v="635"/>
    <x v="0"/>
    <x v="1"/>
    <x v="0"/>
    <x v="236"/>
  </r>
  <r>
    <x v="636"/>
    <x v="636"/>
    <x v="636"/>
    <x v="22"/>
    <x v="21"/>
    <x v="636"/>
    <x v="0"/>
    <x v="1"/>
    <x v="0"/>
    <x v="232"/>
  </r>
  <r>
    <x v="637"/>
    <x v="637"/>
    <x v="637"/>
    <x v="28"/>
    <x v="52"/>
    <x v="637"/>
    <x v="0"/>
    <x v="1"/>
    <x v="0"/>
    <x v="469"/>
  </r>
  <r>
    <x v="638"/>
    <x v="638"/>
    <x v="638"/>
    <x v="1"/>
    <x v="60"/>
    <x v="638"/>
    <x v="0"/>
    <x v="1"/>
    <x v="0"/>
    <x v="232"/>
  </r>
  <r>
    <x v="639"/>
    <x v="639"/>
    <x v="639"/>
    <x v="4"/>
    <x v="41"/>
    <x v="639"/>
    <x v="0"/>
    <x v="1"/>
    <x v="0"/>
    <x v="281"/>
  </r>
  <r>
    <x v="640"/>
    <x v="640"/>
    <x v="640"/>
    <x v="17"/>
    <x v="67"/>
    <x v="640"/>
    <x v="0"/>
    <x v="1"/>
    <x v="0"/>
    <x v="256"/>
  </r>
  <r>
    <x v="641"/>
    <x v="641"/>
    <x v="641"/>
    <x v="14"/>
    <x v="38"/>
    <x v="641"/>
    <x v="0"/>
    <x v="1"/>
    <x v="0"/>
    <x v="470"/>
  </r>
  <r>
    <x v="642"/>
    <x v="642"/>
    <x v="642"/>
    <x v="31"/>
    <x v="8"/>
    <x v="642"/>
    <x v="0"/>
    <x v="1"/>
    <x v="0"/>
    <x v="234"/>
  </r>
  <r>
    <x v="643"/>
    <x v="643"/>
    <x v="643"/>
    <x v="31"/>
    <x v="99"/>
    <x v="643"/>
    <x v="0"/>
    <x v="1"/>
    <x v="0"/>
    <x v="117"/>
  </r>
  <r>
    <x v="644"/>
    <x v="644"/>
    <x v="644"/>
    <x v="13"/>
    <x v="88"/>
    <x v="644"/>
    <x v="0"/>
    <x v="1"/>
    <x v="0"/>
    <x v="254"/>
  </r>
  <r>
    <x v="645"/>
    <x v="645"/>
    <x v="645"/>
    <x v="8"/>
    <x v="1"/>
    <x v="645"/>
    <x v="0"/>
    <x v="1"/>
    <x v="0"/>
    <x v="284"/>
  </r>
  <r>
    <x v="646"/>
    <x v="646"/>
    <x v="646"/>
    <x v="8"/>
    <x v="9"/>
    <x v="646"/>
    <x v="0"/>
    <x v="1"/>
    <x v="0"/>
    <x v="278"/>
  </r>
  <r>
    <x v="647"/>
    <x v="647"/>
    <x v="647"/>
    <x v="8"/>
    <x v="11"/>
    <x v="647"/>
    <x v="0"/>
    <x v="1"/>
    <x v="0"/>
    <x v="257"/>
  </r>
  <r>
    <x v="648"/>
    <x v="648"/>
    <x v="648"/>
    <x v="29"/>
    <x v="19"/>
    <x v="648"/>
    <x v="0"/>
    <x v="1"/>
    <x v="0"/>
    <x v="471"/>
  </r>
  <r>
    <x v="649"/>
    <x v="649"/>
    <x v="649"/>
    <x v="29"/>
    <x v="82"/>
    <x v="649"/>
    <x v="0"/>
    <x v="1"/>
    <x v="0"/>
    <x v="258"/>
  </r>
  <r>
    <x v="650"/>
    <x v="650"/>
    <x v="650"/>
    <x v="12"/>
    <x v="82"/>
    <x v="650"/>
    <x v="0"/>
    <x v="1"/>
    <x v="0"/>
    <x v="241"/>
  </r>
  <r>
    <x v="651"/>
    <x v="651"/>
    <x v="651"/>
    <x v="29"/>
    <x v="19"/>
    <x v="651"/>
    <x v="0"/>
    <x v="1"/>
    <x v="0"/>
    <x v="288"/>
  </r>
  <r>
    <x v="652"/>
    <x v="652"/>
    <x v="652"/>
    <x v="5"/>
    <x v="13"/>
    <x v="652"/>
    <x v="0"/>
    <x v="1"/>
    <x v="0"/>
    <x v="259"/>
  </r>
  <r>
    <x v="653"/>
    <x v="653"/>
    <x v="653"/>
    <x v="17"/>
    <x v="53"/>
    <x v="653"/>
    <x v="0"/>
    <x v="1"/>
    <x v="0"/>
    <x v="472"/>
  </r>
  <r>
    <x v="654"/>
    <x v="654"/>
    <x v="654"/>
    <x v="5"/>
    <x v="4"/>
    <x v="654"/>
    <x v="0"/>
    <x v="1"/>
    <x v="0"/>
    <x v="301"/>
  </r>
  <r>
    <x v="655"/>
    <x v="655"/>
    <x v="655"/>
    <x v="13"/>
    <x v="50"/>
    <x v="655"/>
    <x v="0"/>
    <x v="1"/>
    <x v="0"/>
    <x v="473"/>
  </r>
  <r>
    <x v="656"/>
    <x v="656"/>
    <x v="656"/>
    <x v="29"/>
    <x v="67"/>
    <x v="656"/>
    <x v="0"/>
    <x v="1"/>
    <x v="0"/>
    <x v="248"/>
  </r>
  <r>
    <x v="657"/>
    <x v="657"/>
    <x v="657"/>
    <x v="12"/>
    <x v="61"/>
    <x v="657"/>
    <x v="0"/>
    <x v="1"/>
    <x v="0"/>
    <x v="474"/>
  </r>
  <r>
    <x v="658"/>
    <x v="658"/>
    <x v="658"/>
    <x v="2"/>
    <x v="90"/>
    <x v="658"/>
    <x v="0"/>
    <x v="1"/>
    <x v="0"/>
    <x v="253"/>
  </r>
  <r>
    <x v="659"/>
    <x v="659"/>
    <x v="659"/>
    <x v="4"/>
    <x v="30"/>
    <x v="659"/>
    <x v="0"/>
    <x v="1"/>
    <x v="0"/>
    <x v="293"/>
  </r>
  <r>
    <x v="660"/>
    <x v="660"/>
    <x v="660"/>
    <x v="18"/>
    <x v="50"/>
    <x v="660"/>
    <x v="0"/>
    <x v="1"/>
    <x v="0"/>
    <x v="277"/>
  </r>
  <r>
    <x v="661"/>
    <x v="661"/>
    <x v="661"/>
    <x v="27"/>
    <x v="7"/>
    <x v="661"/>
    <x v="0"/>
    <x v="1"/>
    <x v="0"/>
    <x v="276"/>
  </r>
  <r>
    <x v="662"/>
    <x v="662"/>
    <x v="662"/>
    <x v="31"/>
    <x v="23"/>
    <x v="662"/>
    <x v="0"/>
    <x v="1"/>
    <x v="0"/>
    <x v="290"/>
  </r>
  <r>
    <x v="663"/>
    <x v="663"/>
    <x v="663"/>
    <x v="1"/>
    <x v="12"/>
    <x v="663"/>
    <x v="0"/>
    <x v="1"/>
    <x v="0"/>
    <x v="266"/>
  </r>
  <r>
    <x v="664"/>
    <x v="664"/>
    <x v="664"/>
    <x v="31"/>
    <x v="36"/>
    <x v="664"/>
    <x v="0"/>
    <x v="1"/>
    <x v="0"/>
    <x v="246"/>
  </r>
  <r>
    <x v="665"/>
    <x v="665"/>
    <x v="665"/>
    <x v="11"/>
    <x v="64"/>
    <x v="665"/>
    <x v="0"/>
    <x v="1"/>
    <x v="0"/>
    <x v="314"/>
  </r>
  <r>
    <x v="666"/>
    <x v="666"/>
    <x v="666"/>
    <x v="1"/>
    <x v="28"/>
    <x v="666"/>
    <x v="0"/>
    <x v="1"/>
    <x v="0"/>
    <x v="243"/>
  </r>
  <r>
    <x v="667"/>
    <x v="667"/>
    <x v="667"/>
    <x v="6"/>
    <x v="64"/>
    <x v="667"/>
    <x v="0"/>
    <x v="1"/>
    <x v="0"/>
    <x v="475"/>
  </r>
  <r>
    <x v="668"/>
    <x v="668"/>
    <x v="668"/>
    <x v="3"/>
    <x v="36"/>
    <x v="668"/>
    <x v="0"/>
    <x v="1"/>
    <x v="0"/>
    <x v="282"/>
  </r>
  <r>
    <x v="669"/>
    <x v="669"/>
    <x v="669"/>
    <x v="18"/>
    <x v="12"/>
    <x v="669"/>
    <x v="0"/>
    <x v="1"/>
    <x v="0"/>
    <x v="275"/>
  </r>
  <r>
    <x v="670"/>
    <x v="670"/>
    <x v="670"/>
    <x v="29"/>
    <x v="53"/>
    <x v="670"/>
    <x v="0"/>
    <x v="1"/>
    <x v="0"/>
    <x v="291"/>
  </r>
  <r>
    <x v="671"/>
    <x v="671"/>
    <x v="671"/>
    <x v="22"/>
    <x v="13"/>
    <x v="671"/>
    <x v="0"/>
    <x v="1"/>
    <x v="0"/>
    <x v="292"/>
  </r>
  <r>
    <x v="672"/>
    <x v="672"/>
    <x v="672"/>
    <x v="1"/>
    <x v="99"/>
    <x v="672"/>
    <x v="0"/>
    <x v="1"/>
    <x v="0"/>
    <x v="269"/>
  </r>
  <r>
    <x v="673"/>
    <x v="673"/>
    <x v="673"/>
    <x v="13"/>
    <x v="7"/>
    <x v="673"/>
    <x v="0"/>
    <x v="1"/>
    <x v="0"/>
    <x v="300"/>
  </r>
  <r>
    <x v="674"/>
    <x v="674"/>
    <x v="674"/>
    <x v="8"/>
    <x v="1"/>
    <x v="674"/>
    <x v="0"/>
    <x v="1"/>
    <x v="0"/>
    <x v="304"/>
  </r>
  <r>
    <x v="675"/>
    <x v="675"/>
    <x v="675"/>
    <x v="31"/>
    <x v="70"/>
    <x v="675"/>
    <x v="0"/>
    <x v="1"/>
    <x v="0"/>
    <x v="308"/>
  </r>
  <r>
    <x v="676"/>
    <x v="676"/>
    <x v="676"/>
    <x v="30"/>
    <x v="45"/>
    <x v="676"/>
    <x v="0"/>
    <x v="1"/>
    <x v="0"/>
    <x v="52"/>
  </r>
  <r>
    <x v="677"/>
    <x v="677"/>
    <x v="677"/>
    <x v="12"/>
    <x v="20"/>
    <x v="677"/>
    <x v="0"/>
    <x v="1"/>
    <x v="0"/>
    <x v="476"/>
  </r>
  <r>
    <x v="678"/>
    <x v="678"/>
    <x v="678"/>
    <x v="3"/>
    <x v="60"/>
    <x v="678"/>
    <x v="0"/>
    <x v="1"/>
    <x v="0"/>
    <x v="307"/>
  </r>
  <r>
    <x v="679"/>
    <x v="679"/>
    <x v="679"/>
    <x v="2"/>
    <x v="53"/>
    <x v="679"/>
    <x v="0"/>
    <x v="1"/>
    <x v="0"/>
    <x v="310"/>
  </r>
  <r>
    <x v="680"/>
    <x v="680"/>
    <x v="680"/>
    <x v="8"/>
    <x v="36"/>
    <x v="680"/>
    <x v="0"/>
    <x v="1"/>
    <x v="0"/>
    <x v="313"/>
  </r>
  <r>
    <x v="681"/>
    <x v="681"/>
    <x v="681"/>
    <x v="21"/>
    <x v="3"/>
    <x v="681"/>
    <x v="0"/>
    <x v="1"/>
    <x v="0"/>
    <x v="321"/>
  </r>
  <r>
    <x v="682"/>
    <x v="682"/>
    <x v="682"/>
    <x v="6"/>
    <x v="19"/>
    <x v="682"/>
    <x v="0"/>
    <x v="1"/>
    <x v="0"/>
    <x v="271"/>
  </r>
  <r>
    <x v="683"/>
    <x v="683"/>
    <x v="683"/>
    <x v="12"/>
    <x v="71"/>
    <x v="683"/>
    <x v="0"/>
    <x v="1"/>
    <x v="0"/>
    <x v="320"/>
  </r>
  <r>
    <x v="684"/>
    <x v="684"/>
    <x v="684"/>
    <x v="3"/>
    <x v="84"/>
    <x v="684"/>
    <x v="0"/>
    <x v="1"/>
    <x v="0"/>
    <x v="477"/>
  </r>
  <r>
    <x v="685"/>
    <x v="685"/>
    <x v="685"/>
    <x v="19"/>
    <x v="33"/>
    <x v="685"/>
    <x v="0"/>
    <x v="1"/>
    <x v="0"/>
    <x v="315"/>
  </r>
  <r>
    <x v="686"/>
    <x v="686"/>
    <x v="686"/>
    <x v="13"/>
    <x v="45"/>
    <x v="686"/>
    <x v="0"/>
    <x v="1"/>
    <x v="0"/>
    <x v="478"/>
  </r>
  <r>
    <x v="687"/>
    <x v="687"/>
    <x v="687"/>
    <x v="12"/>
    <x v="4"/>
    <x v="687"/>
    <x v="0"/>
    <x v="1"/>
    <x v="0"/>
    <x v="319"/>
  </r>
  <r>
    <x v="688"/>
    <x v="688"/>
    <x v="688"/>
    <x v="24"/>
    <x v="2"/>
    <x v="688"/>
    <x v="0"/>
    <x v="1"/>
    <x v="0"/>
    <x v="325"/>
  </r>
  <r>
    <x v="689"/>
    <x v="689"/>
    <x v="689"/>
    <x v="8"/>
    <x v="69"/>
    <x v="689"/>
    <x v="0"/>
    <x v="1"/>
    <x v="0"/>
    <x v="479"/>
  </r>
  <r>
    <x v="690"/>
    <x v="690"/>
    <x v="690"/>
    <x v="26"/>
    <x v="42"/>
    <x v="690"/>
    <x v="0"/>
    <x v="1"/>
    <x v="0"/>
    <x v="322"/>
  </r>
  <r>
    <x v="691"/>
    <x v="691"/>
    <x v="691"/>
    <x v="15"/>
    <x v="69"/>
    <x v="691"/>
    <x v="0"/>
    <x v="1"/>
    <x v="0"/>
    <x v="274"/>
  </r>
  <r>
    <x v="692"/>
    <x v="692"/>
    <x v="692"/>
    <x v="12"/>
    <x v="58"/>
    <x v="692"/>
    <x v="0"/>
    <x v="1"/>
    <x v="0"/>
    <x v="342"/>
  </r>
  <r>
    <x v="693"/>
    <x v="693"/>
    <x v="693"/>
    <x v="10"/>
    <x v="52"/>
    <x v="693"/>
    <x v="0"/>
    <x v="1"/>
    <x v="0"/>
    <x v="326"/>
  </r>
  <r>
    <x v="694"/>
    <x v="694"/>
    <x v="694"/>
    <x v="4"/>
    <x v="77"/>
    <x v="694"/>
    <x v="0"/>
    <x v="1"/>
    <x v="0"/>
    <x v="48"/>
  </r>
  <r>
    <x v="695"/>
    <x v="695"/>
    <x v="695"/>
    <x v="8"/>
    <x v="84"/>
    <x v="695"/>
    <x v="0"/>
    <x v="1"/>
    <x v="0"/>
    <x v="480"/>
  </r>
  <r>
    <x v="696"/>
    <x v="696"/>
    <x v="696"/>
    <x v="4"/>
    <x v="82"/>
    <x v="696"/>
    <x v="0"/>
    <x v="1"/>
    <x v="0"/>
    <x v="333"/>
  </r>
  <r>
    <x v="697"/>
    <x v="697"/>
    <x v="697"/>
    <x v="14"/>
    <x v="20"/>
    <x v="697"/>
    <x v="0"/>
    <x v="1"/>
    <x v="0"/>
    <x v="481"/>
  </r>
  <r>
    <x v="698"/>
    <x v="698"/>
    <x v="698"/>
    <x v="8"/>
    <x v="48"/>
    <x v="698"/>
    <x v="0"/>
    <x v="1"/>
    <x v="0"/>
    <x v="481"/>
  </r>
  <r>
    <x v="699"/>
    <x v="699"/>
    <x v="699"/>
    <x v="23"/>
    <x v="68"/>
    <x v="699"/>
    <x v="0"/>
    <x v="1"/>
    <x v="0"/>
    <x v="482"/>
  </r>
  <r>
    <x v="700"/>
    <x v="700"/>
    <x v="700"/>
    <x v="6"/>
    <x v="13"/>
    <x v="700"/>
    <x v="0"/>
    <x v="1"/>
    <x v="0"/>
    <x v="483"/>
  </r>
  <r>
    <x v="701"/>
    <x v="701"/>
    <x v="701"/>
    <x v="19"/>
    <x v="93"/>
    <x v="701"/>
    <x v="0"/>
    <x v="1"/>
    <x v="0"/>
    <x v="324"/>
  </r>
  <r>
    <x v="702"/>
    <x v="702"/>
    <x v="702"/>
    <x v="25"/>
    <x v="4"/>
    <x v="702"/>
    <x v="0"/>
    <x v="1"/>
    <x v="0"/>
    <x v="317"/>
  </r>
  <r>
    <x v="703"/>
    <x v="703"/>
    <x v="703"/>
    <x v="4"/>
    <x v="7"/>
    <x v="703"/>
    <x v="0"/>
    <x v="1"/>
    <x v="0"/>
    <x v="484"/>
  </r>
  <r>
    <x v="704"/>
    <x v="704"/>
    <x v="704"/>
    <x v="5"/>
    <x v="2"/>
    <x v="704"/>
    <x v="0"/>
    <x v="1"/>
    <x v="0"/>
    <x v="485"/>
  </r>
  <r>
    <x v="705"/>
    <x v="705"/>
    <x v="705"/>
    <x v="16"/>
    <x v="43"/>
    <x v="705"/>
    <x v="0"/>
    <x v="1"/>
    <x v="0"/>
    <x v="86"/>
  </r>
  <r>
    <x v="706"/>
    <x v="706"/>
    <x v="706"/>
    <x v="1"/>
    <x v="4"/>
    <x v="706"/>
    <x v="0"/>
    <x v="1"/>
    <x v="0"/>
    <x v="486"/>
  </r>
  <r>
    <x v="707"/>
    <x v="707"/>
    <x v="707"/>
    <x v="21"/>
    <x v="8"/>
    <x v="707"/>
    <x v="0"/>
    <x v="1"/>
    <x v="0"/>
    <x v="329"/>
  </r>
  <r>
    <x v="708"/>
    <x v="708"/>
    <x v="708"/>
    <x v="23"/>
    <x v="55"/>
    <x v="708"/>
    <x v="0"/>
    <x v="1"/>
    <x v="0"/>
    <x v="55"/>
  </r>
  <r>
    <x v="709"/>
    <x v="709"/>
    <x v="709"/>
    <x v="3"/>
    <x v="35"/>
    <x v="709"/>
    <x v="0"/>
    <x v="1"/>
    <x v="0"/>
    <x v="487"/>
  </r>
  <r>
    <x v="710"/>
    <x v="710"/>
    <x v="710"/>
    <x v="11"/>
    <x v="12"/>
    <x v="710"/>
    <x v="0"/>
    <x v="1"/>
    <x v="0"/>
    <x v="488"/>
  </r>
  <r>
    <x v="711"/>
    <x v="711"/>
    <x v="711"/>
    <x v="23"/>
    <x v="45"/>
    <x v="711"/>
    <x v="0"/>
    <x v="1"/>
    <x v="0"/>
    <x v="489"/>
  </r>
  <r>
    <x v="712"/>
    <x v="712"/>
    <x v="712"/>
    <x v="6"/>
    <x v="75"/>
    <x v="712"/>
    <x v="0"/>
    <x v="1"/>
    <x v="0"/>
    <x v="490"/>
  </r>
  <r>
    <x v="713"/>
    <x v="713"/>
    <x v="713"/>
    <x v="11"/>
    <x v="96"/>
    <x v="713"/>
    <x v="0"/>
    <x v="1"/>
    <x v="0"/>
    <x v="491"/>
  </r>
  <r>
    <x v="714"/>
    <x v="714"/>
    <x v="714"/>
    <x v="9"/>
    <x v="89"/>
    <x v="714"/>
    <x v="0"/>
    <x v="1"/>
    <x v="0"/>
    <x v="492"/>
  </r>
  <r>
    <x v="715"/>
    <x v="715"/>
    <x v="715"/>
    <x v="1"/>
    <x v="46"/>
    <x v="715"/>
    <x v="0"/>
    <x v="1"/>
    <x v="0"/>
    <x v="334"/>
  </r>
  <r>
    <x v="716"/>
    <x v="716"/>
    <x v="716"/>
    <x v="19"/>
    <x v="75"/>
    <x v="716"/>
    <x v="0"/>
    <x v="1"/>
    <x v="0"/>
    <x v="332"/>
  </r>
  <r>
    <x v="717"/>
    <x v="717"/>
    <x v="717"/>
    <x v="17"/>
    <x v="28"/>
    <x v="717"/>
    <x v="0"/>
    <x v="1"/>
    <x v="0"/>
    <x v="337"/>
  </r>
  <r>
    <x v="718"/>
    <x v="718"/>
    <x v="718"/>
    <x v="8"/>
    <x v="10"/>
    <x v="718"/>
    <x v="0"/>
    <x v="1"/>
    <x v="0"/>
    <x v="493"/>
  </r>
  <r>
    <x v="719"/>
    <x v="719"/>
    <x v="719"/>
    <x v="18"/>
    <x v="53"/>
    <x v="719"/>
    <x v="0"/>
    <x v="1"/>
    <x v="0"/>
    <x v="494"/>
  </r>
  <r>
    <x v="720"/>
    <x v="720"/>
    <x v="720"/>
    <x v="25"/>
    <x v="66"/>
    <x v="720"/>
    <x v="0"/>
    <x v="1"/>
    <x v="0"/>
    <x v="495"/>
  </r>
  <r>
    <x v="721"/>
    <x v="721"/>
    <x v="721"/>
    <x v="1"/>
    <x v="4"/>
    <x v="721"/>
    <x v="0"/>
    <x v="1"/>
    <x v="0"/>
    <x v="287"/>
  </r>
  <r>
    <x v="722"/>
    <x v="722"/>
    <x v="722"/>
    <x v="8"/>
    <x v="36"/>
    <x v="722"/>
    <x v="0"/>
    <x v="1"/>
    <x v="0"/>
    <x v="496"/>
  </r>
  <r>
    <x v="723"/>
    <x v="723"/>
    <x v="723"/>
    <x v="3"/>
    <x v="7"/>
    <x v="723"/>
    <x v="0"/>
    <x v="1"/>
    <x v="0"/>
    <x v="296"/>
  </r>
  <r>
    <x v="724"/>
    <x v="724"/>
    <x v="724"/>
    <x v="15"/>
    <x v="47"/>
    <x v="724"/>
    <x v="0"/>
    <x v="1"/>
    <x v="0"/>
    <x v="335"/>
  </r>
  <r>
    <x v="725"/>
    <x v="725"/>
    <x v="725"/>
    <x v="1"/>
    <x v="2"/>
    <x v="725"/>
    <x v="0"/>
    <x v="1"/>
    <x v="0"/>
    <x v="497"/>
  </r>
  <r>
    <x v="726"/>
    <x v="726"/>
    <x v="726"/>
    <x v="31"/>
    <x v="18"/>
    <x v="726"/>
    <x v="0"/>
    <x v="1"/>
    <x v="0"/>
    <x v="498"/>
  </r>
  <r>
    <x v="727"/>
    <x v="727"/>
    <x v="727"/>
    <x v="8"/>
    <x v="52"/>
    <x v="727"/>
    <x v="0"/>
    <x v="1"/>
    <x v="0"/>
    <x v="499"/>
  </r>
  <r>
    <x v="728"/>
    <x v="728"/>
    <x v="728"/>
    <x v="3"/>
    <x v="36"/>
    <x v="728"/>
    <x v="0"/>
    <x v="1"/>
    <x v="0"/>
    <x v="500"/>
  </r>
  <r>
    <x v="729"/>
    <x v="729"/>
    <x v="729"/>
    <x v="18"/>
    <x v="52"/>
    <x v="729"/>
    <x v="0"/>
    <x v="1"/>
    <x v="0"/>
    <x v="496"/>
  </r>
  <r>
    <x v="730"/>
    <x v="730"/>
    <x v="730"/>
    <x v="31"/>
    <x v="35"/>
    <x v="730"/>
    <x v="0"/>
    <x v="1"/>
    <x v="0"/>
    <x v="501"/>
  </r>
  <r>
    <x v="731"/>
    <x v="731"/>
    <x v="731"/>
    <x v="20"/>
    <x v="30"/>
    <x v="731"/>
    <x v="0"/>
    <x v="1"/>
    <x v="0"/>
    <x v="54"/>
  </r>
  <r>
    <x v="732"/>
    <x v="732"/>
    <x v="732"/>
    <x v="3"/>
    <x v="44"/>
    <x v="732"/>
    <x v="0"/>
    <x v="1"/>
    <x v="0"/>
    <x v="59"/>
  </r>
  <r>
    <x v="733"/>
    <x v="733"/>
    <x v="733"/>
    <x v="14"/>
    <x v="75"/>
    <x v="733"/>
    <x v="0"/>
    <x v="1"/>
    <x v="0"/>
    <x v="502"/>
  </r>
  <r>
    <x v="734"/>
    <x v="734"/>
    <x v="734"/>
    <x v="3"/>
    <x v="77"/>
    <x v="734"/>
    <x v="0"/>
    <x v="1"/>
    <x v="0"/>
    <x v="503"/>
  </r>
  <r>
    <x v="735"/>
    <x v="735"/>
    <x v="735"/>
    <x v="8"/>
    <x v="67"/>
    <x v="735"/>
    <x v="0"/>
    <x v="1"/>
    <x v="0"/>
    <x v="500"/>
  </r>
  <r>
    <x v="736"/>
    <x v="736"/>
    <x v="736"/>
    <x v="31"/>
    <x v="8"/>
    <x v="736"/>
    <x v="0"/>
    <x v="1"/>
    <x v="0"/>
    <x v="504"/>
  </r>
  <r>
    <x v="737"/>
    <x v="737"/>
    <x v="737"/>
    <x v="13"/>
    <x v="45"/>
    <x v="737"/>
    <x v="0"/>
    <x v="1"/>
    <x v="0"/>
    <x v="500"/>
  </r>
  <r>
    <x v="738"/>
    <x v="738"/>
    <x v="738"/>
    <x v="3"/>
    <x v="35"/>
    <x v="738"/>
    <x v="0"/>
    <x v="1"/>
    <x v="0"/>
    <x v="505"/>
  </r>
  <r>
    <x v="739"/>
    <x v="739"/>
    <x v="739"/>
    <x v="1"/>
    <x v="13"/>
    <x v="739"/>
    <x v="0"/>
    <x v="1"/>
    <x v="0"/>
    <x v="506"/>
  </r>
  <r>
    <x v="740"/>
    <x v="740"/>
    <x v="740"/>
    <x v="29"/>
    <x v="2"/>
    <x v="740"/>
    <x v="0"/>
    <x v="1"/>
    <x v="0"/>
    <x v="493"/>
  </r>
  <r>
    <x v="741"/>
    <x v="741"/>
    <x v="741"/>
    <x v="8"/>
    <x v="7"/>
    <x v="741"/>
    <x v="0"/>
    <x v="1"/>
    <x v="0"/>
    <x v="507"/>
  </r>
  <r>
    <x v="742"/>
    <x v="742"/>
    <x v="742"/>
    <x v="20"/>
    <x v="3"/>
    <x v="742"/>
    <x v="0"/>
    <x v="1"/>
    <x v="0"/>
    <x v="508"/>
  </r>
  <r>
    <x v="743"/>
    <x v="743"/>
    <x v="743"/>
    <x v="17"/>
    <x v="9"/>
    <x v="743"/>
    <x v="0"/>
    <x v="1"/>
    <x v="0"/>
    <x v="503"/>
  </r>
  <r>
    <x v="744"/>
    <x v="744"/>
    <x v="744"/>
    <x v="18"/>
    <x v="80"/>
    <x v="744"/>
    <x v="0"/>
    <x v="1"/>
    <x v="0"/>
    <x v="509"/>
  </r>
  <r>
    <x v="745"/>
    <x v="745"/>
    <x v="745"/>
    <x v="4"/>
    <x v="16"/>
    <x v="745"/>
    <x v="0"/>
    <x v="1"/>
    <x v="0"/>
    <x v="510"/>
  </r>
  <r>
    <x v="746"/>
    <x v="746"/>
    <x v="746"/>
    <x v="17"/>
    <x v="50"/>
    <x v="746"/>
    <x v="0"/>
    <x v="1"/>
    <x v="0"/>
    <x v="511"/>
  </r>
  <r>
    <x v="747"/>
    <x v="747"/>
    <x v="747"/>
    <x v="1"/>
    <x v="79"/>
    <x v="747"/>
    <x v="0"/>
    <x v="1"/>
    <x v="0"/>
    <x v="330"/>
  </r>
  <r>
    <x v="748"/>
    <x v="748"/>
    <x v="748"/>
    <x v="3"/>
    <x v="90"/>
    <x v="748"/>
    <x v="0"/>
    <x v="1"/>
    <x v="0"/>
    <x v="494"/>
  </r>
  <r>
    <x v="749"/>
    <x v="749"/>
    <x v="749"/>
    <x v="23"/>
    <x v="35"/>
    <x v="749"/>
    <x v="0"/>
    <x v="1"/>
    <x v="0"/>
    <x v="501"/>
  </r>
  <r>
    <x v="750"/>
    <x v="750"/>
    <x v="750"/>
    <x v="21"/>
    <x v="104"/>
    <x v="750"/>
    <x v="0"/>
    <x v="1"/>
    <x v="0"/>
    <x v="512"/>
  </r>
  <r>
    <x v="751"/>
    <x v="751"/>
    <x v="751"/>
    <x v="4"/>
    <x v="60"/>
    <x v="751"/>
    <x v="0"/>
    <x v="1"/>
    <x v="0"/>
    <x v="513"/>
  </r>
  <r>
    <x v="752"/>
    <x v="752"/>
    <x v="752"/>
    <x v="3"/>
    <x v="50"/>
    <x v="752"/>
    <x v="0"/>
    <x v="1"/>
    <x v="0"/>
    <x v="514"/>
  </r>
  <r>
    <x v="753"/>
    <x v="753"/>
    <x v="753"/>
    <x v="4"/>
    <x v="44"/>
    <x v="753"/>
    <x v="0"/>
    <x v="1"/>
    <x v="0"/>
    <x v="513"/>
  </r>
  <r>
    <x v="754"/>
    <x v="754"/>
    <x v="754"/>
    <x v="27"/>
    <x v="77"/>
    <x v="754"/>
    <x v="0"/>
    <x v="1"/>
    <x v="0"/>
    <x v="515"/>
  </r>
  <r>
    <x v="755"/>
    <x v="755"/>
    <x v="755"/>
    <x v="12"/>
    <x v="48"/>
    <x v="755"/>
    <x v="0"/>
    <x v="1"/>
    <x v="0"/>
    <x v="516"/>
  </r>
  <r>
    <x v="756"/>
    <x v="756"/>
    <x v="756"/>
    <x v="12"/>
    <x v="52"/>
    <x v="756"/>
    <x v="0"/>
    <x v="1"/>
    <x v="0"/>
    <x v="517"/>
  </r>
  <r>
    <x v="757"/>
    <x v="757"/>
    <x v="757"/>
    <x v="23"/>
    <x v="68"/>
    <x v="757"/>
    <x v="0"/>
    <x v="1"/>
    <x v="0"/>
    <x v="498"/>
  </r>
  <r>
    <x v="758"/>
    <x v="758"/>
    <x v="758"/>
    <x v="27"/>
    <x v="51"/>
    <x v="758"/>
    <x v="0"/>
    <x v="1"/>
    <x v="0"/>
    <x v="518"/>
  </r>
  <r>
    <x v="759"/>
    <x v="759"/>
    <x v="759"/>
    <x v="13"/>
    <x v="7"/>
    <x v="759"/>
    <x v="0"/>
    <x v="1"/>
    <x v="0"/>
    <x v="519"/>
  </r>
  <r>
    <x v="760"/>
    <x v="760"/>
    <x v="760"/>
    <x v="1"/>
    <x v="81"/>
    <x v="760"/>
    <x v="0"/>
    <x v="1"/>
    <x v="0"/>
    <x v="520"/>
  </r>
  <r>
    <x v="761"/>
    <x v="761"/>
    <x v="761"/>
    <x v="31"/>
    <x v="55"/>
    <x v="761"/>
    <x v="0"/>
    <x v="1"/>
    <x v="0"/>
    <x v="521"/>
  </r>
  <r>
    <x v="762"/>
    <x v="762"/>
    <x v="762"/>
    <x v="15"/>
    <x v="78"/>
    <x v="762"/>
    <x v="0"/>
    <x v="1"/>
    <x v="0"/>
    <x v="522"/>
  </r>
  <r>
    <x v="763"/>
    <x v="763"/>
    <x v="763"/>
    <x v="6"/>
    <x v="22"/>
    <x v="763"/>
    <x v="0"/>
    <x v="1"/>
    <x v="0"/>
    <x v="523"/>
  </r>
  <r>
    <x v="764"/>
    <x v="764"/>
    <x v="764"/>
    <x v="12"/>
    <x v="52"/>
    <x v="764"/>
    <x v="0"/>
    <x v="1"/>
    <x v="0"/>
    <x v="524"/>
  </r>
  <r>
    <x v="765"/>
    <x v="765"/>
    <x v="765"/>
    <x v="31"/>
    <x v="38"/>
    <x v="765"/>
    <x v="0"/>
    <x v="1"/>
    <x v="0"/>
    <x v="525"/>
  </r>
  <r>
    <x v="766"/>
    <x v="766"/>
    <x v="766"/>
    <x v="7"/>
    <x v="72"/>
    <x v="766"/>
    <x v="0"/>
    <x v="1"/>
    <x v="0"/>
    <x v="526"/>
  </r>
  <r>
    <x v="767"/>
    <x v="767"/>
    <x v="767"/>
    <x v="24"/>
    <x v="4"/>
    <x v="767"/>
    <x v="0"/>
    <x v="1"/>
    <x v="0"/>
    <x v="527"/>
  </r>
  <r>
    <x v="768"/>
    <x v="768"/>
    <x v="768"/>
    <x v="5"/>
    <x v="3"/>
    <x v="768"/>
    <x v="0"/>
    <x v="1"/>
    <x v="0"/>
    <x v="194"/>
  </r>
  <r>
    <x v="769"/>
    <x v="769"/>
    <x v="769"/>
    <x v="5"/>
    <x v="4"/>
    <x v="769"/>
    <x v="0"/>
    <x v="1"/>
    <x v="0"/>
    <x v="528"/>
  </r>
  <r>
    <x v="770"/>
    <x v="770"/>
    <x v="770"/>
    <x v="30"/>
    <x v="15"/>
    <x v="770"/>
    <x v="0"/>
    <x v="1"/>
    <x v="0"/>
    <x v="529"/>
  </r>
  <r>
    <x v="771"/>
    <x v="771"/>
    <x v="771"/>
    <x v="3"/>
    <x v="49"/>
    <x v="771"/>
    <x v="0"/>
    <x v="1"/>
    <x v="0"/>
    <x v="530"/>
  </r>
  <r>
    <x v="772"/>
    <x v="772"/>
    <x v="772"/>
    <x v="18"/>
    <x v="52"/>
    <x v="772"/>
    <x v="0"/>
    <x v="1"/>
    <x v="0"/>
    <x v="531"/>
  </r>
  <r>
    <x v="773"/>
    <x v="773"/>
    <x v="773"/>
    <x v="24"/>
    <x v="45"/>
    <x v="773"/>
    <x v="0"/>
    <x v="1"/>
    <x v="0"/>
    <x v="532"/>
  </r>
  <r>
    <x v="774"/>
    <x v="774"/>
    <x v="774"/>
    <x v="8"/>
    <x v="13"/>
    <x v="774"/>
    <x v="0"/>
    <x v="1"/>
    <x v="0"/>
    <x v="533"/>
  </r>
  <r>
    <x v="775"/>
    <x v="775"/>
    <x v="775"/>
    <x v="7"/>
    <x v="27"/>
    <x v="775"/>
    <x v="0"/>
    <x v="1"/>
    <x v="0"/>
    <x v="534"/>
  </r>
  <r>
    <x v="776"/>
    <x v="776"/>
    <x v="776"/>
    <x v="5"/>
    <x v="45"/>
    <x v="776"/>
    <x v="0"/>
    <x v="1"/>
    <x v="0"/>
    <x v="514"/>
  </r>
  <r>
    <x v="777"/>
    <x v="777"/>
    <x v="777"/>
    <x v="2"/>
    <x v="41"/>
    <x v="777"/>
    <x v="0"/>
    <x v="1"/>
    <x v="0"/>
    <x v="341"/>
  </r>
  <r>
    <x v="778"/>
    <x v="778"/>
    <x v="778"/>
    <x v="24"/>
    <x v="19"/>
    <x v="778"/>
    <x v="0"/>
    <x v="1"/>
    <x v="0"/>
    <x v="535"/>
  </r>
  <r>
    <x v="779"/>
    <x v="779"/>
    <x v="779"/>
    <x v="12"/>
    <x v="10"/>
    <x v="779"/>
    <x v="0"/>
    <x v="1"/>
    <x v="0"/>
    <x v="536"/>
  </r>
  <r>
    <x v="780"/>
    <x v="780"/>
    <x v="780"/>
    <x v="15"/>
    <x v="94"/>
    <x v="780"/>
    <x v="0"/>
    <x v="1"/>
    <x v="0"/>
    <x v="537"/>
  </r>
  <r>
    <x v="781"/>
    <x v="781"/>
    <x v="781"/>
    <x v="30"/>
    <x v="27"/>
    <x v="781"/>
    <x v="0"/>
    <x v="1"/>
    <x v="0"/>
    <x v="538"/>
  </r>
  <r>
    <x v="782"/>
    <x v="782"/>
    <x v="782"/>
    <x v="11"/>
    <x v="26"/>
    <x v="782"/>
    <x v="0"/>
    <x v="1"/>
    <x v="0"/>
    <x v="194"/>
  </r>
  <r>
    <x v="783"/>
    <x v="783"/>
    <x v="783"/>
    <x v="10"/>
    <x v="4"/>
    <x v="783"/>
    <x v="0"/>
    <x v="1"/>
    <x v="0"/>
    <x v="539"/>
  </r>
  <r>
    <x v="784"/>
    <x v="784"/>
    <x v="784"/>
    <x v="21"/>
    <x v="78"/>
    <x v="784"/>
    <x v="0"/>
    <x v="1"/>
    <x v="0"/>
    <x v="540"/>
  </r>
  <r>
    <x v="785"/>
    <x v="785"/>
    <x v="785"/>
    <x v="17"/>
    <x v="28"/>
    <x v="785"/>
    <x v="0"/>
    <x v="1"/>
    <x v="0"/>
    <x v="531"/>
  </r>
  <r>
    <x v="786"/>
    <x v="786"/>
    <x v="786"/>
    <x v="4"/>
    <x v="26"/>
    <x v="786"/>
    <x v="0"/>
    <x v="1"/>
    <x v="0"/>
    <x v="541"/>
  </r>
  <r>
    <x v="787"/>
    <x v="787"/>
    <x v="787"/>
    <x v="14"/>
    <x v="61"/>
    <x v="787"/>
    <x v="0"/>
    <x v="1"/>
    <x v="0"/>
    <x v="542"/>
  </r>
  <r>
    <x v="788"/>
    <x v="788"/>
    <x v="788"/>
    <x v="12"/>
    <x v="47"/>
    <x v="788"/>
    <x v="0"/>
    <x v="1"/>
    <x v="0"/>
    <x v="543"/>
  </r>
  <r>
    <x v="789"/>
    <x v="789"/>
    <x v="789"/>
    <x v="14"/>
    <x v="45"/>
    <x v="789"/>
    <x v="0"/>
    <x v="1"/>
    <x v="0"/>
    <x v="264"/>
  </r>
  <r>
    <x v="790"/>
    <x v="790"/>
    <x v="790"/>
    <x v="8"/>
    <x v="63"/>
    <x v="790"/>
    <x v="0"/>
    <x v="1"/>
    <x v="0"/>
    <x v="544"/>
  </r>
  <r>
    <x v="791"/>
    <x v="791"/>
    <x v="791"/>
    <x v="7"/>
    <x v="13"/>
    <x v="791"/>
    <x v="0"/>
    <x v="1"/>
    <x v="0"/>
    <x v="545"/>
  </r>
  <r>
    <x v="792"/>
    <x v="792"/>
    <x v="792"/>
    <x v="27"/>
    <x v="81"/>
    <x v="792"/>
    <x v="0"/>
    <x v="1"/>
    <x v="0"/>
    <x v="546"/>
  </r>
  <r>
    <x v="793"/>
    <x v="793"/>
    <x v="793"/>
    <x v="17"/>
    <x v="13"/>
    <x v="793"/>
    <x v="0"/>
    <x v="1"/>
    <x v="0"/>
    <x v="547"/>
  </r>
  <r>
    <x v="794"/>
    <x v="794"/>
    <x v="794"/>
    <x v="29"/>
    <x v="48"/>
    <x v="794"/>
    <x v="0"/>
    <x v="1"/>
    <x v="0"/>
    <x v="548"/>
  </r>
  <r>
    <x v="795"/>
    <x v="795"/>
    <x v="795"/>
    <x v="15"/>
    <x v="56"/>
    <x v="795"/>
    <x v="0"/>
    <x v="1"/>
    <x v="0"/>
    <x v="486"/>
  </r>
  <r>
    <x v="796"/>
    <x v="796"/>
    <x v="796"/>
    <x v="11"/>
    <x v="12"/>
    <x v="796"/>
    <x v="0"/>
    <x v="1"/>
    <x v="0"/>
    <x v="285"/>
  </r>
  <r>
    <x v="797"/>
    <x v="797"/>
    <x v="797"/>
    <x v="2"/>
    <x v="99"/>
    <x v="797"/>
    <x v="0"/>
    <x v="1"/>
    <x v="0"/>
    <x v="549"/>
  </r>
  <r>
    <x v="798"/>
    <x v="798"/>
    <x v="798"/>
    <x v="1"/>
    <x v="86"/>
    <x v="798"/>
    <x v="0"/>
    <x v="1"/>
    <x v="0"/>
    <x v="550"/>
  </r>
  <r>
    <x v="799"/>
    <x v="799"/>
    <x v="799"/>
    <x v="15"/>
    <x v="76"/>
    <x v="799"/>
    <x v="0"/>
    <x v="1"/>
    <x v="0"/>
    <x v="551"/>
  </r>
  <r>
    <x v="800"/>
    <x v="800"/>
    <x v="800"/>
    <x v="15"/>
    <x v="13"/>
    <x v="800"/>
    <x v="0"/>
    <x v="1"/>
    <x v="0"/>
    <x v="552"/>
  </r>
  <r>
    <x v="801"/>
    <x v="801"/>
    <x v="801"/>
    <x v="2"/>
    <x v="93"/>
    <x v="801"/>
    <x v="0"/>
    <x v="1"/>
    <x v="0"/>
    <x v="553"/>
  </r>
  <r>
    <x v="802"/>
    <x v="802"/>
    <x v="802"/>
    <x v="8"/>
    <x v="88"/>
    <x v="802"/>
    <x v="0"/>
    <x v="1"/>
    <x v="0"/>
    <x v="554"/>
  </r>
  <r>
    <x v="803"/>
    <x v="803"/>
    <x v="803"/>
    <x v="26"/>
    <x v="52"/>
    <x v="803"/>
    <x v="0"/>
    <x v="1"/>
    <x v="0"/>
    <x v="555"/>
  </r>
  <r>
    <x v="804"/>
    <x v="804"/>
    <x v="804"/>
    <x v="23"/>
    <x v="47"/>
    <x v="804"/>
    <x v="0"/>
    <x v="1"/>
    <x v="0"/>
    <x v="525"/>
  </r>
  <r>
    <x v="805"/>
    <x v="805"/>
    <x v="805"/>
    <x v="20"/>
    <x v="39"/>
    <x v="805"/>
    <x v="0"/>
    <x v="1"/>
    <x v="0"/>
    <x v="556"/>
  </r>
  <r>
    <x v="806"/>
    <x v="806"/>
    <x v="806"/>
    <x v="3"/>
    <x v="52"/>
    <x v="806"/>
    <x v="0"/>
    <x v="1"/>
    <x v="0"/>
    <x v="557"/>
  </r>
  <r>
    <x v="807"/>
    <x v="807"/>
    <x v="807"/>
    <x v="29"/>
    <x v="81"/>
    <x v="807"/>
    <x v="0"/>
    <x v="1"/>
    <x v="0"/>
    <x v="558"/>
  </r>
  <r>
    <x v="808"/>
    <x v="808"/>
    <x v="808"/>
    <x v="1"/>
    <x v="78"/>
    <x v="808"/>
    <x v="0"/>
    <x v="1"/>
    <x v="0"/>
    <x v="559"/>
  </r>
  <r>
    <x v="809"/>
    <x v="809"/>
    <x v="809"/>
    <x v="15"/>
    <x v="58"/>
    <x v="809"/>
    <x v="0"/>
    <x v="1"/>
    <x v="0"/>
    <x v="560"/>
  </r>
  <r>
    <x v="810"/>
    <x v="810"/>
    <x v="810"/>
    <x v="6"/>
    <x v="60"/>
    <x v="810"/>
    <x v="0"/>
    <x v="1"/>
    <x v="0"/>
    <x v="561"/>
  </r>
  <r>
    <x v="811"/>
    <x v="811"/>
    <x v="811"/>
    <x v="1"/>
    <x v="4"/>
    <x v="811"/>
    <x v="0"/>
    <x v="1"/>
    <x v="0"/>
    <x v="562"/>
  </r>
  <r>
    <x v="812"/>
    <x v="812"/>
    <x v="812"/>
    <x v="3"/>
    <x v="47"/>
    <x v="812"/>
    <x v="0"/>
    <x v="1"/>
    <x v="0"/>
    <x v="529"/>
  </r>
  <r>
    <x v="813"/>
    <x v="813"/>
    <x v="813"/>
    <x v="7"/>
    <x v="52"/>
    <x v="813"/>
    <x v="0"/>
    <x v="1"/>
    <x v="0"/>
    <x v="563"/>
  </r>
  <r>
    <x v="814"/>
    <x v="814"/>
    <x v="814"/>
    <x v="21"/>
    <x v="7"/>
    <x v="814"/>
    <x v="0"/>
    <x v="1"/>
    <x v="0"/>
    <x v="564"/>
  </r>
  <r>
    <x v="815"/>
    <x v="815"/>
    <x v="815"/>
    <x v="0"/>
    <x v="36"/>
    <x v="815"/>
    <x v="0"/>
    <x v="1"/>
    <x v="0"/>
    <x v="565"/>
  </r>
  <r>
    <x v="816"/>
    <x v="816"/>
    <x v="816"/>
    <x v="16"/>
    <x v="49"/>
    <x v="816"/>
    <x v="0"/>
    <x v="1"/>
    <x v="0"/>
    <x v="566"/>
  </r>
  <r>
    <x v="817"/>
    <x v="817"/>
    <x v="817"/>
    <x v="5"/>
    <x v="77"/>
    <x v="817"/>
    <x v="0"/>
    <x v="1"/>
    <x v="0"/>
    <x v="533"/>
  </r>
  <r>
    <x v="818"/>
    <x v="818"/>
    <x v="818"/>
    <x v="0"/>
    <x v="1"/>
    <x v="818"/>
    <x v="0"/>
    <x v="1"/>
    <x v="0"/>
    <x v="567"/>
  </r>
  <r>
    <x v="819"/>
    <x v="819"/>
    <x v="819"/>
    <x v="1"/>
    <x v="16"/>
    <x v="819"/>
    <x v="0"/>
    <x v="1"/>
    <x v="0"/>
    <x v="568"/>
  </r>
  <r>
    <x v="820"/>
    <x v="820"/>
    <x v="820"/>
    <x v="8"/>
    <x v="32"/>
    <x v="820"/>
    <x v="0"/>
    <x v="1"/>
    <x v="0"/>
    <x v="569"/>
  </r>
  <r>
    <x v="821"/>
    <x v="821"/>
    <x v="821"/>
    <x v="22"/>
    <x v="3"/>
    <x v="821"/>
    <x v="0"/>
    <x v="1"/>
    <x v="0"/>
    <x v="536"/>
  </r>
  <r>
    <x v="822"/>
    <x v="822"/>
    <x v="822"/>
    <x v="3"/>
    <x v="42"/>
    <x v="822"/>
    <x v="0"/>
    <x v="1"/>
    <x v="0"/>
    <x v="570"/>
  </r>
  <r>
    <x v="823"/>
    <x v="823"/>
    <x v="823"/>
    <x v="9"/>
    <x v="22"/>
    <x v="823"/>
    <x v="0"/>
    <x v="1"/>
    <x v="0"/>
    <x v="553"/>
  </r>
  <r>
    <x v="824"/>
    <x v="824"/>
    <x v="824"/>
    <x v="7"/>
    <x v="78"/>
    <x v="824"/>
    <x v="0"/>
    <x v="1"/>
    <x v="0"/>
    <x v="571"/>
  </r>
  <r>
    <x v="825"/>
    <x v="825"/>
    <x v="825"/>
    <x v="7"/>
    <x v="75"/>
    <x v="825"/>
    <x v="0"/>
    <x v="1"/>
    <x v="0"/>
    <x v="572"/>
  </r>
  <r>
    <x v="826"/>
    <x v="826"/>
    <x v="826"/>
    <x v="5"/>
    <x v="1"/>
    <x v="826"/>
    <x v="0"/>
    <x v="1"/>
    <x v="0"/>
    <x v="573"/>
  </r>
  <r>
    <x v="827"/>
    <x v="827"/>
    <x v="827"/>
    <x v="26"/>
    <x v="61"/>
    <x v="827"/>
    <x v="0"/>
    <x v="1"/>
    <x v="0"/>
    <x v="574"/>
  </r>
  <r>
    <x v="828"/>
    <x v="828"/>
    <x v="828"/>
    <x v="4"/>
    <x v="17"/>
    <x v="828"/>
    <x v="0"/>
    <x v="1"/>
    <x v="0"/>
    <x v="575"/>
  </r>
  <r>
    <x v="829"/>
    <x v="829"/>
    <x v="829"/>
    <x v="15"/>
    <x v="61"/>
    <x v="829"/>
    <x v="0"/>
    <x v="1"/>
    <x v="0"/>
    <x v="576"/>
  </r>
  <r>
    <x v="830"/>
    <x v="830"/>
    <x v="830"/>
    <x v="3"/>
    <x v="11"/>
    <x v="830"/>
    <x v="0"/>
    <x v="1"/>
    <x v="0"/>
    <x v="577"/>
  </r>
  <r>
    <x v="831"/>
    <x v="831"/>
    <x v="831"/>
    <x v="4"/>
    <x v="80"/>
    <x v="831"/>
    <x v="0"/>
    <x v="1"/>
    <x v="0"/>
    <x v="536"/>
  </r>
  <r>
    <x v="832"/>
    <x v="832"/>
    <x v="832"/>
    <x v="3"/>
    <x v="11"/>
    <x v="832"/>
    <x v="0"/>
    <x v="1"/>
    <x v="0"/>
    <x v="578"/>
  </r>
  <r>
    <x v="833"/>
    <x v="833"/>
    <x v="833"/>
    <x v="13"/>
    <x v="61"/>
    <x v="833"/>
    <x v="0"/>
    <x v="1"/>
    <x v="0"/>
    <x v="579"/>
  </r>
  <r>
    <x v="834"/>
    <x v="834"/>
    <x v="834"/>
    <x v="1"/>
    <x v="7"/>
    <x v="834"/>
    <x v="0"/>
    <x v="1"/>
    <x v="0"/>
    <x v="580"/>
  </r>
  <r>
    <x v="835"/>
    <x v="835"/>
    <x v="835"/>
    <x v="3"/>
    <x v="7"/>
    <x v="835"/>
    <x v="0"/>
    <x v="1"/>
    <x v="0"/>
    <x v="581"/>
  </r>
  <r>
    <x v="836"/>
    <x v="836"/>
    <x v="836"/>
    <x v="14"/>
    <x v="83"/>
    <x v="836"/>
    <x v="0"/>
    <x v="1"/>
    <x v="0"/>
    <x v="582"/>
  </r>
  <r>
    <x v="837"/>
    <x v="837"/>
    <x v="837"/>
    <x v="10"/>
    <x v="40"/>
    <x v="837"/>
    <x v="0"/>
    <x v="1"/>
    <x v="0"/>
    <x v="583"/>
  </r>
  <r>
    <x v="838"/>
    <x v="838"/>
    <x v="838"/>
    <x v="1"/>
    <x v="2"/>
    <x v="838"/>
    <x v="0"/>
    <x v="1"/>
    <x v="0"/>
    <x v="584"/>
  </r>
  <r>
    <x v="839"/>
    <x v="839"/>
    <x v="839"/>
    <x v="8"/>
    <x v="25"/>
    <x v="839"/>
    <x v="0"/>
    <x v="1"/>
    <x v="0"/>
    <x v="585"/>
  </r>
  <r>
    <x v="840"/>
    <x v="840"/>
    <x v="840"/>
    <x v="9"/>
    <x v="7"/>
    <x v="840"/>
    <x v="0"/>
    <x v="1"/>
    <x v="0"/>
    <x v="586"/>
  </r>
  <r>
    <x v="841"/>
    <x v="841"/>
    <x v="841"/>
    <x v="6"/>
    <x v="60"/>
    <x v="841"/>
    <x v="0"/>
    <x v="1"/>
    <x v="0"/>
    <x v="587"/>
  </r>
  <r>
    <x v="842"/>
    <x v="842"/>
    <x v="842"/>
    <x v="11"/>
    <x v="100"/>
    <x v="842"/>
    <x v="0"/>
    <x v="1"/>
    <x v="0"/>
    <x v="588"/>
  </r>
  <r>
    <x v="843"/>
    <x v="843"/>
    <x v="843"/>
    <x v="31"/>
    <x v="36"/>
    <x v="843"/>
    <x v="0"/>
    <x v="1"/>
    <x v="0"/>
    <x v="589"/>
  </r>
  <r>
    <x v="844"/>
    <x v="844"/>
    <x v="844"/>
    <x v="17"/>
    <x v="53"/>
    <x v="844"/>
    <x v="0"/>
    <x v="1"/>
    <x v="0"/>
    <x v="590"/>
  </r>
  <r>
    <x v="845"/>
    <x v="845"/>
    <x v="845"/>
    <x v="25"/>
    <x v="45"/>
    <x v="845"/>
    <x v="0"/>
    <x v="1"/>
    <x v="0"/>
    <x v="591"/>
  </r>
  <r>
    <x v="846"/>
    <x v="846"/>
    <x v="846"/>
    <x v="23"/>
    <x v="42"/>
    <x v="846"/>
    <x v="0"/>
    <x v="1"/>
    <x v="0"/>
    <x v="592"/>
  </r>
  <r>
    <x v="847"/>
    <x v="847"/>
    <x v="847"/>
    <x v="11"/>
    <x v="15"/>
    <x v="847"/>
    <x v="0"/>
    <x v="1"/>
    <x v="0"/>
    <x v="593"/>
  </r>
  <r>
    <x v="848"/>
    <x v="848"/>
    <x v="848"/>
    <x v="12"/>
    <x v="42"/>
    <x v="848"/>
    <x v="0"/>
    <x v="1"/>
    <x v="0"/>
    <x v="594"/>
  </r>
  <r>
    <x v="849"/>
    <x v="849"/>
    <x v="849"/>
    <x v="5"/>
    <x v="54"/>
    <x v="849"/>
    <x v="0"/>
    <x v="1"/>
    <x v="0"/>
    <x v="595"/>
  </r>
  <r>
    <x v="850"/>
    <x v="850"/>
    <x v="850"/>
    <x v="1"/>
    <x v="100"/>
    <x v="850"/>
    <x v="0"/>
    <x v="1"/>
    <x v="0"/>
    <x v="596"/>
  </r>
  <r>
    <x v="851"/>
    <x v="851"/>
    <x v="851"/>
    <x v="5"/>
    <x v="48"/>
    <x v="851"/>
    <x v="0"/>
    <x v="1"/>
    <x v="0"/>
    <x v="597"/>
  </r>
  <r>
    <x v="852"/>
    <x v="852"/>
    <x v="852"/>
    <x v="1"/>
    <x v="53"/>
    <x v="852"/>
    <x v="0"/>
    <x v="1"/>
    <x v="0"/>
    <x v="598"/>
  </r>
  <r>
    <x v="853"/>
    <x v="853"/>
    <x v="853"/>
    <x v="22"/>
    <x v="45"/>
    <x v="853"/>
    <x v="0"/>
    <x v="1"/>
    <x v="0"/>
    <x v="599"/>
  </r>
  <r>
    <x v="854"/>
    <x v="854"/>
    <x v="854"/>
    <x v="7"/>
    <x v="7"/>
    <x v="854"/>
    <x v="0"/>
    <x v="1"/>
    <x v="0"/>
    <x v="600"/>
  </r>
  <r>
    <x v="855"/>
    <x v="855"/>
    <x v="855"/>
    <x v="13"/>
    <x v="11"/>
    <x v="855"/>
    <x v="0"/>
    <x v="1"/>
    <x v="0"/>
    <x v="601"/>
  </r>
  <r>
    <x v="856"/>
    <x v="856"/>
    <x v="856"/>
    <x v="6"/>
    <x v="53"/>
    <x v="856"/>
    <x v="0"/>
    <x v="1"/>
    <x v="0"/>
    <x v="602"/>
  </r>
  <r>
    <x v="857"/>
    <x v="857"/>
    <x v="857"/>
    <x v="0"/>
    <x v="2"/>
    <x v="857"/>
    <x v="0"/>
    <x v="1"/>
    <x v="0"/>
    <x v="603"/>
  </r>
  <r>
    <x v="858"/>
    <x v="858"/>
    <x v="858"/>
    <x v="12"/>
    <x v="84"/>
    <x v="858"/>
    <x v="0"/>
    <x v="1"/>
    <x v="0"/>
    <x v="604"/>
  </r>
  <r>
    <x v="859"/>
    <x v="859"/>
    <x v="859"/>
    <x v="28"/>
    <x v="15"/>
    <x v="859"/>
    <x v="0"/>
    <x v="1"/>
    <x v="0"/>
    <x v="605"/>
  </r>
  <r>
    <x v="860"/>
    <x v="860"/>
    <x v="860"/>
    <x v="20"/>
    <x v="68"/>
    <x v="860"/>
    <x v="0"/>
    <x v="1"/>
    <x v="0"/>
    <x v="606"/>
  </r>
  <r>
    <x v="861"/>
    <x v="861"/>
    <x v="861"/>
    <x v="21"/>
    <x v="57"/>
    <x v="861"/>
    <x v="0"/>
    <x v="1"/>
    <x v="0"/>
    <x v="607"/>
  </r>
  <r>
    <x v="862"/>
    <x v="862"/>
    <x v="862"/>
    <x v="21"/>
    <x v="75"/>
    <x v="862"/>
    <x v="0"/>
    <x v="1"/>
    <x v="0"/>
    <x v="608"/>
  </r>
  <r>
    <x v="863"/>
    <x v="863"/>
    <x v="863"/>
    <x v="9"/>
    <x v="92"/>
    <x v="863"/>
    <x v="0"/>
    <x v="1"/>
    <x v="0"/>
    <x v="609"/>
  </r>
  <r>
    <x v="864"/>
    <x v="864"/>
    <x v="864"/>
    <x v="25"/>
    <x v="75"/>
    <x v="864"/>
    <x v="0"/>
    <x v="1"/>
    <x v="0"/>
    <x v="610"/>
  </r>
  <r>
    <x v="865"/>
    <x v="865"/>
    <x v="865"/>
    <x v="8"/>
    <x v="99"/>
    <x v="865"/>
    <x v="0"/>
    <x v="1"/>
    <x v="0"/>
    <x v="611"/>
  </r>
  <r>
    <x v="866"/>
    <x v="866"/>
    <x v="866"/>
    <x v="15"/>
    <x v="67"/>
    <x v="866"/>
    <x v="0"/>
    <x v="1"/>
    <x v="0"/>
    <x v="612"/>
  </r>
  <r>
    <x v="867"/>
    <x v="867"/>
    <x v="867"/>
    <x v="17"/>
    <x v="70"/>
    <x v="867"/>
    <x v="0"/>
    <x v="1"/>
    <x v="0"/>
    <x v="613"/>
  </r>
  <r>
    <x v="868"/>
    <x v="868"/>
    <x v="868"/>
    <x v="1"/>
    <x v="101"/>
    <x v="868"/>
    <x v="0"/>
    <x v="1"/>
    <x v="0"/>
    <x v="614"/>
  </r>
  <r>
    <x v="869"/>
    <x v="869"/>
    <x v="869"/>
    <x v="7"/>
    <x v="4"/>
    <x v="869"/>
    <x v="0"/>
    <x v="1"/>
    <x v="0"/>
    <x v="615"/>
  </r>
  <r>
    <x v="870"/>
    <x v="870"/>
    <x v="870"/>
    <x v="12"/>
    <x v="89"/>
    <x v="870"/>
    <x v="0"/>
    <x v="1"/>
    <x v="0"/>
    <x v="616"/>
  </r>
  <r>
    <x v="871"/>
    <x v="871"/>
    <x v="871"/>
    <x v="24"/>
    <x v="7"/>
    <x v="871"/>
    <x v="0"/>
    <x v="1"/>
    <x v="0"/>
    <x v="617"/>
  </r>
  <r>
    <x v="872"/>
    <x v="872"/>
    <x v="872"/>
    <x v="13"/>
    <x v="19"/>
    <x v="872"/>
    <x v="0"/>
    <x v="1"/>
    <x v="0"/>
    <x v="618"/>
  </r>
  <r>
    <x v="873"/>
    <x v="873"/>
    <x v="873"/>
    <x v="6"/>
    <x v="42"/>
    <x v="873"/>
    <x v="0"/>
    <x v="1"/>
    <x v="0"/>
    <x v="619"/>
  </r>
  <r>
    <x v="874"/>
    <x v="874"/>
    <x v="874"/>
    <x v="3"/>
    <x v="3"/>
    <x v="874"/>
    <x v="0"/>
    <x v="1"/>
    <x v="0"/>
    <x v="620"/>
  </r>
  <r>
    <x v="875"/>
    <x v="875"/>
    <x v="875"/>
    <x v="9"/>
    <x v="2"/>
    <x v="875"/>
    <x v="0"/>
    <x v="1"/>
    <x v="0"/>
    <x v="621"/>
  </r>
  <r>
    <x v="876"/>
    <x v="876"/>
    <x v="876"/>
    <x v="8"/>
    <x v="87"/>
    <x v="876"/>
    <x v="0"/>
    <x v="1"/>
    <x v="0"/>
    <x v="622"/>
  </r>
  <r>
    <x v="877"/>
    <x v="877"/>
    <x v="877"/>
    <x v="9"/>
    <x v="7"/>
    <x v="877"/>
    <x v="0"/>
    <x v="1"/>
    <x v="0"/>
    <x v="623"/>
  </r>
  <r>
    <x v="878"/>
    <x v="878"/>
    <x v="878"/>
    <x v="9"/>
    <x v="45"/>
    <x v="878"/>
    <x v="0"/>
    <x v="1"/>
    <x v="0"/>
    <x v="624"/>
  </r>
  <r>
    <x v="879"/>
    <x v="879"/>
    <x v="879"/>
    <x v="10"/>
    <x v="19"/>
    <x v="879"/>
    <x v="0"/>
    <x v="1"/>
    <x v="0"/>
    <x v="625"/>
  </r>
  <r>
    <x v="880"/>
    <x v="880"/>
    <x v="880"/>
    <x v="3"/>
    <x v="59"/>
    <x v="880"/>
    <x v="0"/>
    <x v="1"/>
    <x v="0"/>
    <x v="626"/>
  </r>
  <r>
    <x v="881"/>
    <x v="881"/>
    <x v="881"/>
    <x v="10"/>
    <x v="103"/>
    <x v="881"/>
    <x v="0"/>
    <x v="1"/>
    <x v="0"/>
    <x v="627"/>
  </r>
  <r>
    <x v="882"/>
    <x v="882"/>
    <x v="882"/>
    <x v="22"/>
    <x v="17"/>
    <x v="882"/>
    <x v="0"/>
    <x v="1"/>
    <x v="0"/>
    <x v="628"/>
  </r>
  <r>
    <x v="883"/>
    <x v="883"/>
    <x v="883"/>
    <x v="3"/>
    <x v="42"/>
    <x v="883"/>
    <x v="0"/>
    <x v="1"/>
    <x v="0"/>
    <x v="629"/>
  </r>
  <r>
    <x v="884"/>
    <x v="884"/>
    <x v="884"/>
    <x v="3"/>
    <x v="28"/>
    <x v="884"/>
    <x v="0"/>
    <x v="1"/>
    <x v="0"/>
    <x v="630"/>
  </r>
  <r>
    <x v="885"/>
    <x v="885"/>
    <x v="885"/>
    <x v="24"/>
    <x v="36"/>
    <x v="885"/>
    <x v="0"/>
    <x v="1"/>
    <x v="0"/>
    <x v="631"/>
  </r>
  <r>
    <x v="886"/>
    <x v="886"/>
    <x v="886"/>
    <x v="1"/>
    <x v="51"/>
    <x v="886"/>
    <x v="0"/>
    <x v="1"/>
    <x v="0"/>
    <x v="632"/>
  </r>
  <r>
    <x v="887"/>
    <x v="887"/>
    <x v="887"/>
    <x v="31"/>
    <x v="76"/>
    <x v="887"/>
    <x v="0"/>
    <x v="1"/>
    <x v="0"/>
    <x v="633"/>
  </r>
  <r>
    <x v="888"/>
    <x v="888"/>
    <x v="888"/>
    <x v="8"/>
    <x v="8"/>
    <x v="888"/>
    <x v="0"/>
    <x v="1"/>
    <x v="0"/>
    <x v="634"/>
  </r>
  <r>
    <x v="889"/>
    <x v="889"/>
    <x v="889"/>
    <x v="22"/>
    <x v="84"/>
    <x v="889"/>
    <x v="0"/>
    <x v="1"/>
    <x v="0"/>
    <x v="635"/>
  </r>
  <r>
    <x v="890"/>
    <x v="890"/>
    <x v="890"/>
    <x v="14"/>
    <x v="6"/>
    <x v="890"/>
    <x v="0"/>
    <x v="1"/>
    <x v="0"/>
    <x v="636"/>
  </r>
  <r>
    <x v="891"/>
    <x v="891"/>
    <x v="891"/>
    <x v="6"/>
    <x v="87"/>
    <x v="891"/>
    <x v="0"/>
    <x v="1"/>
    <x v="0"/>
    <x v="637"/>
  </r>
  <r>
    <x v="892"/>
    <x v="892"/>
    <x v="892"/>
    <x v="25"/>
    <x v="27"/>
    <x v="892"/>
    <x v="0"/>
    <x v="1"/>
    <x v="0"/>
    <x v="638"/>
  </r>
  <r>
    <x v="893"/>
    <x v="893"/>
    <x v="893"/>
    <x v="17"/>
    <x v="28"/>
    <x v="893"/>
    <x v="0"/>
    <x v="1"/>
    <x v="0"/>
    <x v="639"/>
  </r>
  <r>
    <x v="894"/>
    <x v="894"/>
    <x v="894"/>
    <x v="5"/>
    <x v="53"/>
    <x v="894"/>
    <x v="0"/>
    <x v="1"/>
    <x v="0"/>
    <x v="640"/>
  </r>
  <r>
    <x v="895"/>
    <x v="895"/>
    <x v="895"/>
    <x v="31"/>
    <x v="92"/>
    <x v="895"/>
    <x v="0"/>
    <x v="1"/>
    <x v="0"/>
    <x v="323"/>
  </r>
  <r>
    <x v="896"/>
    <x v="896"/>
    <x v="896"/>
    <x v="3"/>
    <x v="19"/>
    <x v="896"/>
    <x v="0"/>
    <x v="1"/>
    <x v="0"/>
    <x v="617"/>
  </r>
  <r>
    <x v="897"/>
    <x v="897"/>
    <x v="897"/>
    <x v="6"/>
    <x v="8"/>
    <x v="897"/>
    <x v="0"/>
    <x v="1"/>
    <x v="0"/>
    <x v="641"/>
  </r>
  <r>
    <x v="898"/>
    <x v="898"/>
    <x v="898"/>
    <x v="31"/>
    <x v="4"/>
    <x v="898"/>
    <x v="0"/>
    <x v="1"/>
    <x v="0"/>
    <x v="642"/>
  </r>
  <r>
    <x v="899"/>
    <x v="899"/>
    <x v="899"/>
    <x v="7"/>
    <x v="68"/>
    <x v="899"/>
    <x v="0"/>
    <x v="1"/>
    <x v="0"/>
    <x v="643"/>
  </r>
  <r>
    <x v="900"/>
    <x v="900"/>
    <x v="900"/>
    <x v="11"/>
    <x v="52"/>
    <x v="900"/>
    <x v="0"/>
    <x v="1"/>
    <x v="0"/>
    <x v="644"/>
  </r>
  <r>
    <x v="901"/>
    <x v="901"/>
    <x v="901"/>
    <x v="15"/>
    <x v="80"/>
    <x v="901"/>
    <x v="0"/>
    <x v="1"/>
    <x v="0"/>
    <x v="645"/>
  </r>
  <r>
    <x v="902"/>
    <x v="902"/>
    <x v="902"/>
    <x v="31"/>
    <x v="61"/>
    <x v="902"/>
    <x v="0"/>
    <x v="1"/>
    <x v="0"/>
    <x v="646"/>
  </r>
  <r>
    <x v="903"/>
    <x v="903"/>
    <x v="903"/>
    <x v="11"/>
    <x v="17"/>
    <x v="903"/>
    <x v="0"/>
    <x v="1"/>
    <x v="0"/>
    <x v="647"/>
  </r>
  <r>
    <x v="904"/>
    <x v="904"/>
    <x v="904"/>
    <x v="3"/>
    <x v="1"/>
    <x v="904"/>
    <x v="0"/>
    <x v="1"/>
    <x v="0"/>
    <x v="648"/>
  </r>
  <r>
    <x v="905"/>
    <x v="905"/>
    <x v="905"/>
    <x v="1"/>
    <x v="18"/>
    <x v="905"/>
    <x v="0"/>
    <x v="1"/>
    <x v="0"/>
    <x v="649"/>
  </r>
  <r>
    <x v="906"/>
    <x v="906"/>
    <x v="906"/>
    <x v="8"/>
    <x v="8"/>
    <x v="906"/>
    <x v="0"/>
    <x v="1"/>
    <x v="0"/>
    <x v="650"/>
  </r>
  <r>
    <x v="907"/>
    <x v="907"/>
    <x v="907"/>
    <x v="3"/>
    <x v="36"/>
    <x v="907"/>
    <x v="0"/>
    <x v="1"/>
    <x v="0"/>
    <x v="651"/>
  </r>
  <r>
    <x v="908"/>
    <x v="908"/>
    <x v="908"/>
    <x v="19"/>
    <x v="31"/>
    <x v="908"/>
    <x v="0"/>
    <x v="1"/>
    <x v="0"/>
    <x v="652"/>
  </r>
  <r>
    <x v="909"/>
    <x v="909"/>
    <x v="909"/>
    <x v="27"/>
    <x v="88"/>
    <x v="909"/>
    <x v="0"/>
    <x v="1"/>
    <x v="0"/>
    <x v="653"/>
  </r>
  <r>
    <x v="910"/>
    <x v="910"/>
    <x v="910"/>
    <x v="31"/>
    <x v="22"/>
    <x v="910"/>
    <x v="0"/>
    <x v="1"/>
    <x v="0"/>
    <x v="654"/>
  </r>
  <r>
    <x v="911"/>
    <x v="911"/>
    <x v="911"/>
    <x v="5"/>
    <x v="45"/>
    <x v="911"/>
    <x v="0"/>
    <x v="1"/>
    <x v="0"/>
    <x v="573"/>
  </r>
  <r>
    <x v="912"/>
    <x v="912"/>
    <x v="912"/>
    <x v="26"/>
    <x v="64"/>
    <x v="912"/>
    <x v="0"/>
    <x v="1"/>
    <x v="0"/>
    <x v="655"/>
  </r>
  <r>
    <x v="913"/>
    <x v="913"/>
    <x v="913"/>
    <x v="6"/>
    <x v="99"/>
    <x v="913"/>
    <x v="0"/>
    <x v="1"/>
    <x v="0"/>
    <x v="656"/>
  </r>
  <r>
    <x v="914"/>
    <x v="914"/>
    <x v="914"/>
    <x v="8"/>
    <x v="36"/>
    <x v="914"/>
    <x v="0"/>
    <x v="1"/>
    <x v="0"/>
    <x v="657"/>
  </r>
  <r>
    <x v="915"/>
    <x v="915"/>
    <x v="915"/>
    <x v="3"/>
    <x v="28"/>
    <x v="915"/>
    <x v="0"/>
    <x v="1"/>
    <x v="0"/>
    <x v="658"/>
  </r>
  <r>
    <x v="916"/>
    <x v="916"/>
    <x v="916"/>
    <x v="26"/>
    <x v="19"/>
    <x v="916"/>
    <x v="0"/>
    <x v="1"/>
    <x v="0"/>
    <x v="659"/>
  </r>
  <r>
    <x v="917"/>
    <x v="917"/>
    <x v="917"/>
    <x v="0"/>
    <x v="7"/>
    <x v="917"/>
    <x v="0"/>
    <x v="1"/>
    <x v="0"/>
    <x v="660"/>
  </r>
  <r>
    <x v="918"/>
    <x v="918"/>
    <x v="918"/>
    <x v="8"/>
    <x v="3"/>
    <x v="918"/>
    <x v="0"/>
    <x v="1"/>
    <x v="0"/>
    <x v="661"/>
  </r>
  <r>
    <x v="919"/>
    <x v="919"/>
    <x v="919"/>
    <x v="3"/>
    <x v="40"/>
    <x v="919"/>
    <x v="0"/>
    <x v="1"/>
    <x v="0"/>
    <x v="662"/>
  </r>
  <r>
    <x v="920"/>
    <x v="920"/>
    <x v="920"/>
    <x v="1"/>
    <x v="6"/>
    <x v="920"/>
    <x v="0"/>
    <x v="1"/>
    <x v="0"/>
    <x v="663"/>
  </r>
  <r>
    <x v="921"/>
    <x v="921"/>
    <x v="921"/>
    <x v="12"/>
    <x v="49"/>
    <x v="921"/>
    <x v="0"/>
    <x v="1"/>
    <x v="0"/>
    <x v="664"/>
  </r>
  <r>
    <x v="922"/>
    <x v="922"/>
    <x v="922"/>
    <x v="31"/>
    <x v="49"/>
    <x v="922"/>
    <x v="0"/>
    <x v="1"/>
    <x v="0"/>
    <x v="665"/>
  </r>
  <r>
    <x v="923"/>
    <x v="923"/>
    <x v="923"/>
    <x v="13"/>
    <x v="27"/>
    <x v="923"/>
    <x v="0"/>
    <x v="1"/>
    <x v="0"/>
    <x v="666"/>
  </r>
  <r>
    <x v="924"/>
    <x v="924"/>
    <x v="924"/>
    <x v="31"/>
    <x v="49"/>
    <x v="924"/>
    <x v="0"/>
    <x v="1"/>
    <x v="0"/>
    <x v="667"/>
  </r>
  <r>
    <x v="925"/>
    <x v="925"/>
    <x v="925"/>
    <x v="3"/>
    <x v="4"/>
    <x v="925"/>
    <x v="0"/>
    <x v="1"/>
    <x v="0"/>
    <x v="668"/>
  </r>
  <r>
    <x v="926"/>
    <x v="926"/>
    <x v="926"/>
    <x v="24"/>
    <x v="45"/>
    <x v="926"/>
    <x v="0"/>
    <x v="1"/>
    <x v="0"/>
    <x v="669"/>
  </r>
  <r>
    <x v="927"/>
    <x v="927"/>
    <x v="927"/>
    <x v="1"/>
    <x v="2"/>
    <x v="927"/>
    <x v="0"/>
    <x v="1"/>
    <x v="0"/>
    <x v="670"/>
  </r>
  <r>
    <x v="928"/>
    <x v="928"/>
    <x v="928"/>
    <x v="8"/>
    <x v="7"/>
    <x v="928"/>
    <x v="0"/>
    <x v="1"/>
    <x v="0"/>
    <x v="671"/>
  </r>
  <r>
    <x v="929"/>
    <x v="929"/>
    <x v="929"/>
    <x v="23"/>
    <x v="18"/>
    <x v="929"/>
    <x v="0"/>
    <x v="1"/>
    <x v="0"/>
    <x v="672"/>
  </r>
  <r>
    <x v="930"/>
    <x v="930"/>
    <x v="930"/>
    <x v="14"/>
    <x v="69"/>
    <x v="930"/>
    <x v="0"/>
    <x v="1"/>
    <x v="0"/>
    <x v="587"/>
  </r>
  <r>
    <x v="931"/>
    <x v="931"/>
    <x v="931"/>
    <x v="11"/>
    <x v="81"/>
    <x v="931"/>
    <x v="0"/>
    <x v="1"/>
    <x v="0"/>
    <x v="673"/>
  </r>
  <r>
    <x v="932"/>
    <x v="932"/>
    <x v="932"/>
    <x v="27"/>
    <x v="93"/>
    <x v="932"/>
    <x v="0"/>
    <x v="1"/>
    <x v="0"/>
    <x v="674"/>
  </r>
  <r>
    <x v="933"/>
    <x v="933"/>
    <x v="933"/>
    <x v="11"/>
    <x v="104"/>
    <x v="933"/>
    <x v="0"/>
    <x v="1"/>
    <x v="0"/>
    <x v="675"/>
  </r>
  <r>
    <x v="934"/>
    <x v="934"/>
    <x v="934"/>
    <x v="14"/>
    <x v="61"/>
    <x v="934"/>
    <x v="0"/>
    <x v="1"/>
    <x v="0"/>
    <x v="676"/>
  </r>
  <r>
    <x v="935"/>
    <x v="935"/>
    <x v="935"/>
    <x v="12"/>
    <x v="51"/>
    <x v="935"/>
    <x v="0"/>
    <x v="1"/>
    <x v="0"/>
    <x v="677"/>
  </r>
  <r>
    <x v="936"/>
    <x v="936"/>
    <x v="936"/>
    <x v="0"/>
    <x v="47"/>
    <x v="936"/>
    <x v="0"/>
    <x v="1"/>
    <x v="0"/>
    <x v="678"/>
  </r>
  <r>
    <x v="937"/>
    <x v="937"/>
    <x v="937"/>
    <x v="22"/>
    <x v="75"/>
    <x v="937"/>
    <x v="0"/>
    <x v="1"/>
    <x v="0"/>
    <x v="679"/>
  </r>
  <r>
    <x v="938"/>
    <x v="938"/>
    <x v="938"/>
    <x v="10"/>
    <x v="7"/>
    <x v="938"/>
    <x v="0"/>
    <x v="1"/>
    <x v="0"/>
    <x v="498"/>
  </r>
  <r>
    <x v="939"/>
    <x v="939"/>
    <x v="939"/>
    <x v="6"/>
    <x v="58"/>
    <x v="939"/>
    <x v="0"/>
    <x v="1"/>
    <x v="0"/>
    <x v="680"/>
  </r>
  <r>
    <x v="940"/>
    <x v="940"/>
    <x v="940"/>
    <x v="6"/>
    <x v="13"/>
    <x v="940"/>
    <x v="0"/>
    <x v="1"/>
    <x v="0"/>
    <x v="681"/>
  </r>
  <r>
    <x v="941"/>
    <x v="941"/>
    <x v="941"/>
    <x v="23"/>
    <x v="69"/>
    <x v="941"/>
    <x v="0"/>
    <x v="1"/>
    <x v="0"/>
    <x v="682"/>
  </r>
  <r>
    <x v="942"/>
    <x v="942"/>
    <x v="942"/>
    <x v="3"/>
    <x v="45"/>
    <x v="942"/>
    <x v="0"/>
    <x v="1"/>
    <x v="0"/>
    <x v="683"/>
  </r>
  <r>
    <x v="943"/>
    <x v="943"/>
    <x v="943"/>
    <x v="7"/>
    <x v="87"/>
    <x v="943"/>
    <x v="0"/>
    <x v="1"/>
    <x v="0"/>
    <x v="684"/>
  </r>
  <r>
    <x v="944"/>
    <x v="944"/>
    <x v="944"/>
    <x v="10"/>
    <x v="64"/>
    <x v="944"/>
    <x v="0"/>
    <x v="1"/>
    <x v="0"/>
    <x v="685"/>
  </r>
  <r>
    <x v="945"/>
    <x v="945"/>
    <x v="945"/>
    <x v="1"/>
    <x v="7"/>
    <x v="945"/>
    <x v="0"/>
    <x v="1"/>
    <x v="0"/>
    <x v="686"/>
  </r>
  <r>
    <x v="946"/>
    <x v="946"/>
    <x v="946"/>
    <x v="15"/>
    <x v="105"/>
    <x v="946"/>
    <x v="0"/>
    <x v="1"/>
    <x v="0"/>
    <x v="687"/>
  </r>
  <r>
    <x v="947"/>
    <x v="947"/>
    <x v="947"/>
    <x v="3"/>
    <x v="28"/>
    <x v="947"/>
    <x v="0"/>
    <x v="1"/>
    <x v="0"/>
    <x v="688"/>
  </r>
  <r>
    <x v="948"/>
    <x v="948"/>
    <x v="948"/>
    <x v="22"/>
    <x v="13"/>
    <x v="948"/>
    <x v="0"/>
    <x v="1"/>
    <x v="0"/>
    <x v="689"/>
  </r>
  <r>
    <x v="949"/>
    <x v="949"/>
    <x v="949"/>
    <x v="20"/>
    <x v="1"/>
    <x v="949"/>
    <x v="0"/>
    <x v="1"/>
    <x v="0"/>
    <x v="690"/>
  </r>
  <r>
    <x v="950"/>
    <x v="950"/>
    <x v="950"/>
    <x v="17"/>
    <x v="45"/>
    <x v="950"/>
    <x v="0"/>
    <x v="1"/>
    <x v="0"/>
    <x v="691"/>
  </r>
  <r>
    <x v="951"/>
    <x v="951"/>
    <x v="951"/>
    <x v="6"/>
    <x v="48"/>
    <x v="951"/>
    <x v="0"/>
    <x v="1"/>
    <x v="0"/>
    <x v="692"/>
  </r>
  <r>
    <x v="952"/>
    <x v="952"/>
    <x v="952"/>
    <x v="17"/>
    <x v="49"/>
    <x v="952"/>
    <x v="0"/>
    <x v="1"/>
    <x v="0"/>
    <x v="693"/>
  </r>
  <r>
    <x v="953"/>
    <x v="953"/>
    <x v="953"/>
    <x v="13"/>
    <x v="77"/>
    <x v="953"/>
    <x v="0"/>
    <x v="1"/>
    <x v="0"/>
    <x v="541"/>
  </r>
  <r>
    <x v="954"/>
    <x v="954"/>
    <x v="954"/>
    <x v="8"/>
    <x v="2"/>
    <x v="954"/>
    <x v="0"/>
    <x v="1"/>
    <x v="0"/>
    <x v="694"/>
  </r>
  <r>
    <x v="955"/>
    <x v="955"/>
    <x v="955"/>
    <x v="8"/>
    <x v="2"/>
    <x v="955"/>
    <x v="0"/>
    <x v="1"/>
    <x v="0"/>
    <x v="695"/>
  </r>
  <r>
    <x v="956"/>
    <x v="956"/>
    <x v="956"/>
    <x v="8"/>
    <x v="45"/>
    <x v="956"/>
    <x v="0"/>
    <x v="1"/>
    <x v="0"/>
    <x v="696"/>
  </r>
  <r>
    <x v="957"/>
    <x v="957"/>
    <x v="957"/>
    <x v="22"/>
    <x v="85"/>
    <x v="957"/>
    <x v="0"/>
    <x v="1"/>
    <x v="0"/>
    <x v="697"/>
  </r>
  <r>
    <x v="958"/>
    <x v="958"/>
    <x v="958"/>
    <x v="6"/>
    <x v="62"/>
    <x v="958"/>
    <x v="0"/>
    <x v="1"/>
    <x v="0"/>
    <x v="698"/>
  </r>
  <r>
    <x v="959"/>
    <x v="959"/>
    <x v="959"/>
    <x v="8"/>
    <x v="37"/>
    <x v="959"/>
    <x v="0"/>
    <x v="1"/>
    <x v="0"/>
    <x v="699"/>
  </r>
  <r>
    <x v="960"/>
    <x v="960"/>
    <x v="960"/>
    <x v="6"/>
    <x v="7"/>
    <x v="960"/>
    <x v="0"/>
    <x v="1"/>
    <x v="0"/>
    <x v="700"/>
  </r>
  <r>
    <x v="961"/>
    <x v="961"/>
    <x v="961"/>
    <x v="1"/>
    <x v="17"/>
    <x v="961"/>
    <x v="0"/>
    <x v="1"/>
    <x v="0"/>
    <x v="701"/>
  </r>
  <r>
    <x v="962"/>
    <x v="962"/>
    <x v="962"/>
    <x v="12"/>
    <x v="91"/>
    <x v="962"/>
    <x v="0"/>
    <x v="1"/>
    <x v="0"/>
    <x v="702"/>
  </r>
  <r>
    <x v="963"/>
    <x v="963"/>
    <x v="963"/>
    <x v="8"/>
    <x v="7"/>
    <x v="963"/>
    <x v="0"/>
    <x v="1"/>
    <x v="0"/>
    <x v="703"/>
  </r>
  <r>
    <x v="964"/>
    <x v="964"/>
    <x v="964"/>
    <x v="11"/>
    <x v="77"/>
    <x v="964"/>
    <x v="0"/>
    <x v="1"/>
    <x v="0"/>
    <x v="704"/>
  </r>
  <r>
    <x v="965"/>
    <x v="965"/>
    <x v="965"/>
    <x v="1"/>
    <x v="38"/>
    <x v="965"/>
    <x v="0"/>
    <x v="1"/>
    <x v="0"/>
    <x v="705"/>
  </r>
  <r>
    <x v="966"/>
    <x v="966"/>
    <x v="966"/>
    <x v="24"/>
    <x v="96"/>
    <x v="966"/>
    <x v="0"/>
    <x v="1"/>
    <x v="0"/>
    <x v="706"/>
  </r>
  <r>
    <x v="967"/>
    <x v="967"/>
    <x v="967"/>
    <x v="3"/>
    <x v="99"/>
    <x v="967"/>
    <x v="0"/>
    <x v="1"/>
    <x v="0"/>
    <x v="707"/>
  </r>
  <r>
    <x v="968"/>
    <x v="968"/>
    <x v="968"/>
    <x v="6"/>
    <x v="15"/>
    <x v="968"/>
    <x v="0"/>
    <x v="1"/>
    <x v="0"/>
    <x v="708"/>
  </r>
  <r>
    <x v="969"/>
    <x v="969"/>
    <x v="969"/>
    <x v="12"/>
    <x v="9"/>
    <x v="969"/>
    <x v="0"/>
    <x v="1"/>
    <x v="0"/>
    <x v="709"/>
  </r>
  <r>
    <x v="970"/>
    <x v="970"/>
    <x v="970"/>
    <x v="12"/>
    <x v="49"/>
    <x v="970"/>
    <x v="0"/>
    <x v="1"/>
    <x v="0"/>
    <x v="710"/>
  </r>
  <r>
    <x v="971"/>
    <x v="971"/>
    <x v="971"/>
    <x v="1"/>
    <x v="2"/>
    <x v="971"/>
    <x v="0"/>
    <x v="1"/>
    <x v="0"/>
    <x v="693"/>
  </r>
  <r>
    <x v="972"/>
    <x v="972"/>
    <x v="972"/>
    <x v="5"/>
    <x v="92"/>
    <x v="972"/>
    <x v="0"/>
    <x v="1"/>
    <x v="0"/>
    <x v="711"/>
  </r>
  <r>
    <x v="973"/>
    <x v="973"/>
    <x v="973"/>
    <x v="15"/>
    <x v="7"/>
    <x v="973"/>
    <x v="0"/>
    <x v="1"/>
    <x v="0"/>
    <x v="712"/>
  </r>
  <r>
    <x v="974"/>
    <x v="974"/>
    <x v="974"/>
    <x v="22"/>
    <x v="59"/>
    <x v="974"/>
    <x v="0"/>
    <x v="1"/>
    <x v="0"/>
    <x v="713"/>
  </r>
  <r>
    <x v="975"/>
    <x v="975"/>
    <x v="975"/>
    <x v="4"/>
    <x v="56"/>
    <x v="975"/>
    <x v="0"/>
    <x v="1"/>
    <x v="0"/>
    <x v="714"/>
  </r>
  <r>
    <x v="976"/>
    <x v="976"/>
    <x v="976"/>
    <x v="26"/>
    <x v="45"/>
    <x v="976"/>
    <x v="0"/>
    <x v="1"/>
    <x v="0"/>
    <x v="715"/>
  </r>
  <r>
    <x v="977"/>
    <x v="977"/>
    <x v="977"/>
    <x v="13"/>
    <x v="71"/>
    <x v="977"/>
    <x v="0"/>
    <x v="1"/>
    <x v="0"/>
    <x v="716"/>
  </r>
  <r>
    <x v="978"/>
    <x v="978"/>
    <x v="978"/>
    <x v="8"/>
    <x v="52"/>
    <x v="978"/>
    <x v="0"/>
    <x v="1"/>
    <x v="0"/>
    <x v="717"/>
  </r>
  <r>
    <x v="979"/>
    <x v="979"/>
    <x v="979"/>
    <x v="31"/>
    <x v="100"/>
    <x v="979"/>
    <x v="0"/>
    <x v="1"/>
    <x v="0"/>
    <x v="718"/>
  </r>
  <r>
    <x v="980"/>
    <x v="980"/>
    <x v="980"/>
    <x v="29"/>
    <x v="81"/>
    <x v="980"/>
    <x v="0"/>
    <x v="1"/>
    <x v="0"/>
    <x v="719"/>
  </r>
  <r>
    <x v="981"/>
    <x v="981"/>
    <x v="981"/>
    <x v="9"/>
    <x v="52"/>
    <x v="981"/>
    <x v="0"/>
    <x v="1"/>
    <x v="0"/>
    <x v="720"/>
  </r>
  <r>
    <x v="982"/>
    <x v="982"/>
    <x v="982"/>
    <x v="12"/>
    <x v="85"/>
    <x v="982"/>
    <x v="0"/>
    <x v="1"/>
    <x v="0"/>
    <x v="721"/>
  </r>
  <r>
    <x v="983"/>
    <x v="983"/>
    <x v="983"/>
    <x v="31"/>
    <x v="13"/>
    <x v="983"/>
    <x v="0"/>
    <x v="1"/>
    <x v="0"/>
    <x v="722"/>
  </r>
  <r>
    <x v="984"/>
    <x v="984"/>
    <x v="984"/>
    <x v="31"/>
    <x v="2"/>
    <x v="984"/>
    <x v="0"/>
    <x v="1"/>
    <x v="0"/>
    <x v="722"/>
  </r>
  <r>
    <x v="985"/>
    <x v="985"/>
    <x v="985"/>
    <x v="7"/>
    <x v="4"/>
    <x v="985"/>
    <x v="0"/>
    <x v="1"/>
    <x v="0"/>
    <x v="723"/>
  </r>
  <r>
    <x v="986"/>
    <x v="986"/>
    <x v="986"/>
    <x v="31"/>
    <x v="101"/>
    <x v="986"/>
    <x v="0"/>
    <x v="1"/>
    <x v="0"/>
    <x v="12"/>
  </r>
  <r>
    <x v="987"/>
    <x v="987"/>
    <x v="987"/>
    <x v="31"/>
    <x v="24"/>
    <x v="987"/>
    <x v="0"/>
    <x v="1"/>
    <x v="0"/>
    <x v="12"/>
  </r>
  <r>
    <x v="988"/>
    <x v="988"/>
    <x v="988"/>
    <x v="31"/>
    <x v="8"/>
    <x v="988"/>
    <x v="0"/>
    <x v="1"/>
    <x v="0"/>
    <x v="12"/>
  </r>
  <r>
    <x v="989"/>
    <x v="989"/>
    <x v="989"/>
    <x v="31"/>
    <x v="35"/>
    <x v="989"/>
    <x v="0"/>
    <x v="1"/>
    <x v="0"/>
    <x v="12"/>
  </r>
  <r>
    <x v="990"/>
    <x v="990"/>
    <x v="990"/>
    <x v="4"/>
    <x v="19"/>
    <x v="990"/>
    <x v="0"/>
    <x v="1"/>
    <x v="0"/>
    <x v="724"/>
  </r>
  <r>
    <x v="991"/>
    <x v="991"/>
    <x v="991"/>
    <x v="26"/>
    <x v="52"/>
    <x v="991"/>
    <x v="0"/>
    <x v="1"/>
    <x v="0"/>
    <x v="725"/>
  </r>
  <r>
    <x v="992"/>
    <x v="992"/>
    <x v="992"/>
    <x v="31"/>
    <x v="105"/>
    <x v="992"/>
    <x v="0"/>
    <x v="1"/>
    <x v="0"/>
    <x v="726"/>
  </r>
  <r>
    <x v="993"/>
    <x v="993"/>
    <x v="993"/>
    <x v="31"/>
    <x v="11"/>
    <x v="993"/>
    <x v="0"/>
    <x v="1"/>
    <x v="0"/>
    <x v="727"/>
  </r>
  <r>
    <x v="994"/>
    <x v="994"/>
    <x v="994"/>
    <x v="31"/>
    <x v="45"/>
    <x v="994"/>
    <x v="0"/>
    <x v="1"/>
    <x v="0"/>
    <x v="728"/>
  </r>
  <r>
    <x v="995"/>
    <x v="995"/>
    <x v="995"/>
    <x v="20"/>
    <x v="75"/>
    <x v="995"/>
    <x v="0"/>
    <x v="1"/>
    <x v="0"/>
    <x v="729"/>
  </r>
  <r>
    <x v="996"/>
    <x v="996"/>
    <x v="996"/>
    <x v="31"/>
    <x v="93"/>
    <x v="996"/>
    <x v="0"/>
    <x v="1"/>
    <x v="0"/>
    <x v="730"/>
  </r>
  <r>
    <x v="997"/>
    <x v="997"/>
    <x v="997"/>
    <x v="14"/>
    <x v="41"/>
    <x v="997"/>
    <x v="0"/>
    <x v="1"/>
    <x v="0"/>
    <x v="731"/>
  </r>
  <r>
    <x v="998"/>
    <x v="998"/>
    <x v="998"/>
    <x v="31"/>
    <x v="52"/>
    <x v="998"/>
    <x v="0"/>
    <x v="1"/>
    <x v="0"/>
    <x v="732"/>
  </r>
  <r>
    <x v="999"/>
    <x v="999"/>
    <x v="999"/>
    <x v="31"/>
    <x v="10"/>
    <x v="999"/>
    <x v="0"/>
    <x v="1"/>
    <x v="0"/>
    <x v="733"/>
  </r>
  <r>
    <x v="1000"/>
    <x v="1000"/>
    <x v="1000"/>
    <x v="31"/>
    <x v="20"/>
    <x v="1000"/>
    <x v="0"/>
    <x v="1"/>
    <x v="0"/>
    <x v="734"/>
  </r>
  <r>
    <x v="1001"/>
    <x v="1001"/>
    <x v="1001"/>
    <x v="31"/>
    <x v="39"/>
    <x v="1001"/>
    <x v="0"/>
    <x v="1"/>
    <x v="0"/>
    <x v="735"/>
  </r>
  <r>
    <x v="1002"/>
    <x v="1002"/>
    <x v="1002"/>
    <x v="31"/>
    <x v="4"/>
    <x v="1002"/>
    <x v="0"/>
    <x v="1"/>
    <x v="0"/>
    <x v="736"/>
  </r>
  <r>
    <x v="1003"/>
    <x v="1003"/>
    <x v="1003"/>
    <x v="31"/>
    <x v="52"/>
    <x v="1003"/>
    <x v="0"/>
    <x v="1"/>
    <x v="0"/>
    <x v="737"/>
  </r>
  <r>
    <x v="1004"/>
    <x v="1004"/>
    <x v="1004"/>
    <x v="31"/>
    <x v="36"/>
    <x v="1004"/>
    <x v="0"/>
    <x v="1"/>
    <x v="0"/>
    <x v="738"/>
  </r>
  <r>
    <x v="1005"/>
    <x v="1005"/>
    <x v="1005"/>
    <x v="31"/>
    <x v="19"/>
    <x v="1005"/>
    <x v="0"/>
    <x v="1"/>
    <x v="0"/>
    <x v="739"/>
  </r>
  <r>
    <x v="1006"/>
    <x v="1006"/>
    <x v="1006"/>
    <x v="31"/>
    <x v="44"/>
    <x v="1006"/>
    <x v="0"/>
    <x v="1"/>
    <x v="0"/>
    <x v="740"/>
  </r>
  <r>
    <x v="1007"/>
    <x v="1007"/>
    <x v="1007"/>
    <x v="31"/>
    <x v="8"/>
    <x v="1007"/>
    <x v="0"/>
    <x v="1"/>
    <x v="0"/>
    <x v="741"/>
  </r>
  <r>
    <x v="1008"/>
    <x v="1008"/>
    <x v="1008"/>
    <x v="31"/>
    <x v="84"/>
    <x v="1008"/>
    <x v="0"/>
    <x v="1"/>
    <x v="0"/>
    <x v="741"/>
  </r>
  <r>
    <x v="1009"/>
    <x v="1009"/>
    <x v="1009"/>
    <x v="8"/>
    <x v="69"/>
    <x v="1009"/>
    <x v="0"/>
    <x v="1"/>
    <x v="0"/>
    <x v="742"/>
  </r>
  <r>
    <x v="1010"/>
    <x v="1010"/>
    <x v="1010"/>
    <x v="31"/>
    <x v="41"/>
    <x v="1010"/>
    <x v="0"/>
    <x v="1"/>
    <x v="0"/>
    <x v="742"/>
  </r>
  <r>
    <x v="1011"/>
    <x v="1011"/>
    <x v="1011"/>
    <x v="31"/>
    <x v="57"/>
    <x v="1011"/>
    <x v="0"/>
    <x v="1"/>
    <x v="0"/>
    <x v="743"/>
  </r>
  <r>
    <x v="1012"/>
    <x v="1012"/>
    <x v="1012"/>
    <x v="31"/>
    <x v="37"/>
    <x v="1012"/>
    <x v="0"/>
    <x v="1"/>
    <x v="0"/>
    <x v="743"/>
  </r>
  <r>
    <x v="1013"/>
    <x v="1013"/>
    <x v="1013"/>
    <x v="31"/>
    <x v="4"/>
    <x v="1013"/>
    <x v="0"/>
    <x v="1"/>
    <x v="0"/>
    <x v="93"/>
  </r>
  <r>
    <x v="1014"/>
    <x v="1014"/>
    <x v="1014"/>
    <x v="31"/>
    <x v="101"/>
    <x v="1014"/>
    <x v="0"/>
    <x v="1"/>
    <x v="0"/>
    <x v="93"/>
  </r>
  <r>
    <x v="1015"/>
    <x v="1015"/>
    <x v="1015"/>
    <x v="31"/>
    <x v="37"/>
    <x v="1015"/>
    <x v="0"/>
    <x v="1"/>
    <x v="0"/>
    <x v="744"/>
  </r>
  <r>
    <x v="1016"/>
    <x v="1016"/>
    <x v="1016"/>
    <x v="31"/>
    <x v="4"/>
    <x v="1016"/>
    <x v="0"/>
    <x v="1"/>
    <x v="0"/>
    <x v="744"/>
  </r>
  <r>
    <x v="1017"/>
    <x v="1017"/>
    <x v="1017"/>
    <x v="31"/>
    <x v="17"/>
    <x v="1017"/>
    <x v="0"/>
    <x v="1"/>
    <x v="0"/>
    <x v="745"/>
  </r>
  <r>
    <x v="1018"/>
    <x v="1018"/>
    <x v="1018"/>
    <x v="31"/>
    <x v="22"/>
    <x v="1018"/>
    <x v="0"/>
    <x v="1"/>
    <x v="0"/>
    <x v="746"/>
  </r>
  <r>
    <x v="1019"/>
    <x v="1019"/>
    <x v="1019"/>
    <x v="7"/>
    <x v="68"/>
    <x v="1019"/>
    <x v="0"/>
    <x v="1"/>
    <x v="0"/>
    <x v="746"/>
  </r>
  <r>
    <x v="1020"/>
    <x v="1020"/>
    <x v="1020"/>
    <x v="24"/>
    <x v="34"/>
    <x v="1020"/>
    <x v="0"/>
    <x v="1"/>
    <x v="0"/>
    <x v="747"/>
  </r>
  <r>
    <x v="1021"/>
    <x v="1021"/>
    <x v="1021"/>
    <x v="31"/>
    <x v="20"/>
    <x v="1021"/>
    <x v="0"/>
    <x v="1"/>
    <x v="0"/>
    <x v="747"/>
  </r>
  <r>
    <x v="1022"/>
    <x v="1022"/>
    <x v="1022"/>
    <x v="31"/>
    <x v="101"/>
    <x v="1022"/>
    <x v="0"/>
    <x v="1"/>
    <x v="0"/>
    <x v="747"/>
  </r>
  <r>
    <x v="1023"/>
    <x v="1023"/>
    <x v="1023"/>
    <x v="31"/>
    <x v="4"/>
    <x v="1023"/>
    <x v="0"/>
    <x v="1"/>
    <x v="0"/>
    <x v="748"/>
  </r>
  <r>
    <x v="1024"/>
    <x v="1024"/>
    <x v="1024"/>
    <x v="31"/>
    <x v="105"/>
    <x v="1024"/>
    <x v="0"/>
    <x v="1"/>
    <x v="0"/>
    <x v="749"/>
  </r>
  <r>
    <x v="1025"/>
    <x v="1025"/>
    <x v="1025"/>
    <x v="31"/>
    <x v="98"/>
    <x v="1025"/>
    <x v="0"/>
    <x v="1"/>
    <x v="0"/>
    <x v="722"/>
  </r>
  <r>
    <x v="1026"/>
    <x v="1026"/>
    <x v="1026"/>
    <x v="4"/>
    <x v="16"/>
    <x v="1026"/>
    <x v="0"/>
    <x v="1"/>
    <x v="0"/>
    <x v="722"/>
  </r>
  <r>
    <x v="1027"/>
    <x v="1027"/>
    <x v="1027"/>
    <x v="17"/>
    <x v="2"/>
    <x v="1027"/>
    <x v="0"/>
    <x v="1"/>
    <x v="0"/>
    <x v="722"/>
  </r>
  <r>
    <x v="1028"/>
    <x v="1028"/>
    <x v="1028"/>
    <x v="31"/>
    <x v="44"/>
    <x v="1028"/>
    <x v="0"/>
    <x v="1"/>
    <x v="0"/>
    <x v="750"/>
  </r>
  <r>
    <x v="1029"/>
    <x v="1029"/>
    <x v="1029"/>
    <x v="1"/>
    <x v="1"/>
    <x v="1029"/>
    <x v="0"/>
    <x v="1"/>
    <x v="0"/>
    <x v="751"/>
  </r>
  <r>
    <x v="1030"/>
    <x v="1030"/>
    <x v="1030"/>
    <x v="1"/>
    <x v="101"/>
    <x v="1030"/>
    <x v="0"/>
    <x v="1"/>
    <x v="0"/>
    <x v="751"/>
  </r>
  <r>
    <x v="1031"/>
    <x v="1031"/>
    <x v="1031"/>
    <x v="22"/>
    <x v="19"/>
    <x v="1031"/>
    <x v="0"/>
    <x v="1"/>
    <x v="0"/>
    <x v="752"/>
  </r>
  <r>
    <x v="1032"/>
    <x v="1032"/>
    <x v="1032"/>
    <x v="31"/>
    <x v="57"/>
    <x v="1032"/>
    <x v="0"/>
    <x v="1"/>
    <x v="0"/>
    <x v="753"/>
  </r>
  <r>
    <x v="1033"/>
    <x v="1033"/>
    <x v="1033"/>
    <x v="31"/>
    <x v="57"/>
    <x v="1033"/>
    <x v="0"/>
    <x v="1"/>
    <x v="0"/>
    <x v="753"/>
  </r>
  <r>
    <x v="1034"/>
    <x v="1034"/>
    <x v="1034"/>
    <x v="31"/>
    <x v="101"/>
    <x v="1034"/>
    <x v="0"/>
    <x v="1"/>
    <x v="0"/>
    <x v="754"/>
  </r>
  <r>
    <x v="1035"/>
    <x v="1035"/>
    <x v="1035"/>
    <x v="29"/>
    <x v="36"/>
    <x v="1035"/>
    <x v="0"/>
    <x v="1"/>
    <x v="0"/>
    <x v="755"/>
  </r>
  <r>
    <x v="1036"/>
    <x v="1036"/>
    <x v="1036"/>
    <x v="21"/>
    <x v="1"/>
    <x v="1036"/>
    <x v="0"/>
    <x v="1"/>
    <x v="0"/>
    <x v="756"/>
  </r>
  <r>
    <x v="1037"/>
    <x v="1037"/>
    <x v="1037"/>
    <x v="29"/>
    <x v="13"/>
    <x v="1037"/>
    <x v="0"/>
    <x v="1"/>
    <x v="0"/>
    <x v="95"/>
  </r>
  <r>
    <x v="1038"/>
    <x v="1038"/>
    <x v="1038"/>
    <x v="3"/>
    <x v="99"/>
    <x v="1038"/>
    <x v="0"/>
    <x v="1"/>
    <x v="0"/>
    <x v="757"/>
  </r>
  <r>
    <x v="1039"/>
    <x v="1039"/>
    <x v="1039"/>
    <x v="8"/>
    <x v="15"/>
    <x v="1039"/>
    <x v="0"/>
    <x v="1"/>
    <x v="0"/>
    <x v="757"/>
  </r>
  <r>
    <x v="1040"/>
    <x v="1040"/>
    <x v="1040"/>
    <x v="8"/>
    <x v="45"/>
    <x v="1040"/>
    <x v="0"/>
    <x v="1"/>
    <x v="0"/>
    <x v="758"/>
  </r>
  <r>
    <x v="1041"/>
    <x v="1041"/>
    <x v="1041"/>
    <x v="5"/>
    <x v="71"/>
    <x v="1041"/>
    <x v="0"/>
    <x v="1"/>
    <x v="0"/>
    <x v="759"/>
  </r>
  <r>
    <x v="1042"/>
    <x v="1042"/>
    <x v="1042"/>
    <x v="7"/>
    <x v="68"/>
    <x v="1042"/>
    <x v="0"/>
    <x v="1"/>
    <x v="0"/>
    <x v="760"/>
  </r>
  <r>
    <x v="1043"/>
    <x v="1043"/>
    <x v="1043"/>
    <x v="31"/>
    <x v="4"/>
    <x v="1043"/>
    <x v="0"/>
    <x v="1"/>
    <x v="0"/>
    <x v="760"/>
  </r>
  <r>
    <x v="1044"/>
    <x v="1044"/>
    <x v="1044"/>
    <x v="31"/>
    <x v="19"/>
    <x v="1044"/>
    <x v="0"/>
    <x v="1"/>
    <x v="0"/>
    <x v="761"/>
  </r>
  <r>
    <x v="1045"/>
    <x v="1045"/>
    <x v="1045"/>
    <x v="7"/>
    <x v="15"/>
    <x v="1045"/>
    <x v="0"/>
    <x v="1"/>
    <x v="0"/>
    <x v="24"/>
  </r>
  <r>
    <x v="1046"/>
    <x v="1046"/>
    <x v="1046"/>
    <x v="31"/>
    <x v="57"/>
    <x v="1046"/>
    <x v="0"/>
    <x v="1"/>
    <x v="0"/>
    <x v="24"/>
  </r>
  <r>
    <x v="1047"/>
    <x v="1047"/>
    <x v="1047"/>
    <x v="17"/>
    <x v="41"/>
    <x v="1047"/>
    <x v="0"/>
    <x v="1"/>
    <x v="0"/>
    <x v="99"/>
  </r>
  <r>
    <x v="1048"/>
    <x v="1048"/>
    <x v="1048"/>
    <x v="3"/>
    <x v="34"/>
    <x v="1048"/>
    <x v="0"/>
    <x v="1"/>
    <x v="0"/>
    <x v="99"/>
  </r>
  <r>
    <x v="1049"/>
    <x v="1049"/>
    <x v="1049"/>
    <x v="8"/>
    <x v="4"/>
    <x v="1049"/>
    <x v="0"/>
    <x v="1"/>
    <x v="0"/>
    <x v="98"/>
  </r>
  <r>
    <x v="1050"/>
    <x v="1050"/>
    <x v="1050"/>
    <x v="5"/>
    <x v="1"/>
    <x v="1050"/>
    <x v="0"/>
    <x v="1"/>
    <x v="0"/>
    <x v="25"/>
  </r>
  <r>
    <x v="1051"/>
    <x v="1051"/>
    <x v="1051"/>
    <x v="5"/>
    <x v="103"/>
    <x v="1051"/>
    <x v="0"/>
    <x v="1"/>
    <x v="0"/>
    <x v="25"/>
  </r>
  <r>
    <x v="1052"/>
    <x v="1052"/>
    <x v="1052"/>
    <x v="22"/>
    <x v="60"/>
    <x v="1052"/>
    <x v="0"/>
    <x v="1"/>
    <x v="0"/>
    <x v="100"/>
  </r>
  <r>
    <x v="1053"/>
    <x v="1053"/>
    <x v="1053"/>
    <x v="31"/>
    <x v="26"/>
    <x v="1053"/>
    <x v="0"/>
    <x v="1"/>
    <x v="0"/>
    <x v="100"/>
  </r>
  <r>
    <x v="1054"/>
    <x v="1054"/>
    <x v="1054"/>
    <x v="31"/>
    <x v="84"/>
    <x v="1054"/>
    <x v="0"/>
    <x v="1"/>
    <x v="0"/>
    <x v="100"/>
  </r>
  <r>
    <x v="1055"/>
    <x v="1055"/>
    <x v="1055"/>
    <x v="12"/>
    <x v="10"/>
    <x v="1055"/>
    <x v="0"/>
    <x v="1"/>
    <x v="0"/>
    <x v="762"/>
  </r>
  <r>
    <x v="1056"/>
    <x v="1056"/>
    <x v="1056"/>
    <x v="14"/>
    <x v="42"/>
    <x v="1056"/>
    <x v="0"/>
    <x v="1"/>
    <x v="0"/>
    <x v="762"/>
  </r>
  <r>
    <x v="1057"/>
    <x v="1057"/>
    <x v="1057"/>
    <x v="31"/>
    <x v="24"/>
    <x v="1057"/>
    <x v="0"/>
    <x v="1"/>
    <x v="0"/>
    <x v="762"/>
  </r>
  <r>
    <x v="1058"/>
    <x v="1058"/>
    <x v="1058"/>
    <x v="22"/>
    <x v="44"/>
    <x v="1058"/>
    <x v="0"/>
    <x v="1"/>
    <x v="0"/>
    <x v="763"/>
  </r>
  <r>
    <x v="1059"/>
    <x v="1059"/>
    <x v="1059"/>
    <x v="4"/>
    <x v="44"/>
    <x v="1059"/>
    <x v="0"/>
    <x v="1"/>
    <x v="0"/>
    <x v="763"/>
  </r>
  <r>
    <x v="1060"/>
    <x v="1060"/>
    <x v="1060"/>
    <x v="31"/>
    <x v="64"/>
    <x v="1060"/>
    <x v="0"/>
    <x v="1"/>
    <x v="0"/>
    <x v="764"/>
  </r>
  <r>
    <x v="1061"/>
    <x v="1061"/>
    <x v="1061"/>
    <x v="2"/>
    <x v="44"/>
    <x v="1061"/>
    <x v="0"/>
    <x v="1"/>
    <x v="0"/>
    <x v="764"/>
  </r>
  <r>
    <x v="1062"/>
    <x v="1062"/>
    <x v="1062"/>
    <x v="9"/>
    <x v="19"/>
    <x v="1062"/>
    <x v="0"/>
    <x v="1"/>
    <x v="0"/>
    <x v="764"/>
  </r>
  <r>
    <x v="1063"/>
    <x v="1063"/>
    <x v="1063"/>
    <x v="8"/>
    <x v="19"/>
    <x v="1063"/>
    <x v="0"/>
    <x v="1"/>
    <x v="0"/>
    <x v="764"/>
  </r>
  <r>
    <x v="1064"/>
    <x v="1064"/>
    <x v="1064"/>
    <x v="7"/>
    <x v="64"/>
    <x v="1064"/>
    <x v="0"/>
    <x v="1"/>
    <x v="0"/>
    <x v="765"/>
  </r>
  <r>
    <x v="1065"/>
    <x v="1065"/>
    <x v="1065"/>
    <x v="17"/>
    <x v="99"/>
    <x v="1065"/>
    <x v="0"/>
    <x v="1"/>
    <x v="0"/>
    <x v="766"/>
  </r>
  <r>
    <x v="1066"/>
    <x v="1066"/>
    <x v="1066"/>
    <x v="8"/>
    <x v="82"/>
    <x v="1066"/>
    <x v="0"/>
    <x v="1"/>
    <x v="0"/>
    <x v="132"/>
  </r>
  <r>
    <x v="1067"/>
    <x v="1067"/>
    <x v="1067"/>
    <x v="29"/>
    <x v="22"/>
    <x v="1067"/>
    <x v="0"/>
    <x v="1"/>
    <x v="0"/>
    <x v="767"/>
  </r>
  <r>
    <x v="1068"/>
    <x v="1068"/>
    <x v="1068"/>
    <x v="21"/>
    <x v="56"/>
    <x v="1068"/>
    <x v="0"/>
    <x v="1"/>
    <x v="0"/>
    <x v="767"/>
  </r>
  <r>
    <x v="1069"/>
    <x v="1069"/>
    <x v="1069"/>
    <x v="21"/>
    <x v="13"/>
    <x v="1069"/>
    <x v="0"/>
    <x v="1"/>
    <x v="0"/>
    <x v="768"/>
  </r>
  <r>
    <x v="1070"/>
    <x v="1070"/>
    <x v="1070"/>
    <x v="31"/>
    <x v="1"/>
    <x v="1070"/>
    <x v="0"/>
    <x v="1"/>
    <x v="0"/>
    <x v="132"/>
  </r>
  <r>
    <x v="1071"/>
    <x v="1071"/>
    <x v="1071"/>
    <x v="3"/>
    <x v="35"/>
    <x v="1071"/>
    <x v="0"/>
    <x v="1"/>
    <x v="0"/>
    <x v="769"/>
  </r>
  <r>
    <x v="1072"/>
    <x v="1072"/>
    <x v="1072"/>
    <x v="22"/>
    <x v="75"/>
    <x v="1072"/>
    <x v="0"/>
    <x v="1"/>
    <x v="0"/>
    <x v="770"/>
  </r>
  <r>
    <x v="1073"/>
    <x v="1073"/>
    <x v="1073"/>
    <x v="23"/>
    <x v="44"/>
    <x v="1073"/>
    <x v="0"/>
    <x v="1"/>
    <x v="0"/>
    <x v="67"/>
  </r>
  <r>
    <x v="1074"/>
    <x v="1074"/>
    <x v="1074"/>
    <x v="3"/>
    <x v="18"/>
    <x v="1074"/>
    <x v="0"/>
    <x v="1"/>
    <x v="0"/>
    <x v="769"/>
  </r>
  <r>
    <x v="1075"/>
    <x v="1075"/>
    <x v="1075"/>
    <x v="16"/>
    <x v="52"/>
    <x v="1075"/>
    <x v="0"/>
    <x v="1"/>
    <x v="0"/>
    <x v="132"/>
  </r>
  <r>
    <x v="1076"/>
    <x v="1076"/>
    <x v="1076"/>
    <x v="4"/>
    <x v="37"/>
    <x v="1076"/>
    <x v="0"/>
    <x v="1"/>
    <x v="0"/>
    <x v="769"/>
  </r>
  <r>
    <x v="1077"/>
    <x v="1077"/>
    <x v="1077"/>
    <x v="3"/>
    <x v="4"/>
    <x v="1077"/>
    <x v="0"/>
    <x v="1"/>
    <x v="0"/>
    <x v="771"/>
  </r>
  <r>
    <x v="1078"/>
    <x v="1078"/>
    <x v="1078"/>
    <x v="24"/>
    <x v="30"/>
    <x v="1078"/>
    <x v="0"/>
    <x v="1"/>
    <x v="0"/>
    <x v="66"/>
  </r>
  <r>
    <x v="1079"/>
    <x v="1079"/>
    <x v="1079"/>
    <x v="4"/>
    <x v="2"/>
    <x v="1079"/>
    <x v="0"/>
    <x v="1"/>
    <x v="0"/>
    <x v="772"/>
  </r>
  <r>
    <x v="1080"/>
    <x v="1080"/>
    <x v="1080"/>
    <x v="4"/>
    <x v="41"/>
    <x v="1080"/>
    <x v="0"/>
    <x v="1"/>
    <x v="0"/>
    <x v="73"/>
  </r>
  <r>
    <x v="1081"/>
    <x v="1081"/>
    <x v="1081"/>
    <x v="27"/>
    <x v="15"/>
    <x v="1081"/>
    <x v="0"/>
    <x v="1"/>
    <x v="0"/>
    <x v="73"/>
  </r>
  <r>
    <x v="1082"/>
    <x v="1082"/>
    <x v="1082"/>
    <x v="11"/>
    <x v="34"/>
    <x v="1082"/>
    <x v="0"/>
    <x v="1"/>
    <x v="0"/>
    <x v="67"/>
  </r>
  <r>
    <x v="1083"/>
    <x v="1083"/>
    <x v="1083"/>
    <x v="10"/>
    <x v="52"/>
    <x v="1083"/>
    <x v="0"/>
    <x v="1"/>
    <x v="0"/>
    <x v="67"/>
  </r>
  <r>
    <x v="1084"/>
    <x v="1084"/>
    <x v="1084"/>
    <x v="8"/>
    <x v="15"/>
    <x v="1084"/>
    <x v="0"/>
    <x v="1"/>
    <x v="0"/>
    <x v="73"/>
  </r>
  <r>
    <x v="1085"/>
    <x v="1085"/>
    <x v="1085"/>
    <x v="25"/>
    <x v="83"/>
    <x v="1085"/>
    <x v="0"/>
    <x v="1"/>
    <x v="0"/>
    <x v="771"/>
  </r>
  <r>
    <x v="1086"/>
    <x v="1086"/>
    <x v="1086"/>
    <x v="29"/>
    <x v="17"/>
    <x v="1086"/>
    <x v="0"/>
    <x v="1"/>
    <x v="0"/>
    <x v="769"/>
  </r>
  <r>
    <x v="1087"/>
    <x v="1087"/>
    <x v="1087"/>
    <x v="12"/>
    <x v="52"/>
    <x v="1087"/>
    <x v="0"/>
    <x v="1"/>
    <x v="0"/>
    <x v="771"/>
  </r>
  <r>
    <x v="1088"/>
    <x v="1088"/>
    <x v="1088"/>
    <x v="5"/>
    <x v="2"/>
    <x v="1088"/>
    <x v="0"/>
    <x v="1"/>
    <x v="0"/>
    <x v="73"/>
  </r>
  <r>
    <x v="1089"/>
    <x v="1089"/>
    <x v="1089"/>
    <x v="20"/>
    <x v="44"/>
    <x v="1089"/>
    <x v="0"/>
    <x v="1"/>
    <x v="0"/>
    <x v="771"/>
  </r>
  <r>
    <x v="1090"/>
    <x v="1090"/>
    <x v="1090"/>
    <x v="1"/>
    <x v="20"/>
    <x v="1090"/>
    <x v="0"/>
    <x v="1"/>
    <x v="0"/>
    <x v="773"/>
  </r>
  <r>
    <x v="1091"/>
    <x v="1091"/>
    <x v="1091"/>
    <x v="9"/>
    <x v="42"/>
    <x v="1091"/>
    <x v="0"/>
    <x v="1"/>
    <x v="0"/>
    <x v="78"/>
  </r>
  <r>
    <x v="1092"/>
    <x v="1092"/>
    <x v="1092"/>
    <x v="31"/>
    <x v="7"/>
    <x v="1092"/>
    <x v="0"/>
    <x v="1"/>
    <x v="0"/>
    <x v="77"/>
  </r>
  <r>
    <x v="1093"/>
    <x v="1093"/>
    <x v="1093"/>
    <x v="1"/>
    <x v="60"/>
    <x v="1093"/>
    <x v="0"/>
    <x v="1"/>
    <x v="0"/>
    <x v="77"/>
  </r>
  <r>
    <x v="1094"/>
    <x v="1094"/>
    <x v="1094"/>
    <x v="22"/>
    <x v="14"/>
    <x v="1094"/>
    <x v="0"/>
    <x v="1"/>
    <x v="0"/>
    <x v="83"/>
  </r>
  <r>
    <x v="1095"/>
    <x v="1095"/>
    <x v="1095"/>
    <x v="12"/>
    <x v="11"/>
    <x v="1095"/>
    <x v="0"/>
    <x v="1"/>
    <x v="0"/>
    <x v="773"/>
  </r>
  <r>
    <x v="1096"/>
    <x v="1096"/>
    <x v="1096"/>
    <x v="3"/>
    <x v="101"/>
    <x v="1096"/>
    <x v="0"/>
    <x v="1"/>
    <x v="0"/>
    <x v="80"/>
  </r>
  <r>
    <x v="1097"/>
    <x v="1097"/>
    <x v="1097"/>
    <x v="11"/>
    <x v="50"/>
    <x v="1097"/>
    <x v="0"/>
    <x v="1"/>
    <x v="0"/>
    <x v="774"/>
  </r>
  <r>
    <x v="1098"/>
    <x v="1098"/>
    <x v="1098"/>
    <x v="27"/>
    <x v="44"/>
    <x v="1098"/>
    <x v="0"/>
    <x v="1"/>
    <x v="0"/>
    <x v="78"/>
  </r>
  <r>
    <x v="1099"/>
    <x v="1099"/>
    <x v="1099"/>
    <x v="4"/>
    <x v="34"/>
    <x v="1099"/>
    <x v="0"/>
    <x v="1"/>
    <x v="0"/>
    <x v="775"/>
  </r>
  <r>
    <x v="1100"/>
    <x v="1100"/>
    <x v="1100"/>
    <x v="14"/>
    <x v="83"/>
    <x v="1100"/>
    <x v="0"/>
    <x v="1"/>
    <x v="0"/>
    <x v="83"/>
  </r>
  <r>
    <x v="1101"/>
    <x v="1101"/>
    <x v="1101"/>
    <x v="31"/>
    <x v="19"/>
    <x v="1101"/>
    <x v="0"/>
    <x v="1"/>
    <x v="0"/>
    <x v="776"/>
  </r>
  <r>
    <x v="1102"/>
    <x v="1102"/>
    <x v="1102"/>
    <x v="2"/>
    <x v="19"/>
    <x v="1102"/>
    <x v="0"/>
    <x v="1"/>
    <x v="0"/>
    <x v="776"/>
  </r>
  <r>
    <x v="1103"/>
    <x v="1103"/>
    <x v="1103"/>
    <x v="1"/>
    <x v="4"/>
    <x v="1103"/>
    <x v="0"/>
    <x v="1"/>
    <x v="0"/>
    <x v="777"/>
  </r>
  <r>
    <x v="1104"/>
    <x v="1104"/>
    <x v="1104"/>
    <x v="9"/>
    <x v="17"/>
    <x v="1104"/>
    <x v="0"/>
    <x v="1"/>
    <x v="0"/>
    <x v="778"/>
  </r>
  <r>
    <x v="1105"/>
    <x v="1105"/>
    <x v="1105"/>
    <x v="17"/>
    <x v="99"/>
    <x v="1105"/>
    <x v="0"/>
    <x v="1"/>
    <x v="0"/>
    <x v="82"/>
  </r>
  <r>
    <x v="1106"/>
    <x v="1106"/>
    <x v="1106"/>
    <x v="3"/>
    <x v="52"/>
    <x v="1106"/>
    <x v="0"/>
    <x v="1"/>
    <x v="0"/>
    <x v="779"/>
  </r>
  <r>
    <x v="1107"/>
    <x v="1107"/>
    <x v="1107"/>
    <x v="31"/>
    <x v="1"/>
    <x v="1107"/>
    <x v="0"/>
    <x v="1"/>
    <x v="0"/>
    <x v="74"/>
  </r>
  <r>
    <x v="1108"/>
    <x v="1108"/>
    <x v="1108"/>
    <x v="30"/>
    <x v="29"/>
    <x v="1108"/>
    <x v="0"/>
    <x v="1"/>
    <x v="0"/>
    <x v="780"/>
  </r>
  <r>
    <x v="1109"/>
    <x v="1109"/>
    <x v="1109"/>
    <x v="15"/>
    <x v="45"/>
    <x v="1109"/>
    <x v="0"/>
    <x v="1"/>
    <x v="0"/>
    <x v="781"/>
  </r>
  <r>
    <x v="1110"/>
    <x v="1110"/>
    <x v="1110"/>
    <x v="24"/>
    <x v="13"/>
    <x v="1110"/>
    <x v="0"/>
    <x v="1"/>
    <x v="0"/>
    <x v="777"/>
  </r>
  <r>
    <x v="1111"/>
    <x v="1111"/>
    <x v="1111"/>
    <x v="22"/>
    <x v="35"/>
    <x v="1111"/>
    <x v="0"/>
    <x v="1"/>
    <x v="0"/>
    <x v="128"/>
  </r>
  <r>
    <x v="1112"/>
    <x v="1112"/>
    <x v="1112"/>
    <x v="31"/>
    <x v="46"/>
    <x v="1112"/>
    <x v="0"/>
    <x v="1"/>
    <x v="0"/>
    <x v="782"/>
  </r>
  <r>
    <x v="1113"/>
    <x v="1113"/>
    <x v="1113"/>
    <x v="22"/>
    <x v="82"/>
    <x v="1113"/>
    <x v="0"/>
    <x v="1"/>
    <x v="0"/>
    <x v="783"/>
  </r>
  <r>
    <x v="1114"/>
    <x v="1114"/>
    <x v="1114"/>
    <x v="12"/>
    <x v="2"/>
    <x v="1114"/>
    <x v="0"/>
    <x v="1"/>
    <x v="0"/>
    <x v="781"/>
  </r>
  <r>
    <x v="1115"/>
    <x v="1115"/>
    <x v="1115"/>
    <x v="17"/>
    <x v="58"/>
    <x v="1115"/>
    <x v="0"/>
    <x v="1"/>
    <x v="0"/>
    <x v="783"/>
  </r>
  <r>
    <x v="1116"/>
    <x v="1116"/>
    <x v="1116"/>
    <x v="4"/>
    <x v="61"/>
    <x v="1116"/>
    <x v="0"/>
    <x v="1"/>
    <x v="0"/>
    <x v="144"/>
  </r>
  <r>
    <x v="1117"/>
    <x v="1117"/>
    <x v="1117"/>
    <x v="19"/>
    <x v="96"/>
    <x v="1117"/>
    <x v="0"/>
    <x v="1"/>
    <x v="0"/>
    <x v="784"/>
  </r>
  <r>
    <x v="1118"/>
    <x v="1118"/>
    <x v="1118"/>
    <x v="12"/>
    <x v="78"/>
    <x v="1118"/>
    <x v="0"/>
    <x v="1"/>
    <x v="0"/>
    <x v="782"/>
  </r>
  <r>
    <x v="1119"/>
    <x v="1119"/>
    <x v="1119"/>
    <x v="6"/>
    <x v="38"/>
    <x v="1119"/>
    <x v="0"/>
    <x v="1"/>
    <x v="0"/>
    <x v="785"/>
  </r>
  <r>
    <x v="1120"/>
    <x v="1120"/>
    <x v="1120"/>
    <x v="8"/>
    <x v="49"/>
    <x v="1120"/>
    <x v="0"/>
    <x v="1"/>
    <x v="0"/>
    <x v="786"/>
  </r>
  <r>
    <x v="1121"/>
    <x v="1121"/>
    <x v="1121"/>
    <x v="1"/>
    <x v="103"/>
    <x v="1121"/>
    <x v="0"/>
    <x v="1"/>
    <x v="0"/>
    <x v="787"/>
  </r>
  <r>
    <x v="1122"/>
    <x v="1122"/>
    <x v="1122"/>
    <x v="26"/>
    <x v="78"/>
    <x v="1122"/>
    <x v="0"/>
    <x v="1"/>
    <x v="0"/>
    <x v="788"/>
  </r>
  <r>
    <x v="1123"/>
    <x v="1123"/>
    <x v="1123"/>
    <x v="12"/>
    <x v="51"/>
    <x v="1123"/>
    <x v="0"/>
    <x v="1"/>
    <x v="0"/>
    <x v="146"/>
  </r>
  <r>
    <x v="1124"/>
    <x v="1124"/>
    <x v="1124"/>
    <x v="7"/>
    <x v="49"/>
    <x v="1124"/>
    <x v="0"/>
    <x v="1"/>
    <x v="0"/>
    <x v="151"/>
  </r>
  <r>
    <x v="1125"/>
    <x v="1125"/>
    <x v="1125"/>
    <x v="8"/>
    <x v="71"/>
    <x v="1125"/>
    <x v="0"/>
    <x v="1"/>
    <x v="0"/>
    <x v="789"/>
  </r>
  <r>
    <x v="1126"/>
    <x v="1126"/>
    <x v="1126"/>
    <x v="17"/>
    <x v="8"/>
    <x v="1126"/>
    <x v="0"/>
    <x v="1"/>
    <x v="0"/>
    <x v="790"/>
  </r>
  <r>
    <x v="1127"/>
    <x v="1127"/>
    <x v="1127"/>
    <x v="3"/>
    <x v="20"/>
    <x v="1127"/>
    <x v="0"/>
    <x v="1"/>
    <x v="0"/>
    <x v="152"/>
  </r>
  <r>
    <x v="1128"/>
    <x v="1128"/>
    <x v="1128"/>
    <x v="14"/>
    <x v="45"/>
    <x v="1128"/>
    <x v="0"/>
    <x v="1"/>
    <x v="0"/>
    <x v="791"/>
  </r>
  <r>
    <x v="1129"/>
    <x v="1129"/>
    <x v="1129"/>
    <x v="30"/>
    <x v="4"/>
    <x v="1129"/>
    <x v="0"/>
    <x v="1"/>
    <x v="0"/>
    <x v="141"/>
  </r>
  <r>
    <x v="1130"/>
    <x v="1130"/>
    <x v="1130"/>
    <x v="17"/>
    <x v="36"/>
    <x v="1130"/>
    <x v="0"/>
    <x v="1"/>
    <x v="0"/>
    <x v="141"/>
  </r>
  <r>
    <x v="1131"/>
    <x v="1131"/>
    <x v="1131"/>
    <x v="3"/>
    <x v="28"/>
    <x v="1131"/>
    <x v="0"/>
    <x v="1"/>
    <x v="0"/>
    <x v="150"/>
  </r>
  <r>
    <x v="1132"/>
    <x v="1132"/>
    <x v="1132"/>
    <x v="8"/>
    <x v="28"/>
    <x v="1132"/>
    <x v="0"/>
    <x v="1"/>
    <x v="0"/>
    <x v="157"/>
  </r>
  <r>
    <x v="1133"/>
    <x v="1133"/>
    <x v="1133"/>
    <x v="12"/>
    <x v="96"/>
    <x v="1133"/>
    <x v="0"/>
    <x v="1"/>
    <x v="0"/>
    <x v="154"/>
  </r>
  <r>
    <x v="1134"/>
    <x v="1134"/>
    <x v="1134"/>
    <x v="11"/>
    <x v="44"/>
    <x v="1134"/>
    <x v="0"/>
    <x v="1"/>
    <x v="0"/>
    <x v="160"/>
  </r>
  <r>
    <x v="1135"/>
    <x v="1135"/>
    <x v="1135"/>
    <x v="7"/>
    <x v="64"/>
    <x v="1135"/>
    <x v="0"/>
    <x v="1"/>
    <x v="0"/>
    <x v="162"/>
  </r>
  <r>
    <x v="1136"/>
    <x v="1136"/>
    <x v="1136"/>
    <x v="14"/>
    <x v="17"/>
    <x v="1136"/>
    <x v="0"/>
    <x v="1"/>
    <x v="0"/>
    <x v="159"/>
  </r>
  <r>
    <x v="1137"/>
    <x v="1137"/>
    <x v="1137"/>
    <x v="13"/>
    <x v="36"/>
    <x v="1137"/>
    <x v="0"/>
    <x v="1"/>
    <x v="0"/>
    <x v="161"/>
  </r>
  <r>
    <x v="1138"/>
    <x v="1138"/>
    <x v="1138"/>
    <x v="15"/>
    <x v="77"/>
    <x v="1138"/>
    <x v="0"/>
    <x v="1"/>
    <x v="0"/>
    <x v="792"/>
  </r>
  <r>
    <x v="1139"/>
    <x v="1139"/>
    <x v="1139"/>
    <x v="12"/>
    <x v="22"/>
    <x v="1139"/>
    <x v="0"/>
    <x v="1"/>
    <x v="0"/>
    <x v="792"/>
  </r>
  <r>
    <x v="1140"/>
    <x v="1140"/>
    <x v="1140"/>
    <x v="12"/>
    <x v="20"/>
    <x v="1140"/>
    <x v="0"/>
    <x v="1"/>
    <x v="0"/>
    <x v="792"/>
  </r>
  <r>
    <x v="1141"/>
    <x v="1141"/>
    <x v="1141"/>
    <x v="28"/>
    <x v="44"/>
    <x v="1141"/>
    <x v="0"/>
    <x v="1"/>
    <x v="0"/>
    <x v="793"/>
  </r>
  <r>
    <x v="1142"/>
    <x v="1142"/>
    <x v="1142"/>
    <x v="24"/>
    <x v="82"/>
    <x v="1142"/>
    <x v="0"/>
    <x v="1"/>
    <x v="0"/>
    <x v="168"/>
  </r>
  <r>
    <x v="1143"/>
    <x v="1143"/>
    <x v="1143"/>
    <x v="12"/>
    <x v="36"/>
    <x v="1143"/>
    <x v="0"/>
    <x v="1"/>
    <x v="0"/>
    <x v="177"/>
  </r>
  <r>
    <x v="1144"/>
    <x v="1144"/>
    <x v="1144"/>
    <x v="8"/>
    <x v="25"/>
    <x v="1144"/>
    <x v="0"/>
    <x v="1"/>
    <x v="0"/>
    <x v="173"/>
  </r>
  <r>
    <x v="1145"/>
    <x v="1145"/>
    <x v="1145"/>
    <x v="1"/>
    <x v="1"/>
    <x v="1145"/>
    <x v="0"/>
    <x v="1"/>
    <x v="0"/>
    <x v="40"/>
  </r>
  <r>
    <x v="1146"/>
    <x v="1146"/>
    <x v="1146"/>
    <x v="25"/>
    <x v="83"/>
    <x v="1146"/>
    <x v="0"/>
    <x v="1"/>
    <x v="0"/>
    <x v="41"/>
  </r>
  <r>
    <x v="1147"/>
    <x v="1147"/>
    <x v="1147"/>
    <x v="7"/>
    <x v="48"/>
    <x v="1147"/>
    <x v="0"/>
    <x v="1"/>
    <x v="0"/>
    <x v="176"/>
  </r>
  <r>
    <x v="1148"/>
    <x v="1148"/>
    <x v="1148"/>
    <x v="3"/>
    <x v="82"/>
    <x v="1148"/>
    <x v="0"/>
    <x v="1"/>
    <x v="0"/>
    <x v="401"/>
  </r>
  <r>
    <x v="1149"/>
    <x v="1149"/>
    <x v="1149"/>
    <x v="4"/>
    <x v="17"/>
    <x v="1149"/>
    <x v="0"/>
    <x v="1"/>
    <x v="0"/>
    <x v="178"/>
  </r>
  <r>
    <x v="1150"/>
    <x v="1150"/>
    <x v="1150"/>
    <x v="8"/>
    <x v="3"/>
    <x v="1150"/>
    <x v="0"/>
    <x v="1"/>
    <x v="0"/>
    <x v="187"/>
  </r>
  <r>
    <x v="1151"/>
    <x v="1151"/>
    <x v="1151"/>
    <x v="8"/>
    <x v="2"/>
    <x v="1151"/>
    <x v="0"/>
    <x v="1"/>
    <x v="0"/>
    <x v="65"/>
  </r>
  <r>
    <x v="1152"/>
    <x v="1152"/>
    <x v="1152"/>
    <x v="8"/>
    <x v="54"/>
    <x v="1152"/>
    <x v="0"/>
    <x v="1"/>
    <x v="0"/>
    <x v="794"/>
  </r>
  <r>
    <x v="1153"/>
    <x v="1153"/>
    <x v="1153"/>
    <x v="24"/>
    <x v="52"/>
    <x v="1153"/>
    <x v="0"/>
    <x v="1"/>
    <x v="0"/>
    <x v="764"/>
  </r>
  <r>
    <x v="1154"/>
    <x v="1154"/>
    <x v="1154"/>
    <x v="17"/>
    <x v="15"/>
    <x v="1154"/>
    <x v="0"/>
    <x v="1"/>
    <x v="0"/>
    <x v="105"/>
  </r>
  <r>
    <x v="1155"/>
    <x v="1155"/>
    <x v="1155"/>
    <x v="22"/>
    <x v="15"/>
    <x v="1155"/>
    <x v="0"/>
    <x v="1"/>
    <x v="0"/>
    <x v="105"/>
  </r>
  <r>
    <x v="1156"/>
    <x v="1156"/>
    <x v="1156"/>
    <x v="10"/>
    <x v="41"/>
    <x v="1156"/>
    <x v="0"/>
    <x v="1"/>
    <x v="0"/>
    <x v="105"/>
  </r>
  <r>
    <x v="1157"/>
    <x v="1157"/>
    <x v="1157"/>
    <x v="12"/>
    <x v="102"/>
    <x v="1157"/>
    <x v="0"/>
    <x v="1"/>
    <x v="0"/>
    <x v="105"/>
  </r>
  <r>
    <x v="1158"/>
    <x v="1158"/>
    <x v="1158"/>
    <x v="3"/>
    <x v="20"/>
    <x v="1158"/>
    <x v="0"/>
    <x v="1"/>
    <x v="0"/>
    <x v="105"/>
  </r>
  <r>
    <x v="1159"/>
    <x v="1159"/>
    <x v="1159"/>
    <x v="12"/>
    <x v="51"/>
    <x v="1159"/>
    <x v="0"/>
    <x v="1"/>
    <x v="0"/>
    <x v="105"/>
  </r>
  <r>
    <x v="1160"/>
    <x v="1160"/>
    <x v="1160"/>
    <x v="6"/>
    <x v="77"/>
    <x v="1160"/>
    <x v="0"/>
    <x v="1"/>
    <x v="0"/>
    <x v="104"/>
  </r>
  <r>
    <x v="1161"/>
    <x v="1161"/>
    <x v="1161"/>
    <x v="14"/>
    <x v="64"/>
    <x v="1161"/>
    <x v="0"/>
    <x v="1"/>
    <x v="0"/>
    <x v="104"/>
  </r>
  <r>
    <x v="1162"/>
    <x v="1162"/>
    <x v="1162"/>
    <x v="13"/>
    <x v="40"/>
    <x v="1162"/>
    <x v="0"/>
    <x v="1"/>
    <x v="0"/>
    <x v="104"/>
  </r>
  <r>
    <x v="1163"/>
    <x v="1163"/>
    <x v="1163"/>
    <x v="29"/>
    <x v="12"/>
    <x v="1163"/>
    <x v="0"/>
    <x v="1"/>
    <x v="0"/>
    <x v="104"/>
  </r>
  <r>
    <x v="1164"/>
    <x v="1164"/>
    <x v="1164"/>
    <x v="10"/>
    <x v="36"/>
    <x v="1164"/>
    <x v="0"/>
    <x v="1"/>
    <x v="0"/>
    <x v="795"/>
  </r>
  <r>
    <x v="1165"/>
    <x v="1165"/>
    <x v="1165"/>
    <x v="8"/>
    <x v="44"/>
    <x v="1165"/>
    <x v="0"/>
    <x v="1"/>
    <x v="0"/>
    <x v="795"/>
  </r>
  <r>
    <x v="1166"/>
    <x v="1166"/>
    <x v="1166"/>
    <x v="22"/>
    <x v="38"/>
    <x v="1166"/>
    <x v="0"/>
    <x v="1"/>
    <x v="0"/>
    <x v="796"/>
  </r>
  <r>
    <x v="1167"/>
    <x v="1167"/>
    <x v="1167"/>
    <x v="31"/>
    <x v="22"/>
    <x v="1167"/>
    <x v="0"/>
    <x v="1"/>
    <x v="0"/>
    <x v="796"/>
  </r>
  <r>
    <x v="1168"/>
    <x v="1168"/>
    <x v="1168"/>
    <x v="13"/>
    <x v="53"/>
    <x v="1168"/>
    <x v="0"/>
    <x v="1"/>
    <x v="0"/>
    <x v="796"/>
  </r>
  <r>
    <x v="1169"/>
    <x v="1169"/>
    <x v="1169"/>
    <x v="31"/>
    <x v="57"/>
    <x v="1169"/>
    <x v="0"/>
    <x v="1"/>
    <x v="0"/>
    <x v="796"/>
  </r>
  <r>
    <x v="1170"/>
    <x v="1170"/>
    <x v="1170"/>
    <x v="31"/>
    <x v="9"/>
    <x v="1170"/>
    <x v="0"/>
    <x v="1"/>
    <x v="0"/>
    <x v="796"/>
  </r>
  <r>
    <x v="1171"/>
    <x v="1171"/>
    <x v="1171"/>
    <x v="31"/>
    <x v="8"/>
    <x v="1171"/>
    <x v="0"/>
    <x v="1"/>
    <x v="0"/>
    <x v="796"/>
  </r>
  <r>
    <x v="1172"/>
    <x v="1172"/>
    <x v="1172"/>
    <x v="24"/>
    <x v="21"/>
    <x v="1172"/>
    <x v="0"/>
    <x v="1"/>
    <x v="0"/>
    <x v="796"/>
  </r>
  <r>
    <x v="1173"/>
    <x v="1173"/>
    <x v="1173"/>
    <x v="31"/>
    <x v="35"/>
    <x v="1173"/>
    <x v="0"/>
    <x v="1"/>
    <x v="0"/>
    <x v="797"/>
  </r>
  <r>
    <x v="1174"/>
    <x v="1174"/>
    <x v="1174"/>
    <x v="31"/>
    <x v="1"/>
    <x v="1174"/>
    <x v="0"/>
    <x v="1"/>
    <x v="0"/>
    <x v="797"/>
  </r>
  <r>
    <x v="1175"/>
    <x v="1175"/>
    <x v="1175"/>
    <x v="31"/>
    <x v="44"/>
    <x v="1175"/>
    <x v="0"/>
    <x v="1"/>
    <x v="0"/>
    <x v="797"/>
  </r>
  <r>
    <x v="1176"/>
    <x v="1176"/>
    <x v="1176"/>
    <x v="31"/>
    <x v="58"/>
    <x v="1176"/>
    <x v="0"/>
    <x v="1"/>
    <x v="0"/>
    <x v="797"/>
  </r>
  <r>
    <x v="1177"/>
    <x v="1177"/>
    <x v="1177"/>
    <x v="31"/>
    <x v="35"/>
    <x v="1177"/>
    <x v="0"/>
    <x v="1"/>
    <x v="0"/>
    <x v="797"/>
  </r>
  <r>
    <x v="1178"/>
    <x v="1178"/>
    <x v="1178"/>
    <x v="31"/>
    <x v="86"/>
    <x v="1178"/>
    <x v="0"/>
    <x v="1"/>
    <x v="0"/>
    <x v="797"/>
  </r>
  <r>
    <x v="1179"/>
    <x v="1179"/>
    <x v="1179"/>
    <x v="7"/>
    <x v="44"/>
    <x v="1179"/>
    <x v="0"/>
    <x v="1"/>
    <x v="0"/>
    <x v="798"/>
  </r>
  <r>
    <x v="1180"/>
    <x v="1180"/>
    <x v="1180"/>
    <x v="29"/>
    <x v="18"/>
    <x v="1180"/>
    <x v="0"/>
    <x v="1"/>
    <x v="0"/>
    <x v="798"/>
  </r>
  <r>
    <x v="1181"/>
    <x v="1181"/>
    <x v="1181"/>
    <x v="8"/>
    <x v="22"/>
    <x v="1181"/>
    <x v="0"/>
    <x v="1"/>
    <x v="0"/>
    <x v="798"/>
  </r>
  <r>
    <x v="1182"/>
    <x v="1182"/>
    <x v="1182"/>
    <x v="21"/>
    <x v="37"/>
    <x v="1182"/>
    <x v="0"/>
    <x v="1"/>
    <x v="0"/>
    <x v="798"/>
  </r>
  <r>
    <x v="1183"/>
    <x v="1183"/>
    <x v="1183"/>
    <x v="31"/>
    <x v="18"/>
    <x v="1183"/>
    <x v="0"/>
    <x v="1"/>
    <x v="0"/>
    <x v="798"/>
  </r>
  <r>
    <x v="1184"/>
    <x v="1184"/>
    <x v="1184"/>
    <x v="31"/>
    <x v="105"/>
    <x v="1184"/>
    <x v="0"/>
    <x v="1"/>
    <x v="0"/>
    <x v="798"/>
  </r>
  <r>
    <x v="1185"/>
    <x v="1185"/>
    <x v="1185"/>
    <x v="31"/>
    <x v="6"/>
    <x v="1185"/>
    <x v="0"/>
    <x v="1"/>
    <x v="0"/>
    <x v="798"/>
  </r>
  <r>
    <x v="1186"/>
    <x v="1186"/>
    <x v="1186"/>
    <x v="31"/>
    <x v="70"/>
    <x v="1186"/>
    <x v="0"/>
    <x v="1"/>
    <x v="0"/>
    <x v="798"/>
  </r>
  <r>
    <x v="1187"/>
    <x v="1187"/>
    <x v="1187"/>
    <x v="31"/>
    <x v="39"/>
    <x v="1187"/>
    <x v="0"/>
    <x v="1"/>
    <x v="0"/>
    <x v="798"/>
  </r>
  <r>
    <x v="1188"/>
    <x v="1188"/>
    <x v="1188"/>
    <x v="31"/>
    <x v="44"/>
    <x v="1188"/>
    <x v="0"/>
    <x v="1"/>
    <x v="0"/>
    <x v="798"/>
  </r>
  <r>
    <x v="1189"/>
    <x v="1189"/>
    <x v="1189"/>
    <x v="7"/>
    <x v="10"/>
    <x v="1189"/>
    <x v="0"/>
    <x v="1"/>
    <x v="0"/>
    <x v="799"/>
  </r>
  <r>
    <x v="1190"/>
    <x v="1190"/>
    <x v="1190"/>
    <x v="31"/>
    <x v="19"/>
    <x v="1190"/>
    <x v="0"/>
    <x v="1"/>
    <x v="0"/>
    <x v="799"/>
  </r>
  <r>
    <x v="1191"/>
    <x v="1191"/>
    <x v="1191"/>
    <x v="31"/>
    <x v="104"/>
    <x v="1191"/>
    <x v="0"/>
    <x v="1"/>
    <x v="0"/>
    <x v="799"/>
  </r>
  <r>
    <x v="1192"/>
    <x v="1192"/>
    <x v="1192"/>
    <x v="3"/>
    <x v="52"/>
    <x v="1192"/>
    <x v="0"/>
    <x v="1"/>
    <x v="0"/>
    <x v="799"/>
  </r>
  <r>
    <x v="1193"/>
    <x v="1193"/>
    <x v="1193"/>
    <x v="31"/>
    <x v="2"/>
    <x v="1193"/>
    <x v="0"/>
    <x v="1"/>
    <x v="0"/>
    <x v="799"/>
  </r>
  <r>
    <x v="1194"/>
    <x v="1194"/>
    <x v="1194"/>
    <x v="31"/>
    <x v="8"/>
    <x v="1194"/>
    <x v="0"/>
    <x v="1"/>
    <x v="0"/>
    <x v="799"/>
  </r>
  <r>
    <x v="1195"/>
    <x v="1195"/>
    <x v="1195"/>
    <x v="20"/>
    <x v="7"/>
    <x v="1195"/>
    <x v="0"/>
    <x v="1"/>
    <x v="0"/>
    <x v="800"/>
  </r>
  <r>
    <x v="1196"/>
    <x v="1196"/>
    <x v="1196"/>
    <x v="31"/>
    <x v="101"/>
    <x v="1196"/>
    <x v="0"/>
    <x v="1"/>
    <x v="0"/>
    <x v="800"/>
  </r>
  <r>
    <x v="1197"/>
    <x v="1197"/>
    <x v="1197"/>
    <x v="31"/>
    <x v="2"/>
    <x v="1197"/>
    <x v="0"/>
    <x v="1"/>
    <x v="0"/>
    <x v="800"/>
  </r>
  <r>
    <x v="1198"/>
    <x v="1198"/>
    <x v="1198"/>
    <x v="31"/>
    <x v="36"/>
    <x v="1198"/>
    <x v="0"/>
    <x v="1"/>
    <x v="0"/>
    <x v="801"/>
  </r>
  <r>
    <x v="1199"/>
    <x v="1199"/>
    <x v="1199"/>
    <x v="29"/>
    <x v="8"/>
    <x v="1199"/>
    <x v="0"/>
    <x v="1"/>
    <x v="0"/>
    <x v="801"/>
  </r>
  <r>
    <x v="1200"/>
    <x v="1200"/>
    <x v="1200"/>
    <x v="3"/>
    <x v="10"/>
    <x v="1200"/>
    <x v="0"/>
    <x v="1"/>
    <x v="0"/>
    <x v="802"/>
  </r>
  <r>
    <x v="1201"/>
    <x v="1201"/>
    <x v="1201"/>
    <x v="1"/>
    <x v="53"/>
    <x v="1201"/>
    <x v="0"/>
    <x v="1"/>
    <x v="0"/>
    <x v="802"/>
  </r>
  <r>
    <x v="1202"/>
    <x v="1202"/>
    <x v="1202"/>
    <x v="8"/>
    <x v="44"/>
    <x v="1202"/>
    <x v="0"/>
    <x v="1"/>
    <x v="0"/>
    <x v="802"/>
  </r>
  <r>
    <x v="1203"/>
    <x v="1203"/>
    <x v="1203"/>
    <x v="12"/>
    <x v="44"/>
    <x v="1203"/>
    <x v="0"/>
    <x v="1"/>
    <x v="0"/>
    <x v="803"/>
  </r>
  <r>
    <x v="1204"/>
    <x v="1204"/>
    <x v="1204"/>
    <x v="1"/>
    <x v="44"/>
    <x v="1204"/>
    <x v="0"/>
    <x v="1"/>
    <x v="0"/>
    <x v="803"/>
  </r>
  <r>
    <x v="1205"/>
    <x v="1205"/>
    <x v="1205"/>
    <x v="1"/>
    <x v="53"/>
    <x v="1205"/>
    <x v="0"/>
    <x v="1"/>
    <x v="0"/>
    <x v="803"/>
  </r>
  <r>
    <x v="1206"/>
    <x v="1206"/>
    <x v="1206"/>
    <x v="1"/>
    <x v="44"/>
    <x v="1206"/>
    <x v="0"/>
    <x v="1"/>
    <x v="0"/>
    <x v="804"/>
  </r>
  <r>
    <x v="1207"/>
    <x v="1207"/>
    <x v="1207"/>
    <x v="3"/>
    <x v="78"/>
    <x v="1207"/>
    <x v="0"/>
    <x v="1"/>
    <x v="0"/>
    <x v="804"/>
  </r>
  <r>
    <x v="1208"/>
    <x v="1208"/>
    <x v="1208"/>
    <x v="18"/>
    <x v="17"/>
    <x v="1208"/>
    <x v="0"/>
    <x v="1"/>
    <x v="0"/>
    <x v="804"/>
  </r>
  <r>
    <x v="1209"/>
    <x v="1209"/>
    <x v="1209"/>
    <x v="29"/>
    <x v="39"/>
    <x v="1209"/>
    <x v="0"/>
    <x v="1"/>
    <x v="0"/>
    <x v="805"/>
  </r>
  <r>
    <x v="1210"/>
    <x v="1210"/>
    <x v="1210"/>
    <x v="8"/>
    <x v="44"/>
    <x v="1210"/>
    <x v="0"/>
    <x v="1"/>
    <x v="0"/>
    <x v="805"/>
  </r>
  <r>
    <x v="1211"/>
    <x v="1211"/>
    <x v="1211"/>
    <x v="5"/>
    <x v="50"/>
    <x v="1211"/>
    <x v="0"/>
    <x v="1"/>
    <x v="0"/>
    <x v="806"/>
  </r>
  <r>
    <x v="1212"/>
    <x v="1212"/>
    <x v="1212"/>
    <x v="2"/>
    <x v="34"/>
    <x v="1212"/>
    <x v="0"/>
    <x v="1"/>
    <x v="0"/>
    <x v="807"/>
  </r>
  <r>
    <x v="1213"/>
    <x v="1213"/>
    <x v="1213"/>
    <x v="5"/>
    <x v="2"/>
    <x v="1213"/>
    <x v="0"/>
    <x v="1"/>
    <x v="0"/>
    <x v="33"/>
  </r>
  <r>
    <x v="1214"/>
    <x v="1214"/>
    <x v="1214"/>
    <x v="16"/>
    <x v="7"/>
    <x v="1214"/>
    <x v="0"/>
    <x v="1"/>
    <x v="0"/>
    <x v="808"/>
  </r>
  <r>
    <x v="1215"/>
    <x v="1215"/>
    <x v="1215"/>
    <x v="1"/>
    <x v="96"/>
    <x v="1215"/>
    <x v="0"/>
    <x v="1"/>
    <x v="0"/>
    <x v="809"/>
  </r>
  <r>
    <x v="1216"/>
    <x v="1216"/>
    <x v="1216"/>
    <x v="5"/>
    <x v="50"/>
    <x v="1216"/>
    <x v="0"/>
    <x v="1"/>
    <x v="0"/>
    <x v="810"/>
  </r>
  <r>
    <x v="1217"/>
    <x v="1217"/>
    <x v="1217"/>
    <x v="30"/>
    <x v="50"/>
    <x v="1217"/>
    <x v="0"/>
    <x v="1"/>
    <x v="0"/>
    <x v="811"/>
  </r>
  <r>
    <x v="1218"/>
    <x v="1218"/>
    <x v="1218"/>
    <x v="24"/>
    <x v="3"/>
    <x v="1218"/>
    <x v="0"/>
    <x v="1"/>
    <x v="0"/>
    <x v="812"/>
  </r>
  <r>
    <x v="1219"/>
    <x v="1219"/>
    <x v="1219"/>
    <x v="7"/>
    <x v="7"/>
    <x v="1219"/>
    <x v="0"/>
    <x v="1"/>
    <x v="0"/>
    <x v="813"/>
  </r>
  <r>
    <x v="1220"/>
    <x v="1220"/>
    <x v="1220"/>
    <x v="13"/>
    <x v="9"/>
    <x v="1220"/>
    <x v="0"/>
    <x v="1"/>
    <x v="0"/>
    <x v="814"/>
  </r>
  <r>
    <x v="1221"/>
    <x v="1221"/>
    <x v="1221"/>
    <x v="20"/>
    <x v="99"/>
    <x v="1221"/>
    <x v="0"/>
    <x v="1"/>
    <x v="0"/>
    <x v="815"/>
  </r>
  <r>
    <x v="1222"/>
    <x v="1222"/>
    <x v="1222"/>
    <x v="17"/>
    <x v="78"/>
    <x v="1222"/>
    <x v="0"/>
    <x v="1"/>
    <x v="0"/>
    <x v="816"/>
  </r>
  <r>
    <x v="1223"/>
    <x v="1223"/>
    <x v="1223"/>
    <x v="7"/>
    <x v="70"/>
    <x v="1223"/>
    <x v="0"/>
    <x v="1"/>
    <x v="0"/>
    <x v="816"/>
  </r>
  <r>
    <x v="1224"/>
    <x v="1224"/>
    <x v="1224"/>
    <x v="2"/>
    <x v="15"/>
    <x v="1224"/>
    <x v="0"/>
    <x v="1"/>
    <x v="0"/>
    <x v="816"/>
  </r>
  <r>
    <x v="1225"/>
    <x v="1225"/>
    <x v="1225"/>
    <x v="31"/>
    <x v="100"/>
    <x v="1225"/>
    <x v="0"/>
    <x v="1"/>
    <x v="0"/>
    <x v="817"/>
  </r>
  <r>
    <x v="1226"/>
    <x v="1226"/>
    <x v="1226"/>
    <x v="25"/>
    <x v="81"/>
    <x v="1226"/>
    <x v="0"/>
    <x v="1"/>
    <x v="0"/>
    <x v="818"/>
  </r>
  <r>
    <x v="1227"/>
    <x v="1227"/>
    <x v="1227"/>
    <x v="8"/>
    <x v="7"/>
    <x v="1227"/>
    <x v="0"/>
    <x v="1"/>
    <x v="0"/>
    <x v="819"/>
  </r>
  <r>
    <x v="1228"/>
    <x v="1228"/>
    <x v="1228"/>
    <x v="17"/>
    <x v="7"/>
    <x v="1228"/>
    <x v="0"/>
    <x v="1"/>
    <x v="0"/>
    <x v="820"/>
  </r>
  <r>
    <x v="1229"/>
    <x v="1229"/>
    <x v="1229"/>
    <x v="1"/>
    <x v="68"/>
    <x v="1229"/>
    <x v="0"/>
    <x v="1"/>
    <x v="0"/>
    <x v="821"/>
  </r>
  <r>
    <x v="1230"/>
    <x v="1230"/>
    <x v="1230"/>
    <x v="18"/>
    <x v="100"/>
    <x v="1230"/>
    <x v="0"/>
    <x v="1"/>
    <x v="0"/>
    <x v="126"/>
  </r>
  <r>
    <x v="1231"/>
    <x v="1231"/>
    <x v="1231"/>
    <x v="11"/>
    <x v="71"/>
    <x v="1231"/>
    <x v="0"/>
    <x v="1"/>
    <x v="0"/>
    <x v="822"/>
  </r>
  <r>
    <x v="1232"/>
    <x v="1232"/>
    <x v="1232"/>
    <x v="3"/>
    <x v="40"/>
    <x v="1232"/>
    <x v="0"/>
    <x v="1"/>
    <x v="0"/>
    <x v="122"/>
  </r>
  <r>
    <x v="1233"/>
    <x v="1233"/>
    <x v="1233"/>
    <x v="0"/>
    <x v="37"/>
    <x v="1233"/>
    <x v="0"/>
    <x v="1"/>
    <x v="0"/>
    <x v="823"/>
  </r>
  <r>
    <x v="1234"/>
    <x v="1234"/>
    <x v="1234"/>
    <x v="21"/>
    <x v="78"/>
    <x v="1234"/>
    <x v="0"/>
    <x v="1"/>
    <x v="0"/>
    <x v="824"/>
  </r>
  <r>
    <x v="1235"/>
    <x v="1235"/>
    <x v="1235"/>
    <x v="5"/>
    <x v="6"/>
    <x v="1235"/>
    <x v="0"/>
    <x v="1"/>
    <x v="0"/>
    <x v="825"/>
  </r>
  <r>
    <x v="1236"/>
    <x v="1236"/>
    <x v="1236"/>
    <x v="31"/>
    <x v="101"/>
    <x v="1236"/>
    <x v="0"/>
    <x v="1"/>
    <x v="0"/>
    <x v="826"/>
  </r>
  <r>
    <x v="1237"/>
    <x v="1237"/>
    <x v="1237"/>
    <x v="22"/>
    <x v="31"/>
    <x v="1237"/>
    <x v="0"/>
    <x v="1"/>
    <x v="0"/>
    <x v="770"/>
  </r>
  <r>
    <x v="1238"/>
    <x v="1238"/>
    <x v="1238"/>
    <x v="12"/>
    <x v="28"/>
    <x v="1238"/>
    <x v="0"/>
    <x v="1"/>
    <x v="0"/>
    <x v="827"/>
  </r>
  <r>
    <x v="1239"/>
    <x v="1239"/>
    <x v="1239"/>
    <x v="1"/>
    <x v="68"/>
    <x v="1239"/>
    <x v="0"/>
    <x v="1"/>
    <x v="0"/>
    <x v="828"/>
  </r>
  <r>
    <x v="1240"/>
    <x v="1240"/>
    <x v="1240"/>
    <x v="3"/>
    <x v="22"/>
    <x v="1240"/>
    <x v="0"/>
    <x v="1"/>
    <x v="0"/>
    <x v="829"/>
  </r>
  <r>
    <x v="1241"/>
    <x v="1241"/>
    <x v="1241"/>
    <x v="26"/>
    <x v="41"/>
    <x v="1241"/>
    <x v="0"/>
    <x v="1"/>
    <x v="0"/>
    <x v="830"/>
  </r>
  <r>
    <x v="1242"/>
    <x v="1242"/>
    <x v="1242"/>
    <x v="1"/>
    <x v="21"/>
    <x v="1242"/>
    <x v="0"/>
    <x v="1"/>
    <x v="0"/>
    <x v="831"/>
  </r>
  <r>
    <x v="1243"/>
    <x v="1243"/>
    <x v="1243"/>
    <x v="10"/>
    <x v="39"/>
    <x v="1243"/>
    <x v="0"/>
    <x v="1"/>
    <x v="0"/>
    <x v="832"/>
  </r>
  <r>
    <x v="1244"/>
    <x v="1244"/>
    <x v="1244"/>
    <x v="3"/>
    <x v="0"/>
    <x v="1244"/>
    <x v="0"/>
    <x v="1"/>
    <x v="0"/>
    <x v="833"/>
  </r>
  <r>
    <x v="1245"/>
    <x v="1245"/>
    <x v="1245"/>
    <x v="6"/>
    <x v="39"/>
    <x v="1245"/>
    <x v="0"/>
    <x v="1"/>
    <x v="0"/>
    <x v="834"/>
  </r>
  <r>
    <x v="1246"/>
    <x v="1246"/>
    <x v="1246"/>
    <x v="1"/>
    <x v="51"/>
    <x v="1246"/>
    <x v="0"/>
    <x v="1"/>
    <x v="0"/>
    <x v="835"/>
  </r>
  <r>
    <x v="1247"/>
    <x v="1247"/>
    <x v="1247"/>
    <x v="20"/>
    <x v="41"/>
    <x v="1247"/>
    <x v="0"/>
    <x v="1"/>
    <x v="0"/>
    <x v="836"/>
  </r>
  <r>
    <x v="1248"/>
    <x v="1248"/>
    <x v="1248"/>
    <x v="12"/>
    <x v="39"/>
    <x v="1248"/>
    <x v="0"/>
    <x v="1"/>
    <x v="0"/>
    <x v="837"/>
  </r>
  <r>
    <x v="1249"/>
    <x v="1249"/>
    <x v="1249"/>
    <x v="3"/>
    <x v="0"/>
    <x v="1249"/>
    <x v="0"/>
    <x v="1"/>
    <x v="0"/>
    <x v="838"/>
  </r>
  <r>
    <x v="1250"/>
    <x v="1250"/>
    <x v="1250"/>
    <x v="8"/>
    <x v="0"/>
    <x v="1250"/>
    <x v="0"/>
    <x v="1"/>
    <x v="0"/>
    <x v="839"/>
  </r>
  <r>
    <x v="1251"/>
    <x v="1251"/>
    <x v="1251"/>
    <x v="8"/>
    <x v="22"/>
    <x v="1251"/>
    <x v="0"/>
    <x v="1"/>
    <x v="0"/>
    <x v="840"/>
  </r>
  <r>
    <x v="1252"/>
    <x v="1252"/>
    <x v="1252"/>
    <x v="21"/>
    <x v="0"/>
    <x v="1252"/>
    <x v="0"/>
    <x v="1"/>
    <x v="0"/>
    <x v="841"/>
  </r>
  <r>
    <x v="1253"/>
    <x v="1253"/>
    <x v="1253"/>
    <x v="9"/>
    <x v="50"/>
    <x v="1253"/>
    <x v="0"/>
    <x v="1"/>
    <x v="0"/>
    <x v="842"/>
  </r>
  <r>
    <x v="1254"/>
    <x v="1254"/>
    <x v="1254"/>
    <x v="8"/>
    <x v="19"/>
    <x v="1254"/>
    <x v="0"/>
    <x v="1"/>
    <x v="0"/>
    <x v="843"/>
  </r>
  <r>
    <x v="1255"/>
    <x v="1255"/>
    <x v="1255"/>
    <x v="6"/>
    <x v="52"/>
    <x v="1255"/>
    <x v="0"/>
    <x v="1"/>
    <x v="0"/>
    <x v="844"/>
  </r>
  <r>
    <x v="1256"/>
    <x v="1256"/>
    <x v="1256"/>
    <x v="23"/>
    <x v="37"/>
    <x v="1256"/>
    <x v="0"/>
    <x v="1"/>
    <x v="0"/>
    <x v="845"/>
  </r>
  <r>
    <x v="1257"/>
    <x v="1257"/>
    <x v="1257"/>
    <x v="1"/>
    <x v="96"/>
    <x v="1257"/>
    <x v="0"/>
    <x v="1"/>
    <x v="0"/>
    <x v="846"/>
  </r>
  <r>
    <x v="1258"/>
    <x v="1258"/>
    <x v="1258"/>
    <x v="20"/>
    <x v="8"/>
    <x v="1258"/>
    <x v="0"/>
    <x v="1"/>
    <x v="0"/>
    <x v="847"/>
  </r>
  <r>
    <x v="1259"/>
    <x v="1259"/>
    <x v="1259"/>
    <x v="1"/>
    <x v="102"/>
    <x v="1259"/>
    <x v="0"/>
    <x v="1"/>
    <x v="0"/>
    <x v="848"/>
  </r>
  <r>
    <x v="1260"/>
    <x v="1260"/>
    <x v="1260"/>
    <x v="12"/>
    <x v="52"/>
    <x v="1260"/>
    <x v="0"/>
    <x v="1"/>
    <x v="0"/>
    <x v="849"/>
  </r>
  <r>
    <x v="1261"/>
    <x v="1261"/>
    <x v="1261"/>
    <x v="10"/>
    <x v="41"/>
    <x v="1261"/>
    <x v="0"/>
    <x v="1"/>
    <x v="0"/>
    <x v="850"/>
  </r>
  <r>
    <x v="1262"/>
    <x v="1262"/>
    <x v="1262"/>
    <x v="31"/>
    <x v="39"/>
    <x v="1262"/>
    <x v="0"/>
    <x v="1"/>
    <x v="0"/>
    <x v="851"/>
  </r>
  <r>
    <x v="1263"/>
    <x v="1263"/>
    <x v="1263"/>
    <x v="3"/>
    <x v="37"/>
    <x v="1263"/>
    <x v="0"/>
    <x v="1"/>
    <x v="0"/>
    <x v="852"/>
  </r>
  <r>
    <x v="1264"/>
    <x v="1264"/>
    <x v="1264"/>
    <x v="12"/>
    <x v="19"/>
    <x v="1264"/>
    <x v="0"/>
    <x v="1"/>
    <x v="0"/>
    <x v="853"/>
  </r>
  <r>
    <x v="1265"/>
    <x v="1265"/>
    <x v="1265"/>
    <x v="9"/>
    <x v="27"/>
    <x v="1265"/>
    <x v="0"/>
    <x v="1"/>
    <x v="0"/>
    <x v="854"/>
  </r>
  <r>
    <x v="1266"/>
    <x v="1266"/>
    <x v="1266"/>
    <x v="1"/>
    <x v="90"/>
    <x v="1266"/>
    <x v="0"/>
    <x v="1"/>
    <x v="0"/>
    <x v="855"/>
  </r>
  <r>
    <x v="1267"/>
    <x v="1267"/>
    <x v="1267"/>
    <x v="9"/>
    <x v="48"/>
    <x v="1267"/>
    <x v="0"/>
    <x v="1"/>
    <x v="0"/>
    <x v="856"/>
  </r>
  <r>
    <x v="1268"/>
    <x v="1268"/>
    <x v="1268"/>
    <x v="10"/>
    <x v="12"/>
    <x v="1268"/>
    <x v="0"/>
    <x v="1"/>
    <x v="0"/>
    <x v="857"/>
  </r>
  <r>
    <x v="1269"/>
    <x v="1269"/>
    <x v="1269"/>
    <x v="12"/>
    <x v="48"/>
    <x v="1269"/>
    <x v="0"/>
    <x v="1"/>
    <x v="0"/>
    <x v="858"/>
  </r>
  <r>
    <x v="1270"/>
    <x v="1270"/>
    <x v="1270"/>
    <x v="18"/>
    <x v="6"/>
    <x v="1270"/>
    <x v="0"/>
    <x v="1"/>
    <x v="0"/>
    <x v="859"/>
  </r>
  <r>
    <x v="1271"/>
    <x v="1271"/>
    <x v="1271"/>
    <x v="1"/>
    <x v="96"/>
    <x v="1271"/>
    <x v="0"/>
    <x v="1"/>
    <x v="0"/>
    <x v="860"/>
  </r>
  <r>
    <x v="1272"/>
    <x v="1272"/>
    <x v="1272"/>
    <x v="9"/>
    <x v="68"/>
    <x v="1272"/>
    <x v="0"/>
    <x v="1"/>
    <x v="0"/>
    <x v="861"/>
  </r>
  <r>
    <x v="1273"/>
    <x v="1273"/>
    <x v="1273"/>
    <x v="3"/>
    <x v="8"/>
    <x v="1273"/>
    <x v="0"/>
    <x v="1"/>
    <x v="0"/>
    <x v="862"/>
  </r>
  <r>
    <x v="1274"/>
    <x v="1274"/>
    <x v="1274"/>
    <x v="6"/>
    <x v="61"/>
    <x v="1274"/>
    <x v="0"/>
    <x v="1"/>
    <x v="0"/>
    <x v="863"/>
  </r>
  <r>
    <x v="1275"/>
    <x v="1275"/>
    <x v="1275"/>
    <x v="3"/>
    <x v="7"/>
    <x v="1275"/>
    <x v="0"/>
    <x v="1"/>
    <x v="0"/>
    <x v="864"/>
  </r>
  <r>
    <x v="1276"/>
    <x v="1276"/>
    <x v="1276"/>
    <x v="9"/>
    <x v="12"/>
    <x v="1276"/>
    <x v="0"/>
    <x v="1"/>
    <x v="0"/>
    <x v="865"/>
  </r>
  <r>
    <x v="1277"/>
    <x v="1277"/>
    <x v="1277"/>
    <x v="17"/>
    <x v="45"/>
    <x v="1277"/>
    <x v="0"/>
    <x v="1"/>
    <x v="0"/>
    <x v="866"/>
  </r>
  <r>
    <x v="1278"/>
    <x v="1278"/>
    <x v="1278"/>
    <x v="1"/>
    <x v="37"/>
    <x v="1278"/>
    <x v="0"/>
    <x v="1"/>
    <x v="0"/>
    <x v="867"/>
  </r>
  <r>
    <x v="1279"/>
    <x v="1279"/>
    <x v="1279"/>
    <x v="7"/>
    <x v="68"/>
    <x v="1279"/>
    <x v="0"/>
    <x v="1"/>
    <x v="0"/>
    <x v="868"/>
  </r>
  <r>
    <x v="1280"/>
    <x v="1280"/>
    <x v="1280"/>
    <x v="1"/>
    <x v="88"/>
    <x v="1280"/>
    <x v="0"/>
    <x v="1"/>
    <x v="0"/>
    <x v="869"/>
  </r>
  <r>
    <x v="1281"/>
    <x v="1281"/>
    <x v="1281"/>
    <x v="3"/>
    <x v="35"/>
    <x v="1281"/>
    <x v="0"/>
    <x v="1"/>
    <x v="0"/>
    <x v="870"/>
  </r>
  <r>
    <x v="1282"/>
    <x v="1282"/>
    <x v="1282"/>
    <x v="8"/>
    <x v="41"/>
    <x v="1282"/>
    <x v="0"/>
    <x v="1"/>
    <x v="0"/>
    <x v="871"/>
  </r>
  <r>
    <x v="1283"/>
    <x v="1283"/>
    <x v="1283"/>
    <x v="6"/>
    <x v="10"/>
    <x v="1283"/>
    <x v="0"/>
    <x v="1"/>
    <x v="0"/>
    <x v="872"/>
  </r>
  <r>
    <x v="1284"/>
    <x v="1284"/>
    <x v="1284"/>
    <x v="21"/>
    <x v="38"/>
    <x v="1284"/>
    <x v="0"/>
    <x v="1"/>
    <x v="0"/>
    <x v="873"/>
  </r>
  <r>
    <x v="1285"/>
    <x v="1285"/>
    <x v="1285"/>
    <x v="6"/>
    <x v="61"/>
    <x v="1285"/>
    <x v="0"/>
    <x v="1"/>
    <x v="0"/>
    <x v="874"/>
  </r>
  <r>
    <x v="1286"/>
    <x v="1286"/>
    <x v="1286"/>
    <x v="8"/>
    <x v="69"/>
    <x v="1286"/>
    <x v="0"/>
    <x v="1"/>
    <x v="0"/>
    <x v="875"/>
  </r>
  <r>
    <x v="1287"/>
    <x v="1287"/>
    <x v="1287"/>
    <x v="8"/>
    <x v="84"/>
    <x v="1287"/>
    <x v="0"/>
    <x v="1"/>
    <x v="0"/>
    <x v="876"/>
  </r>
  <r>
    <x v="1288"/>
    <x v="1288"/>
    <x v="1288"/>
    <x v="18"/>
    <x v="51"/>
    <x v="1288"/>
    <x v="0"/>
    <x v="1"/>
    <x v="0"/>
    <x v="877"/>
  </r>
  <r>
    <x v="1289"/>
    <x v="1289"/>
    <x v="1289"/>
    <x v="28"/>
    <x v="52"/>
    <x v="1289"/>
    <x v="0"/>
    <x v="1"/>
    <x v="0"/>
    <x v="878"/>
  </r>
  <r>
    <x v="1290"/>
    <x v="1290"/>
    <x v="1290"/>
    <x v="6"/>
    <x v="28"/>
    <x v="1290"/>
    <x v="0"/>
    <x v="1"/>
    <x v="0"/>
    <x v="879"/>
  </r>
  <r>
    <x v="1291"/>
    <x v="1291"/>
    <x v="1291"/>
    <x v="26"/>
    <x v="87"/>
    <x v="1291"/>
    <x v="0"/>
    <x v="1"/>
    <x v="0"/>
    <x v="880"/>
  </r>
  <r>
    <x v="1292"/>
    <x v="1292"/>
    <x v="1292"/>
    <x v="17"/>
    <x v="45"/>
    <x v="1292"/>
    <x v="0"/>
    <x v="1"/>
    <x v="0"/>
    <x v="881"/>
  </r>
  <r>
    <x v="1293"/>
    <x v="1293"/>
    <x v="1293"/>
    <x v="25"/>
    <x v="68"/>
    <x v="1293"/>
    <x v="0"/>
    <x v="1"/>
    <x v="0"/>
    <x v="882"/>
  </r>
  <r>
    <x v="1294"/>
    <x v="1294"/>
    <x v="1294"/>
    <x v="26"/>
    <x v="37"/>
    <x v="1294"/>
    <x v="0"/>
    <x v="1"/>
    <x v="0"/>
    <x v="883"/>
  </r>
  <r>
    <x v="1295"/>
    <x v="1295"/>
    <x v="1295"/>
    <x v="10"/>
    <x v="61"/>
    <x v="1295"/>
    <x v="0"/>
    <x v="1"/>
    <x v="0"/>
    <x v="884"/>
  </r>
  <r>
    <x v="1296"/>
    <x v="1296"/>
    <x v="1296"/>
    <x v="17"/>
    <x v="18"/>
    <x v="1296"/>
    <x v="0"/>
    <x v="1"/>
    <x v="0"/>
    <x v="885"/>
  </r>
  <r>
    <x v="1297"/>
    <x v="1297"/>
    <x v="1297"/>
    <x v="0"/>
    <x v="39"/>
    <x v="1297"/>
    <x v="0"/>
    <x v="1"/>
    <x v="0"/>
    <x v="886"/>
  </r>
  <r>
    <x v="1298"/>
    <x v="1298"/>
    <x v="1298"/>
    <x v="10"/>
    <x v="30"/>
    <x v="1298"/>
    <x v="0"/>
    <x v="1"/>
    <x v="0"/>
    <x v="887"/>
  </r>
  <r>
    <x v="1299"/>
    <x v="1299"/>
    <x v="1299"/>
    <x v="14"/>
    <x v="61"/>
    <x v="1299"/>
    <x v="0"/>
    <x v="1"/>
    <x v="0"/>
    <x v="888"/>
  </r>
  <r>
    <x v="1300"/>
    <x v="1300"/>
    <x v="1300"/>
    <x v="8"/>
    <x v="59"/>
    <x v="1300"/>
    <x v="0"/>
    <x v="1"/>
    <x v="0"/>
    <x v="889"/>
  </r>
  <r>
    <x v="1301"/>
    <x v="1301"/>
    <x v="1301"/>
    <x v="23"/>
    <x v="77"/>
    <x v="1301"/>
    <x v="0"/>
    <x v="1"/>
    <x v="0"/>
    <x v="890"/>
  </r>
  <r>
    <x v="1302"/>
    <x v="1302"/>
    <x v="1302"/>
    <x v="20"/>
    <x v="77"/>
    <x v="1302"/>
    <x v="0"/>
    <x v="1"/>
    <x v="0"/>
    <x v="891"/>
  </r>
  <r>
    <x v="1303"/>
    <x v="1303"/>
    <x v="1303"/>
    <x v="14"/>
    <x v="62"/>
    <x v="1303"/>
    <x v="0"/>
    <x v="1"/>
    <x v="0"/>
    <x v="892"/>
  </r>
  <r>
    <x v="1304"/>
    <x v="1304"/>
    <x v="1304"/>
    <x v="3"/>
    <x v="46"/>
    <x v="1304"/>
    <x v="0"/>
    <x v="1"/>
    <x v="0"/>
    <x v="893"/>
  </r>
  <r>
    <x v="1305"/>
    <x v="1305"/>
    <x v="1305"/>
    <x v="3"/>
    <x v="30"/>
    <x v="1305"/>
    <x v="0"/>
    <x v="1"/>
    <x v="0"/>
    <x v="894"/>
  </r>
  <r>
    <x v="1306"/>
    <x v="1306"/>
    <x v="1306"/>
    <x v="3"/>
    <x v="0"/>
    <x v="1306"/>
    <x v="0"/>
    <x v="1"/>
    <x v="0"/>
    <x v="895"/>
  </r>
  <r>
    <x v="1307"/>
    <x v="1307"/>
    <x v="1307"/>
    <x v="3"/>
    <x v="44"/>
    <x v="1307"/>
    <x v="0"/>
    <x v="1"/>
    <x v="0"/>
    <x v="896"/>
  </r>
  <r>
    <x v="1308"/>
    <x v="1308"/>
    <x v="1308"/>
    <x v="29"/>
    <x v="83"/>
    <x v="1308"/>
    <x v="0"/>
    <x v="1"/>
    <x v="0"/>
    <x v="897"/>
  </r>
  <r>
    <x v="1309"/>
    <x v="1309"/>
    <x v="1309"/>
    <x v="21"/>
    <x v="7"/>
    <x v="1309"/>
    <x v="0"/>
    <x v="1"/>
    <x v="0"/>
    <x v="898"/>
  </r>
  <r>
    <x v="1310"/>
    <x v="1310"/>
    <x v="1310"/>
    <x v="21"/>
    <x v="83"/>
    <x v="1310"/>
    <x v="0"/>
    <x v="1"/>
    <x v="0"/>
    <x v="899"/>
  </r>
  <r>
    <x v="1311"/>
    <x v="1311"/>
    <x v="1311"/>
    <x v="1"/>
    <x v="21"/>
    <x v="1311"/>
    <x v="0"/>
    <x v="1"/>
    <x v="0"/>
    <x v="900"/>
  </r>
  <r>
    <x v="1312"/>
    <x v="1312"/>
    <x v="1312"/>
    <x v="8"/>
    <x v="30"/>
    <x v="1312"/>
    <x v="0"/>
    <x v="1"/>
    <x v="0"/>
    <x v="901"/>
  </r>
  <r>
    <x v="1313"/>
    <x v="1313"/>
    <x v="1313"/>
    <x v="12"/>
    <x v="58"/>
    <x v="1313"/>
    <x v="0"/>
    <x v="1"/>
    <x v="0"/>
    <x v="902"/>
  </r>
  <r>
    <x v="1314"/>
    <x v="1314"/>
    <x v="1314"/>
    <x v="30"/>
    <x v="27"/>
    <x v="1314"/>
    <x v="0"/>
    <x v="1"/>
    <x v="0"/>
    <x v="903"/>
  </r>
  <r>
    <x v="1315"/>
    <x v="1315"/>
    <x v="1315"/>
    <x v="31"/>
    <x v="33"/>
    <x v="1315"/>
    <x v="0"/>
    <x v="1"/>
    <x v="0"/>
    <x v="904"/>
  </r>
  <r>
    <x v="1316"/>
    <x v="1316"/>
    <x v="1316"/>
    <x v="8"/>
    <x v="54"/>
    <x v="1316"/>
    <x v="0"/>
    <x v="1"/>
    <x v="0"/>
    <x v="397"/>
  </r>
  <r>
    <x v="1317"/>
    <x v="1317"/>
    <x v="1317"/>
    <x v="12"/>
    <x v="35"/>
    <x v="1317"/>
    <x v="0"/>
    <x v="1"/>
    <x v="0"/>
    <x v="905"/>
  </r>
  <r>
    <x v="1318"/>
    <x v="1318"/>
    <x v="1318"/>
    <x v="13"/>
    <x v="65"/>
    <x v="1318"/>
    <x v="0"/>
    <x v="1"/>
    <x v="0"/>
    <x v="906"/>
  </r>
  <r>
    <x v="1319"/>
    <x v="1319"/>
    <x v="1319"/>
    <x v="12"/>
    <x v="19"/>
    <x v="1319"/>
    <x v="0"/>
    <x v="1"/>
    <x v="0"/>
    <x v="907"/>
  </r>
  <r>
    <x v="1320"/>
    <x v="1320"/>
    <x v="1320"/>
    <x v="1"/>
    <x v="39"/>
    <x v="1320"/>
    <x v="0"/>
    <x v="1"/>
    <x v="0"/>
    <x v="908"/>
  </r>
  <r>
    <x v="1321"/>
    <x v="1321"/>
    <x v="1321"/>
    <x v="1"/>
    <x v="8"/>
    <x v="1321"/>
    <x v="0"/>
    <x v="1"/>
    <x v="0"/>
    <x v="909"/>
  </r>
  <r>
    <x v="1322"/>
    <x v="1322"/>
    <x v="1322"/>
    <x v="11"/>
    <x v="51"/>
    <x v="1322"/>
    <x v="0"/>
    <x v="1"/>
    <x v="0"/>
    <x v="910"/>
  </r>
  <r>
    <x v="1323"/>
    <x v="1323"/>
    <x v="1323"/>
    <x v="20"/>
    <x v="0"/>
    <x v="1323"/>
    <x v="0"/>
    <x v="1"/>
    <x v="0"/>
    <x v="911"/>
  </r>
  <r>
    <x v="1324"/>
    <x v="1324"/>
    <x v="1324"/>
    <x v="27"/>
    <x v="44"/>
    <x v="1324"/>
    <x v="0"/>
    <x v="1"/>
    <x v="0"/>
    <x v="912"/>
  </r>
  <r>
    <x v="1325"/>
    <x v="1325"/>
    <x v="1325"/>
    <x v="1"/>
    <x v="61"/>
    <x v="1325"/>
    <x v="0"/>
    <x v="1"/>
    <x v="0"/>
    <x v="913"/>
  </r>
  <r>
    <x v="1326"/>
    <x v="1326"/>
    <x v="1326"/>
    <x v="1"/>
    <x v="36"/>
    <x v="1326"/>
    <x v="0"/>
    <x v="1"/>
    <x v="0"/>
    <x v="377"/>
  </r>
  <r>
    <x v="1327"/>
    <x v="1327"/>
    <x v="1327"/>
    <x v="9"/>
    <x v="58"/>
    <x v="1327"/>
    <x v="0"/>
    <x v="1"/>
    <x v="0"/>
    <x v="914"/>
  </r>
  <r>
    <x v="1328"/>
    <x v="1328"/>
    <x v="1328"/>
    <x v="25"/>
    <x v="39"/>
    <x v="1328"/>
    <x v="0"/>
    <x v="1"/>
    <x v="0"/>
    <x v="915"/>
  </r>
  <r>
    <x v="1329"/>
    <x v="1329"/>
    <x v="1329"/>
    <x v="3"/>
    <x v="38"/>
    <x v="1329"/>
    <x v="0"/>
    <x v="1"/>
    <x v="0"/>
    <x v="916"/>
  </r>
  <r>
    <x v="1330"/>
    <x v="1330"/>
    <x v="1330"/>
    <x v="1"/>
    <x v="61"/>
    <x v="1330"/>
    <x v="0"/>
    <x v="1"/>
    <x v="0"/>
    <x v="917"/>
  </r>
  <r>
    <x v="1331"/>
    <x v="1331"/>
    <x v="1331"/>
    <x v="29"/>
    <x v="38"/>
    <x v="1331"/>
    <x v="0"/>
    <x v="1"/>
    <x v="0"/>
    <x v="918"/>
  </r>
  <r>
    <x v="1332"/>
    <x v="1332"/>
    <x v="1332"/>
    <x v="7"/>
    <x v="47"/>
    <x v="1332"/>
    <x v="0"/>
    <x v="1"/>
    <x v="0"/>
    <x v="919"/>
  </r>
  <r>
    <x v="1333"/>
    <x v="1333"/>
    <x v="1333"/>
    <x v="8"/>
    <x v="39"/>
    <x v="1333"/>
    <x v="0"/>
    <x v="1"/>
    <x v="0"/>
    <x v="920"/>
  </r>
  <r>
    <x v="1334"/>
    <x v="1334"/>
    <x v="1334"/>
    <x v="1"/>
    <x v="33"/>
    <x v="1334"/>
    <x v="0"/>
    <x v="1"/>
    <x v="0"/>
    <x v="921"/>
  </r>
  <r>
    <x v="1335"/>
    <x v="1335"/>
    <x v="1335"/>
    <x v="8"/>
    <x v="69"/>
    <x v="1335"/>
    <x v="0"/>
    <x v="1"/>
    <x v="0"/>
    <x v="922"/>
  </r>
  <r>
    <x v="1336"/>
    <x v="1336"/>
    <x v="1336"/>
    <x v="8"/>
    <x v="86"/>
    <x v="1336"/>
    <x v="0"/>
    <x v="1"/>
    <x v="0"/>
    <x v="923"/>
  </r>
  <r>
    <x v="1337"/>
    <x v="1337"/>
    <x v="1337"/>
    <x v="1"/>
    <x v="8"/>
    <x v="1337"/>
    <x v="0"/>
    <x v="1"/>
    <x v="0"/>
    <x v="924"/>
  </r>
  <r>
    <x v="1338"/>
    <x v="1338"/>
    <x v="1338"/>
    <x v="19"/>
    <x v="106"/>
    <x v="1338"/>
    <x v="0"/>
    <x v="1"/>
    <x v="0"/>
    <x v="925"/>
  </r>
  <r>
    <x v="1339"/>
    <x v="1339"/>
    <x v="1339"/>
    <x v="1"/>
    <x v="7"/>
    <x v="1339"/>
    <x v="0"/>
    <x v="1"/>
    <x v="0"/>
    <x v="926"/>
  </r>
  <r>
    <x v="1340"/>
    <x v="1340"/>
    <x v="1340"/>
    <x v="20"/>
    <x v="60"/>
    <x v="1340"/>
    <x v="0"/>
    <x v="1"/>
    <x v="0"/>
    <x v="927"/>
  </r>
  <r>
    <x v="1341"/>
    <x v="1341"/>
    <x v="1341"/>
    <x v="3"/>
    <x v="0"/>
    <x v="1341"/>
    <x v="0"/>
    <x v="1"/>
    <x v="0"/>
    <x v="928"/>
  </r>
  <r>
    <x v="1342"/>
    <x v="1342"/>
    <x v="1342"/>
    <x v="1"/>
    <x v="39"/>
    <x v="1342"/>
    <x v="0"/>
    <x v="1"/>
    <x v="0"/>
    <x v="929"/>
  </r>
  <r>
    <x v="1343"/>
    <x v="1343"/>
    <x v="1343"/>
    <x v="8"/>
    <x v="75"/>
    <x v="1343"/>
    <x v="0"/>
    <x v="1"/>
    <x v="0"/>
    <x v="930"/>
  </r>
  <r>
    <x v="1344"/>
    <x v="1344"/>
    <x v="1344"/>
    <x v="0"/>
    <x v="28"/>
    <x v="1344"/>
    <x v="0"/>
    <x v="1"/>
    <x v="0"/>
    <x v="931"/>
  </r>
  <r>
    <x v="1345"/>
    <x v="1345"/>
    <x v="1345"/>
    <x v="0"/>
    <x v="41"/>
    <x v="1345"/>
    <x v="0"/>
    <x v="1"/>
    <x v="0"/>
    <x v="932"/>
  </r>
  <r>
    <x v="1346"/>
    <x v="1346"/>
    <x v="1346"/>
    <x v="3"/>
    <x v="4"/>
    <x v="1346"/>
    <x v="0"/>
    <x v="1"/>
    <x v="0"/>
    <x v="933"/>
  </r>
  <r>
    <x v="1347"/>
    <x v="1347"/>
    <x v="1347"/>
    <x v="31"/>
    <x v="33"/>
    <x v="1347"/>
    <x v="0"/>
    <x v="1"/>
    <x v="0"/>
    <x v="934"/>
  </r>
  <r>
    <x v="1348"/>
    <x v="1348"/>
    <x v="1348"/>
    <x v="20"/>
    <x v="67"/>
    <x v="1348"/>
    <x v="0"/>
    <x v="1"/>
    <x v="0"/>
    <x v="935"/>
  </r>
  <r>
    <x v="1349"/>
    <x v="1349"/>
    <x v="1349"/>
    <x v="17"/>
    <x v="39"/>
    <x v="1349"/>
    <x v="0"/>
    <x v="1"/>
    <x v="0"/>
    <x v="936"/>
  </r>
  <r>
    <x v="1350"/>
    <x v="1350"/>
    <x v="1350"/>
    <x v="12"/>
    <x v="19"/>
    <x v="1350"/>
    <x v="0"/>
    <x v="1"/>
    <x v="0"/>
    <x v="937"/>
  </r>
  <r>
    <x v="1351"/>
    <x v="1351"/>
    <x v="1351"/>
    <x v="22"/>
    <x v="0"/>
    <x v="1351"/>
    <x v="0"/>
    <x v="1"/>
    <x v="0"/>
    <x v="938"/>
  </r>
  <r>
    <x v="1352"/>
    <x v="1352"/>
    <x v="1352"/>
    <x v="16"/>
    <x v="76"/>
    <x v="1352"/>
    <x v="0"/>
    <x v="1"/>
    <x v="0"/>
    <x v="939"/>
  </r>
  <r>
    <x v="1353"/>
    <x v="1353"/>
    <x v="1353"/>
    <x v="1"/>
    <x v="0"/>
    <x v="1353"/>
    <x v="0"/>
    <x v="1"/>
    <x v="0"/>
    <x v="940"/>
  </r>
  <r>
    <x v="1354"/>
    <x v="1354"/>
    <x v="1354"/>
    <x v="8"/>
    <x v="59"/>
    <x v="1354"/>
    <x v="0"/>
    <x v="1"/>
    <x v="0"/>
    <x v="941"/>
  </r>
  <r>
    <x v="1355"/>
    <x v="1355"/>
    <x v="1355"/>
    <x v="21"/>
    <x v="7"/>
    <x v="1355"/>
    <x v="0"/>
    <x v="1"/>
    <x v="0"/>
    <x v="942"/>
  </r>
  <r>
    <x v="1356"/>
    <x v="1356"/>
    <x v="1356"/>
    <x v="1"/>
    <x v="8"/>
    <x v="1356"/>
    <x v="0"/>
    <x v="1"/>
    <x v="0"/>
    <x v="943"/>
  </r>
  <r>
    <x v="1357"/>
    <x v="1357"/>
    <x v="1357"/>
    <x v="22"/>
    <x v="0"/>
    <x v="1357"/>
    <x v="0"/>
    <x v="1"/>
    <x v="0"/>
    <x v="944"/>
  </r>
  <r>
    <x v="1358"/>
    <x v="1358"/>
    <x v="1358"/>
    <x v="29"/>
    <x v="47"/>
    <x v="1358"/>
    <x v="0"/>
    <x v="1"/>
    <x v="0"/>
    <x v="945"/>
  </r>
  <r>
    <x v="1359"/>
    <x v="1359"/>
    <x v="1359"/>
    <x v="1"/>
    <x v="39"/>
    <x v="1359"/>
    <x v="0"/>
    <x v="1"/>
    <x v="0"/>
    <x v="946"/>
  </r>
  <r>
    <x v="1360"/>
    <x v="1360"/>
    <x v="1360"/>
    <x v="3"/>
    <x v="67"/>
    <x v="1360"/>
    <x v="0"/>
    <x v="1"/>
    <x v="0"/>
    <x v="947"/>
  </r>
  <r>
    <x v="1361"/>
    <x v="1361"/>
    <x v="1361"/>
    <x v="31"/>
    <x v="3"/>
    <x v="1361"/>
    <x v="0"/>
    <x v="1"/>
    <x v="0"/>
    <x v="948"/>
  </r>
  <r>
    <x v="1362"/>
    <x v="1362"/>
    <x v="1362"/>
    <x v="7"/>
    <x v="52"/>
    <x v="1362"/>
    <x v="0"/>
    <x v="1"/>
    <x v="0"/>
    <x v="949"/>
  </r>
  <r>
    <x v="1363"/>
    <x v="1363"/>
    <x v="1363"/>
    <x v="31"/>
    <x v="39"/>
    <x v="1363"/>
    <x v="0"/>
    <x v="1"/>
    <x v="0"/>
    <x v="950"/>
  </r>
  <r>
    <x v="1364"/>
    <x v="1364"/>
    <x v="1364"/>
    <x v="27"/>
    <x v="76"/>
    <x v="1364"/>
    <x v="0"/>
    <x v="1"/>
    <x v="0"/>
    <x v="951"/>
  </r>
  <r>
    <x v="1365"/>
    <x v="1365"/>
    <x v="1365"/>
    <x v="18"/>
    <x v="52"/>
    <x v="1365"/>
    <x v="0"/>
    <x v="1"/>
    <x v="0"/>
    <x v="952"/>
  </r>
  <r>
    <x v="1366"/>
    <x v="1366"/>
    <x v="1366"/>
    <x v="3"/>
    <x v="7"/>
    <x v="1366"/>
    <x v="0"/>
    <x v="1"/>
    <x v="0"/>
    <x v="953"/>
  </r>
  <r>
    <x v="1367"/>
    <x v="1367"/>
    <x v="1367"/>
    <x v="3"/>
    <x v="98"/>
    <x v="1367"/>
    <x v="0"/>
    <x v="1"/>
    <x v="0"/>
    <x v="954"/>
  </r>
  <r>
    <x v="1368"/>
    <x v="1368"/>
    <x v="1368"/>
    <x v="21"/>
    <x v="61"/>
    <x v="1368"/>
    <x v="0"/>
    <x v="1"/>
    <x v="0"/>
    <x v="955"/>
  </r>
  <r>
    <x v="1369"/>
    <x v="1369"/>
    <x v="1369"/>
    <x v="1"/>
    <x v="8"/>
    <x v="1369"/>
    <x v="0"/>
    <x v="1"/>
    <x v="0"/>
    <x v="956"/>
  </r>
  <r>
    <x v="1370"/>
    <x v="1370"/>
    <x v="1370"/>
    <x v="5"/>
    <x v="30"/>
    <x v="1370"/>
    <x v="0"/>
    <x v="1"/>
    <x v="0"/>
    <x v="957"/>
  </r>
  <r>
    <x v="1371"/>
    <x v="1371"/>
    <x v="1371"/>
    <x v="31"/>
    <x v="0"/>
    <x v="1371"/>
    <x v="0"/>
    <x v="1"/>
    <x v="0"/>
    <x v="958"/>
  </r>
  <r>
    <x v="1372"/>
    <x v="1372"/>
    <x v="1372"/>
    <x v="31"/>
    <x v="13"/>
    <x v="1372"/>
    <x v="0"/>
    <x v="1"/>
    <x v="0"/>
    <x v="959"/>
  </r>
  <r>
    <x v="1373"/>
    <x v="1373"/>
    <x v="1373"/>
    <x v="8"/>
    <x v="40"/>
    <x v="1373"/>
    <x v="0"/>
    <x v="1"/>
    <x v="0"/>
    <x v="960"/>
  </r>
  <r>
    <x v="1374"/>
    <x v="1374"/>
    <x v="1374"/>
    <x v="25"/>
    <x v="39"/>
    <x v="1374"/>
    <x v="0"/>
    <x v="1"/>
    <x v="0"/>
    <x v="961"/>
  </r>
  <r>
    <x v="1375"/>
    <x v="1375"/>
    <x v="1375"/>
    <x v="5"/>
    <x v="60"/>
    <x v="1375"/>
    <x v="0"/>
    <x v="1"/>
    <x v="0"/>
    <x v="962"/>
  </r>
  <r>
    <x v="1376"/>
    <x v="1376"/>
    <x v="1376"/>
    <x v="10"/>
    <x v="16"/>
    <x v="1376"/>
    <x v="0"/>
    <x v="1"/>
    <x v="0"/>
    <x v="963"/>
  </r>
  <r>
    <x v="1377"/>
    <x v="1377"/>
    <x v="1377"/>
    <x v="2"/>
    <x v="19"/>
    <x v="1377"/>
    <x v="0"/>
    <x v="1"/>
    <x v="0"/>
    <x v="964"/>
  </r>
  <r>
    <x v="1378"/>
    <x v="1378"/>
    <x v="1378"/>
    <x v="1"/>
    <x v="0"/>
    <x v="1378"/>
    <x v="0"/>
    <x v="1"/>
    <x v="0"/>
    <x v="965"/>
  </r>
  <r>
    <x v="1379"/>
    <x v="1379"/>
    <x v="1379"/>
    <x v="12"/>
    <x v="30"/>
    <x v="1379"/>
    <x v="0"/>
    <x v="1"/>
    <x v="0"/>
    <x v="966"/>
  </r>
  <r>
    <x v="1380"/>
    <x v="1380"/>
    <x v="1380"/>
    <x v="17"/>
    <x v="7"/>
    <x v="1380"/>
    <x v="0"/>
    <x v="1"/>
    <x v="0"/>
    <x v="967"/>
  </r>
  <r>
    <x v="1381"/>
    <x v="1381"/>
    <x v="1381"/>
    <x v="0"/>
    <x v="74"/>
    <x v="1381"/>
    <x v="0"/>
    <x v="1"/>
    <x v="0"/>
    <x v="968"/>
  </r>
  <r>
    <x v="1382"/>
    <x v="1382"/>
    <x v="1382"/>
    <x v="1"/>
    <x v="74"/>
    <x v="1382"/>
    <x v="0"/>
    <x v="1"/>
    <x v="0"/>
    <x v="969"/>
  </r>
  <r>
    <x v="1383"/>
    <x v="1383"/>
    <x v="1383"/>
    <x v="10"/>
    <x v="30"/>
    <x v="1383"/>
    <x v="0"/>
    <x v="1"/>
    <x v="0"/>
    <x v="970"/>
  </r>
  <r>
    <x v="1384"/>
    <x v="1384"/>
    <x v="1384"/>
    <x v="31"/>
    <x v="0"/>
    <x v="1384"/>
    <x v="0"/>
    <x v="1"/>
    <x v="0"/>
    <x v="971"/>
  </r>
  <r>
    <x v="1385"/>
    <x v="1385"/>
    <x v="1385"/>
    <x v="0"/>
    <x v="3"/>
    <x v="1385"/>
    <x v="0"/>
    <x v="1"/>
    <x v="0"/>
    <x v="972"/>
  </r>
  <r>
    <x v="1386"/>
    <x v="1386"/>
    <x v="1386"/>
    <x v="0"/>
    <x v="62"/>
    <x v="1386"/>
    <x v="0"/>
    <x v="1"/>
    <x v="0"/>
    <x v="973"/>
  </r>
  <r>
    <x v="1387"/>
    <x v="1387"/>
    <x v="1387"/>
    <x v="1"/>
    <x v="74"/>
    <x v="1387"/>
    <x v="0"/>
    <x v="1"/>
    <x v="0"/>
    <x v="974"/>
  </r>
  <r>
    <x v="1388"/>
    <x v="1388"/>
    <x v="1388"/>
    <x v="8"/>
    <x v="84"/>
    <x v="1388"/>
    <x v="0"/>
    <x v="1"/>
    <x v="0"/>
    <x v="975"/>
  </r>
  <r>
    <x v="1389"/>
    <x v="1389"/>
    <x v="1389"/>
    <x v="24"/>
    <x v="69"/>
    <x v="1389"/>
    <x v="0"/>
    <x v="1"/>
    <x v="0"/>
    <x v="976"/>
  </r>
  <r>
    <x v="1390"/>
    <x v="1390"/>
    <x v="1390"/>
    <x v="12"/>
    <x v="44"/>
    <x v="1390"/>
    <x v="0"/>
    <x v="1"/>
    <x v="0"/>
    <x v="977"/>
  </r>
  <r>
    <x v="1391"/>
    <x v="1391"/>
    <x v="1391"/>
    <x v="23"/>
    <x v="67"/>
    <x v="1391"/>
    <x v="0"/>
    <x v="1"/>
    <x v="0"/>
    <x v="978"/>
  </r>
  <r>
    <x v="1392"/>
    <x v="1392"/>
    <x v="1392"/>
    <x v="21"/>
    <x v="59"/>
    <x v="1392"/>
    <x v="0"/>
    <x v="1"/>
    <x v="0"/>
    <x v="979"/>
  </r>
  <r>
    <x v="1393"/>
    <x v="1393"/>
    <x v="1393"/>
    <x v="13"/>
    <x v="39"/>
    <x v="1393"/>
    <x v="0"/>
    <x v="1"/>
    <x v="0"/>
    <x v="980"/>
  </r>
  <r>
    <x v="1394"/>
    <x v="1394"/>
    <x v="1394"/>
    <x v="22"/>
    <x v="39"/>
    <x v="1394"/>
    <x v="0"/>
    <x v="1"/>
    <x v="0"/>
    <x v="981"/>
  </r>
  <r>
    <x v="1395"/>
    <x v="1395"/>
    <x v="1395"/>
    <x v="3"/>
    <x v="71"/>
    <x v="1395"/>
    <x v="0"/>
    <x v="1"/>
    <x v="0"/>
    <x v="982"/>
  </r>
  <r>
    <x v="1396"/>
    <x v="1396"/>
    <x v="1396"/>
    <x v="1"/>
    <x v="8"/>
    <x v="1396"/>
    <x v="0"/>
    <x v="1"/>
    <x v="0"/>
    <x v="983"/>
  </r>
  <r>
    <x v="1397"/>
    <x v="1397"/>
    <x v="1397"/>
    <x v="1"/>
    <x v="0"/>
    <x v="1397"/>
    <x v="0"/>
    <x v="1"/>
    <x v="0"/>
    <x v="984"/>
  </r>
  <r>
    <x v="1398"/>
    <x v="1398"/>
    <x v="1398"/>
    <x v="7"/>
    <x v="38"/>
    <x v="1398"/>
    <x v="0"/>
    <x v="1"/>
    <x v="0"/>
    <x v="985"/>
  </r>
  <r>
    <x v="1399"/>
    <x v="1399"/>
    <x v="1399"/>
    <x v="3"/>
    <x v="39"/>
    <x v="1399"/>
    <x v="0"/>
    <x v="1"/>
    <x v="0"/>
    <x v="986"/>
  </r>
  <r>
    <x v="1400"/>
    <x v="1400"/>
    <x v="1400"/>
    <x v="3"/>
    <x v="19"/>
    <x v="1400"/>
    <x v="0"/>
    <x v="1"/>
    <x v="0"/>
    <x v="987"/>
  </r>
  <r>
    <x v="1401"/>
    <x v="1401"/>
    <x v="1401"/>
    <x v="3"/>
    <x v="101"/>
    <x v="1401"/>
    <x v="0"/>
    <x v="1"/>
    <x v="0"/>
    <x v="988"/>
  </r>
  <r>
    <x v="1402"/>
    <x v="1402"/>
    <x v="1402"/>
    <x v="5"/>
    <x v="70"/>
    <x v="1402"/>
    <x v="0"/>
    <x v="1"/>
    <x v="0"/>
    <x v="989"/>
  </r>
  <r>
    <x v="1403"/>
    <x v="1403"/>
    <x v="1403"/>
    <x v="2"/>
    <x v="47"/>
    <x v="1403"/>
    <x v="0"/>
    <x v="1"/>
    <x v="0"/>
    <x v="945"/>
  </r>
  <r>
    <x v="1404"/>
    <x v="1404"/>
    <x v="1404"/>
    <x v="31"/>
    <x v="2"/>
    <x v="1404"/>
    <x v="0"/>
    <x v="1"/>
    <x v="0"/>
    <x v="990"/>
  </r>
  <r>
    <x v="1405"/>
    <x v="1405"/>
    <x v="1405"/>
    <x v="8"/>
    <x v="0"/>
    <x v="1405"/>
    <x v="0"/>
    <x v="1"/>
    <x v="0"/>
    <x v="991"/>
  </r>
  <r>
    <x v="1406"/>
    <x v="1406"/>
    <x v="1406"/>
    <x v="3"/>
    <x v="39"/>
    <x v="1406"/>
    <x v="0"/>
    <x v="1"/>
    <x v="0"/>
    <x v="992"/>
  </r>
  <r>
    <x v="1407"/>
    <x v="1407"/>
    <x v="1407"/>
    <x v="22"/>
    <x v="11"/>
    <x v="1407"/>
    <x v="0"/>
    <x v="1"/>
    <x v="0"/>
    <x v="993"/>
  </r>
  <r>
    <x v="1408"/>
    <x v="1408"/>
    <x v="1408"/>
    <x v="8"/>
    <x v="98"/>
    <x v="1408"/>
    <x v="0"/>
    <x v="1"/>
    <x v="0"/>
    <x v="994"/>
  </r>
  <r>
    <x v="1409"/>
    <x v="1409"/>
    <x v="1409"/>
    <x v="21"/>
    <x v="52"/>
    <x v="1409"/>
    <x v="0"/>
    <x v="1"/>
    <x v="0"/>
    <x v="995"/>
  </r>
  <r>
    <x v="1410"/>
    <x v="1410"/>
    <x v="1410"/>
    <x v="9"/>
    <x v="0"/>
    <x v="1410"/>
    <x v="0"/>
    <x v="1"/>
    <x v="0"/>
    <x v="996"/>
  </r>
  <r>
    <x v="1411"/>
    <x v="1411"/>
    <x v="1411"/>
    <x v="8"/>
    <x v="93"/>
    <x v="1411"/>
    <x v="0"/>
    <x v="1"/>
    <x v="0"/>
    <x v="997"/>
  </r>
  <r>
    <x v="1412"/>
    <x v="1412"/>
    <x v="1412"/>
    <x v="1"/>
    <x v="4"/>
    <x v="1412"/>
    <x v="0"/>
    <x v="1"/>
    <x v="0"/>
    <x v="998"/>
  </r>
  <r>
    <x v="1413"/>
    <x v="1413"/>
    <x v="1413"/>
    <x v="31"/>
    <x v="37"/>
    <x v="1413"/>
    <x v="0"/>
    <x v="1"/>
    <x v="0"/>
    <x v="999"/>
  </r>
  <r>
    <x v="1414"/>
    <x v="1414"/>
    <x v="1414"/>
    <x v="1"/>
    <x v="82"/>
    <x v="1414"/>
    <x v="0"/>
    <x v="1"/>
    <x v="0"/>
    <x v="1000"/>
  </r>
  <r>
    <x v="1415"/>
    <x v="1415"/>
    <x v="1415"/>
    <x v="8"/>
    <x v="84"/>
    <x v="1415"/>
    <x v="0"/>
    <x v="1"/>
    <x v="0"/>
    <x v="1001"/>
  </r>
  <r>
    <x v="1416"/>
    <x v="1416"/>
    <x v="1416"/>
    <x v="1"/>
    <x v="71"/>
    <x v="1416"/>
    <x v="0"/>
    <x v="1"/>
    <x v="0"/>
    <x v="64"/>
  </r>
  <r>
    <x v="1417"/>
    <x v="1417"/>
    <x v="1417"/>
    <x v="31"/>
    <x v="74"/>
    <x v="1417"/>
    <x v="0"/>
    <x v="1"/>
    <x v="0"/>
    <x v="1002"/>
  </r>
  <r>
    <x v="1418"/>
    <x v="1418"/>
    <x v="1418"/>
    <x v="6"/>
    <x v="53"/>
    <x v="1418"/>
    <x v="0"/>
    <x v="1"/>
    <x v="0"/>
    <x v="1003"/>
  </r>
  <r>
    <x v="1419"/>
    <x v="1419"/>
    <x v="1419"/>
    <x v="31"/>
    <x v="18"/>
    <x v="1419"/>
    <x v="0"/>
    <x v="1"/>
    <x v="0"/>
    <x v="800"/>
  </r>
  <r>
    <x v="1420"/>
    <x v="1420"/>
    <x v="1420"/>
    <x v="13"/>
    <x v="53"/>
    <x v="1420"/>
    <x v="0"/>
    <x v="1"/>
    <x v="0"/>
    <x v="1004"/>
  </r>
  <r>
    <x v="1421"/>
    <x v="1421"/>
    <x v="1421"/>
    <x v="8"/>
    <x v="76"/>
    <x v="1421"/>
    <x v="0"/>
    <x v="1"/>
    <x v="0"/>
    <x v="1005"/>
  </r>
  <r>
    <x v="1422"/>
    <x v="1422"/>
    <x v="1422"/>
    <x v="31"/>
    <x v="8"/>
    <x v="1422"/>
    <x v="0"/>
    <x v="1"/>
    <x v="0"/>
    <x v="1006"/>
  </r>
  <r>
    <x v="1423"/>
    <x v="1423"/>
    <x v="1423"/>
    <x v="5"/>
    <x v="7"/>
    <x v="1423"/>
    <x v="0"/>
    <x v="1"/>
    <x v="0"/>
    <x v="1007"/>
  </r>
  <r>
    <x v="1424"/>
    <x v="1424"/>
    <x v="1424"/>
    <x v="31"/>
    <x v="7"/>
    <x v="1424"/>
    <x v="0"/>
    <x v="1"/>
    <x v="0"/>
    <x v="1008"/>
  </r>
  <r>
    <x v="1425"/>
    <x v="1425"/>
    <x v="1425"/>
    <x v="1"/>
    <x v="8"/>
    <x v="1425"/>
    <x v="0"/>
    <x v="1"/>
    <x v="0"/>
    <x v="1009"/>
  </r>
  <r>
    <x v="1426"/>
    <x v="1426"/>
    <x v="1426"/>
    <x v="28"/>
    <x v="21"/>
    <x v="1426"/>
    <x v="0"/>
    <x v="1"/>
    <x v="0"/>
    <x v="1010"/>
  </r>
  <r>
    <x v="1427"/>
    <x v="1427"/>
    <x v="1427"/>
    <x v="1"/>
    <x v="74"/>
    <x v="1427"/>
    <x v="0"/>
    <x v="1"/>
    <x v="0"/>
    <x v="1011"/>
  </r>
  <r>
    <x v="1428"/>
    <x v="1428"/>
    <x v="1428"/>
    <x v="10"/>
    <x v="60"/>
    <x v="1428"/>
    <x v="0"/>
    <x v="1"/>
    <x v="0"/>
    <x v="1012"/>
  </r>
  <r>
    <x v="1429"/>
    <x v="1429"/>
    <x v="1429"/>
    <x v="9"/>
    <x v="9"/>
    <x v="1429"/>
    <x v="0"/>
    <x v="1"/>
    <x v="0"/>
    <x v="1013"/>
  </r>
  <r>
    <x v="1430"/>
    <x v="1430"/>
    <x v="1430"/>
    <x v="1"/>
    <x v="0"/>
    <x v="1430"/>
    <x v="0"/>
    <x v="1"/>
    <x v="0"/>
    <x v="1014"/>
  </r>
  <r>
    <x v="1431"/>
    <x v="1431"/>
    <x v="1431"/>
    <x v="12"/>
    <x v="0"/>
    <x v="1431"/>
    <x v="0"/>
    <x v="1"/>
    <x v="0"/>
    <x v="1015"/>
  </r>
  <r>
    <x v="1432"/>
    <x v="1432"/>
    <x v="1432"/>
    <x v="13"/>
    <x v="61"/>
    <x v="1432"/>
    <x v="0"/>
    <x v="1"/>
    <x v="0"/>
    <x v="1016"/>
  </r>
  <r>
    <x v="1433"/>
    <x v="1433"/>
    <x v="1433"/>
    <x v="1"/>
    <x v="8"/>
    <x v="1433"/>
    <x v="0"/>
    <x v="1"/>
    <x v="0"/>
    <x v="1017"/>
  </r>
  <r>
    <x v="1434"/>
    <x v="1434"/>
    <x v="1434"/>
    <x v="1"/>
    <x v="8"/>
    <x v="1434"/>
    <x v="0"/>
    <x v="1"/>
    <x v="0"/>
    <x v="1018"/>
  </r>
  <r>
    <x v="1435"/>
    <x v="1435"/>
    <x v="1435"/>
    <x v="13"/>
    <x v="71"/>
    <x v="1435"/>
    <x v="0"/>
    <x v="1"/>
    <x v="0"/>
    <x v="1019"/>
  </r>
  <r>
    <x v="1436"/>
    <x v="1436"/>
    <x v="1436"/>
    <x v="12"/>
    <x v="52"/>
    <x v="1436"/>
    <x v="0"/>
    <x v="1"/>
    <x v="0"/>
    <x v="1020"/>
  </r>
  <r>
    <x v="1437"/>
    <x v="1437"/>
    <x v="1437"/>
    <x v="24"/>
    <x v="87"/>
    <x v="1437"/>
    <x v="0"/>
    <x v="1"/>
    <x v="0"/>
    <x v="1021"/>
  </r>
  <r>
    <x v="1438"/>
    <x v="1438"/>
    <x v="1438"/>
    <x v="3"/>
    <x v="39"/>
    <x v="1438"/>
    <x v="0"/>
    <x v="1"/>
    <x v="0"/>
    <x v="1022"/>
  </r>
  <r>
    <x v="1439"/>
    <x v="1439"/>
    <x v="1439"/>
    <x v="8"/>
    <x v="19"/>
    <x v="1439"/>
    <x v="0"/>
    <x v="1"/>
    <x v="0"/>
    <x v="1023"/>
  </r>
  <r>
    <x v="1440"/>
    <x v="1440"/>
    <x v="1440"/>
    <x v="31"/>
    <x v="39"/>
    <x v="1440"/>
    <x v="0"/>
    <x v="1"/>
    <x v="0"/>
    <x v="1024"/>
  </r>
  <r>
    <x v="1441"/>
    <x v="1441"/>
    <x v="1441"/>
    <x v="1"/>
    <x v="102"/>
    <x v="1441"/>
    <x v="0"/>
    <x v="1"/>
    <x v="0"/>
    <x v="1025"/>
  </r>
  <r>
    <x v="1442"/>
    <x v="1442"/>
    <x v="1442"/>
    <x v="14"/>
    <x v="61"/>
    <x v="1442"/>
    <x v="0"/>
    <x v="1"/>
    <x v="0"/>
    <x v="1026"/>
  </r>
  <r>
    <x v="1443"/>
    <x v="1443"/>
    <x v="1443"/>
    <x v="3"/>
    <x v="7"/>
    <x v="1443"/>
    <x v="0"/>
    <x v="1"/>
    <x v="0"/>
    <x v="1027"/>
  </r>
  <r>
    <x v="1444"/>
    <x v="1444"/>
    <x v="1444"/>
    <x v="31"/>
    <x v="71"/>
    <x v="1444"/>
    <x v="0"/>
    <x v="1"/>
    <x v="0"/>
    <x v="1028"/>
  </r>
  <r>
    <x v="1445"/>
    <x v="1445"/>
    <x v="1445"/>
    <x v="13"/>
    <x v="19"/>
    <x v="1445"/>
    <x v="0"/>
    <x v="1"/>
    <x v="0"/>
    <x v="1029"/>
  </r>
  <r>
    <x v="1446"/>
    <x v="1446"/>
    <x v="1446"/>
    <x v="1"/>
    <x v="11"/>
    <x v="1446"/>
    <x v="0"/>
    <x v="1"/>
    <x v="0"/>
    <x v="1030"/>
  </r>
  <r>
    <x v="1447"/>
    <x v="1447"/>
    <x v="1447"/>
    <x v="31"/>
    <x v="7"/>
    <x v="1447"/>
    <x v="0"/>
    <x v="1"/>
    <x v="0"/>
    <x v="1031"/>
  </r>
  <r>
    <x v="1448"/>
    <x v="1448"/>
    <x v="1448"/>
    <x v="1"/>
    <x v="102"/>
    <x v="1448"/>
    <x v="0"/>
    <x v="1"/>
    <x v="0"/>
    <x v="1032"/>
  </r>
  <r>
    <x v="1449"/>
    <x v="1449"/>
    <x v="1449"/>
    <x v="1"/>
    <x v="6"/>
    <x v="1449"/>
    <x v="0"/>
    <x v="1"/>
    <x v="0"/>
    <x v="1033"/>
  </r>
  <r>
    <x v="1450"/>
    <x v="1450"/>
    <x v="1450"/>
    <x v="20"/>
    <x v="95"/>
    <x v="1450"/>
    <x v="0"/>
    <x v="1"/>
    <x v="0"/>
    <x v="1034"/>
  </r>
  <r>
    <x v="1451"/>
    <x v="1451"/>
    <x v="1451"/>
    <x v="15"/>
    <x v="21"/>
    <x v="1451"/>
    <x v="0"/>
    <x v="1"/>
    <x v="0"/>
    <x v="1035"/>
  </r>
  <r>
    <x v="1452"/>
    <x v="1452"/>
    <x v="1452"/>
    <x v="31"/>
    <x v="39"/>
    <x v="1452"/>
    <x v="0"/>
    <x v="1"/>
    <x v="0"/>
    <x v="1036"/>
  </r>
  <r>
    <x v="1453"/>
    <x v="1453"/>
    <x v="1453"/>
    <x v="8"/>
    <x v="8"/>
    <x v="1453"/>
    <x v="0"/>
    <x v="1"/>
    <x v="0"/>
    <x v="1037"/>
  </r>
  <r>
    <x v="1454"/>
    <x v="1454"/>
    <x v="1454"/>
    <x v="27"/>
    <x v="91"/>
    <x v="1454"/>
    <x v="0"/>
    <x v="1"/>
    <x v="0"/>
    <x v="1038"/>
  </r>
  <r>
    <x v="1455"/>
    <x v="1455"/>
    <x v="1455"/>
    <x v="3"/>
    <x v="19"/>
    <x v="1455"/>
    <x v="0"/>
    <x v="1"/>
    <x v="0"/>
    <x v="1008"/>
  </r>
  <r>
    <x v="1456"/>
    <x v="1456"/>
    <x v="1456"/>
    <x v="1"/>
    <x v="8"/>
    <x v="1456"/>
    <x v="0"/>
    <x v="1"/>
    <x v="0"/>
    <x v="1039"/>
  </r>
  <r>
    <x v="1457"/>
    <x v="1457"/>
    <x v="1457"/>
    <x v="6"/>
    <x v="58"/>
    <x v="1457"/>
    <x v="0"/>
    <x v="1"/>
    <x v="0"/>
    <x v="1040"/>
  </r>
  <r>
    <x v="1458"/>
    <x v="1458"/>
    <x v="1458"/>
    <x v="24"/>
    <x v="96"/>
    <x v="1458"/>
    <x v="0"/>
    <x v="1"/>
    <x v="0"/>
    <x v="1041"/>
  </r>
  <r>
    <x v="1459"/>
    <x v="1459"/>
    <x v="1459"/>
    <x v="7"/>
    <x v="58"/>
    <x v="1459"/>
    <x v="0"/>
    <x v="1"/>
    <x v="0"/>
    <x v="1042"/>
  </r>
  <r>
    <x v="1460"/>
    <x v="1460"/>
    <x v="1460"/>
    <x v="1"/>
    <x v="62"/>
    <x v="1460"/>
    <x v="0"/>
    <x v="1"/>
    <x v="0"/>
    <x v="1043"/>
  </r>
  <r>
    <x v="1461"/>
    <x v="1461"/>
    <x v="1461"/>
    <x v="1"/>
    <x v="0"/>
    <x v="1461"/>
    <x v="0"/>
    <x v="1"/>
    <x v="0"/>
    <x v="1044"/>
  </r>
  <r>
    <x v="1462"/>
    <x v="1462"/>
    <x v="1462"/>
    <x v="31"/>
    <x v="0"/>
    <x v="1462"/>
    <x v="0"/>
    <x v="1"/>
    <x v="0"/>
    <x v="1045"/>
  </r>
  <r>
    <x v="1463"/>
    <x v="1463"/>
    <x v="1463"/>
    <x v="20"/>
    <x v="3"/>
    <x v="1463"/>
    <x v="0"/>
    <x v="1"/>
    <x v="0"/>
    <x v="1046"/>
  </r>
  <r>
    <x v="1464"/>
    <x v="1464"/>
    <x v="1464"/>
    <x v="31"/>
    <x v="5"/>
    <x v="1464"/>
    <x v="0"/>
    <x v="1"/>
    <x v="0"/>
    <x v="1047"/>
  </r>
  <r>
    <x v="1465"/>
    <x v="1465"/>
    <x v="1465"/>
    <x v="7"/>
    <x v="0"/>
    <x v="1465"/>
    <x v="0"/>
    <x v="1"/>
    <x v="0"/>
    <x v="1048"/>
  </r>
  <r>
    <x v="1466"/>
    <x v="1466"/>
    <x v="1466"/>
    <x v="1"/>
    <x v="96"/>
    <x v="1466"/>
    <x v="0"/>
    <x v="1"/>
    <x v="0"/>
    <x v="1049"/>
  </r>
  <r>
    <x v="1467"/>
    <x v="1467"/>
    <x v="1467"/>
    <x v="1"/>
    <x v="58"/>
    <x v="1467"/>
    <x v="0"/>
    <x v="1"/>
    <x v="0"/>
    <x v="1050"/>
  </r>
  <r>
    <x v="1468"/>
    <x v="1468"/>
    <x v="1468"/>
    <x v="3"/>
    <x v="0"/>
    <x v="1468"/>
    <x v="0"/>
    <x v="1"/>
    <x v="0"/>
    <x v="1051"/>
  </r>
  <r>
    <x v="1469"/>
    <x v="1469"/>
    <x v="1469"/>
    <x v="8"/>
    <x v="9"/>
    <x v="1469"/>
    <x v="0"/>
    <x v="1"/>
    <x v="0"/>
    <x v="1052"/>
  </r>
  <r>
    <x v="1470"/>
    <x v="1470"/>
    <x v="1470"/>
    <x v="31"/>
    <x v="54"/>
    <x v="1470"/>
    <x v="0"/>
    <x v="1"/>
    <x v="0"/>
    <x v="1053"/>
  </r>
  <r>
    <x v="1471"/>
    <x v="1471"/>
    <x v="1471"/>
    <x v="1"/>
    <x v="8"/>
    <x v="1471"/>
    <x v="0"/>
    <x v="1"/>
    <x v="0"/>
    <x v="1054"/>
  </r>
  <r>
    <x v="1472"/>
    <x v="1472"/>
    <x v="1472"/>
    <x v="17"/>
    <x v="28"/>
    <x v="1472"/>
    <x v="0"/>
    <x v="1"/>
    <x v="0"/>
    <x v="1055"/>
  </r>
  <r>
    <x v="1473"/>
    <x v="1473"/>
    <x v="1473"/>
    <x v="31"/>
    <x v="54"/>
    <x v="1473"/>
    <x v="0"/>
    <x v="1"/>
    <x v="0"/>
    <x v="1056"/>
  </r>
  <r>
    <x v="1474"/>
    <x v="1474"/>
    <x v="1474"/>
    <x v="8"/>
    <x v="7"/>
    <x v="1474"/>
    <x v="0"/>
    <x v="1"/>
    <x v="0"/>
    <x v="1057"/>
  </r>
  <r>
    <x v="1475"/>
    <x v="1475"/>
    <x v="1475"/>
    <x v="8"/>
    <x v="39"/>
    <x v="1475"/>
    <x v="0"/>
    <x v="1"/>
    <x v="0"/>
    <x v="1058"/>
  </r>
  <r>
    <x v="1476"/>
    <x v="1476"/>
    <x v="1476"/>
    <x v="4"/>
    <x v="30"/>
    <x v="1476"/>
    <x v="0"/>
    <x v="1"/>
    <x v="0"/>
    <x v="1059"/>
  </r>
  <r>
    <x v="1477"/>
    <x v="1477"/>
    <x v="1477"/>
    <x v="1"/>
    <x v="39"/>
    <x v="1477"/>
    <x v="0"/>
    <x v="1"/>
    <x v="0"/>
    <x v="1060"/>
  </r>
  <r>
    <x v="1478"/>
    <x v="1478"/>
    <x v="1478"/>
    <x v="8"/>
    <x v="43"/>
    <x v="1478"/>
    <x v="0"/>
    <x v="1"/>
    <x v="0"/>
    <x v="1061"/>
  </r>
  <r>
    <x v="1479"/>
    <x v="1479"/>
    <x v="1479"/>
    <x v="1"/>
    <x v="23"/>
    <x v="1479"/>
    <x v="0"/>
    <x v="1"/>
    <x v="0"/>
    <x v="1062"/>
  </r>
  <r>
    <x v="1480"/>
    <x v="1480"/>
    <x v="1480"/>
    <x v="1"/>
    <x v="56"/>
    <x v="1480"/>
    <x v="0"/>
    <x v="1"/>
    <x v="0"/>
    <x v="1063"/>
  </r>
  <r>
    <x v="1481"/>
    <x v="1481"/>
    <x v="1481"/>
    <x v="3"/>
    <x v="103"/>
    <x v="1481"/>
    <x v="0"/>
    <x v="1"/>
    <x v="0"/>
    <x v="1064"/>
  </r>
  <r>
    <x v="1482"/>
    <x v="1482"/>
    <x v="1482"/>
    <x v="1"/>
    <x v="61"/>
    <x v="1482"/>
    <x v="0"/>
    <x v="1"/>
    <x v="0"/>
    <x v="1065"/>
  </r>
  <r>
    <x v="1483"/>
    <x v="1483"/>
    <x v="1483"/>
    <x v="22"/>
    <x v="76"/>
    <x v="1483"/>
    <x v="0"/>
    <x v="1"/>
    <x v="0"/>
    <x v="1066"/>
  </r>
  <r>
    <x v="1484"/>
    <x v="1484"/>
    <x v="1484"/>
    <x v="5"/>
    <x v="58"/>
    <x v="1484"/>
    <x v="0"/>
    <x v="1"/>
    <x v="0"/>
    <x v="1067"/>
  </r>
  <r>
    <x v="1485"/>
    <x v="1485"/>
    <x v="1485"/>
    <x v="9"/>
    <x v="39"/>
    <x v="1485"/>
    <x v="0"/>
    <x v="1"/>
    <x v="0"/>
    <x v="1068"/>
  </r>
  <r>
    <x v="1486"/>
    <x v="1486"/>
    <x v="1486"/>
    <x v="1"/>
    <x v="21"/>
    <x v="1486"/>
    <x v="0"/>
    <x v="1"/>
    <x v="0"/>
    <x v="1069"/>
  </r>
  <r>
    <x v="1487"/>
    <x v="1487"/>
    <x v="1487"/>
    <x v="8"/>
    <x v="0"/>
    <x v="1487"/>
    <x v="0"/>
    <x v="1"/>
    <x v="0"/>
    <x v="1070"/>
  </r>
  <r>
    <x v="1488"/>
    <x v="1488"/>
    <x v="1488"/>
    <x v="6"/>
    <x v="61"/>
    <x v="1488"/>
    <x v="0"/>
    <x v="1"/>
    <x v="0"/>
    <x v="1071"/>
  </r>
  <r>
    <x v="1489"/>
    <x v="1489"/>
    <x v="1489"/>
    <x v="24"/>
    <x v="54"/>
    <x v="1489"/>
    <x v="0"/>
    <x v="1"/>
    <x v="0"/>
    <x v="1072"/>
  </r>
  <r>
    <x v="1490"/>
    <x v="1490"/>
    <x v="1490"/>
    <x v="8"/>
    <x v="58"/>
    <x v="1490"/>
    <x v="0"/>
    <x v="1"/>
    <x v="0"/>
    <x v="350"/>
  </r>
  <r>
    <x v="1491"/>
    <x v="1491"/>
    <x v="1491"/>
    <x v="3"/>
    <x v="58"/>
    <x v="1491"/>
    <x v="0"/>
    <x v="1"/>
    <x v="0"/>
    <x v="1073"/>
  </r>
  <r>
    <x v="1492"/>
    <x v="1492"/>
    <x v="1492"/>
    <x v="2"/>
    <x v="37"/>
    <x v="1492"/>
    <x v="0"/>
    <x v="1"/>
    <x v="0"/>
    <x v="1074"/>
  </r>
  <r>
    <x v="1493"/>
    <x v="1493"/>
    <x v="1493"/>
    <x v="22"/>
    <x v="86"/>
    <x v="1493"/>
    <x v="0"/>
    <x v="1"/>
    <x v="0"/>
    <x v="1075"/>
  </r>
  <r>
    <x v="1494"/>
    <x v="1494"/>
    <x v="1494"/>
    <x v="1"/>
    <x v="0"/>
    <x v="1494"/>
    <x v="0"/>
    <x v="1"/>
    <x v="0"/>
    <x v="1076"/>
  </r>
  <r>
    <x v="1495"/>
    <x v="1495"/>
    <x v="1495"/>
    <x v="1"/>
    <x v="58"/>
    <x v="1495"/>
    <x v="0"/>
    <x v="1"/>
    <x v="0"/>
    <x v="1077"/>
  </r>
  <r>
    <x v="1496"/>
    <x v="1496"/>
    <x v="1496"/>
    <x v="3"/>
    <x v="81"/>
    <x v="1496"/>
    <x v="0"/>
    <x v="1"/>
    <x v="0"/>
    <x v="1078"/>
  </r>
  <r>
    <x v="1497"/>
    <x v="1497"/>
    <x v="1497"/>
    <x v="17"/>
    <x v="10"/>
    <x v="1497"/>
    <x v="0"/>
    <x v="1"/>
    <x v="0"/>
    <x v="1079"/>
  </r>
  <r>
    <x v="1498"/>
    <x v="1498"/>
    <x v="1498"/>
    <x v="21"/>
    <x v="75"/>
    <x v="1498"/>
    <x v="0"/>
    <x v="1"/>
    <x v="0"/>
    <x v="1080"/>
  </r>
  <r>
    <x v="1499"/>
    <x v="1499"/>
    <x v="1499"/>
    <x v="20"/>
    <x v="0"/>
    <x v="1499"/>
    <x v="0"/>
    <x v="1"/>
    <x v="0"/>
    <x v="835"/>
  </r>
  <r>
    <x v="1500"/>
    <x v="1500"/>
    <x v="1500"/>
    <x v="20"/>
    <x v="16"/>
    <x v="1500"/>
    <x v="0"/>
    <x v="1"/>
    <x v="0"/>
    <x v="1081"/>
  </r>
  <r>
    <x v="1501"/>
    <x v="1501"/>
    <x v="1501"/>
    <x v="12"/>
    <x v="19"/>
    <x v="1501"/>
    <x v="0"/>
    <x v="1"/>
    <x v="0"/>
    <x v="1082"/>
  </r>
  <r>
    <x v="1502"/>
    <x v="1502"/>
    <x v="1502"/>
    <x v="31"/>
    <x v="70"/>
    <x v="1502"/>
    <x v="0"/>
    <x v="1"/>
    <x v="0"/>
    <x v="1083"/>
  </r>
  <r>
    <x v="1503"/>
    <x v="1503"/>
    <x v="1503"/>
    <x v="19"/>
    <x v="77"/>
    <x v="1503"/>
    <x v="0"/>
    <x v="1"/>
    <x v="0"/>
    <x v="1084"/>
  </r>
  <r>
    <x v="1504"/>
    <x v="1504"/>
    <x v="1504"/>
    <x v="3"/>
    <x v="54"/>
    <x v="1504"/>
    <x v="0"/>
    <x v="1"/>
    <x v="0"/>
    <x v="1085"/>
  </r>
  <r>
    <x v="1505"/>
    <x v="1505"/>
    <x v="1505"/>
    <x v="1"/>
    <x v="21"/>
    <x v="1505"/>
    <x v="0"/>
    <x v="1"/>
    <x v="0"/>
    <x v="1086"/>
  </r>
  <r>
    <x v="1506"/>
    <x v="1506"/>
    <x v="1506"/>
    <x v="1"/>
    <x v="0"/>
    <x v="1506"/>
    <x v="0"/>
    <x v="1"/>
    <x v="0"/>
    <x v="1087"/>
  </r>
  <r>
    <x v="1507"/>
    <x v="1507"/>
    <x v="1507"/>
    <x v="1"/>
    <x v="103"/>
    <x v="1507"/>
    <x v="0"/>
    <x v="1"/>
    <x v="0"/>
    <x v="1088"/>
  </r>
  <r>
    <x v="1508"/>
    <x v="1508"/>
    <x v="1508"/>
    <x v="3"/>
    <x v="39"/>
    <x v="1508"/>
    <x v="0"/>
    <x v="1"/>
    <x v="0"/>
    <x v="1089"/>
  </r>
  <r>
    <x v="1509"/>
    <x v="1509"/>
    <x v="1509"/>
    <x v="1"/>
    <x v="17"/>
    <x v="1509"/>
    <x v="0"/>
    <x v="1"/>
    <x v="0"/>
    <x v="1090"/>
  </r>
  <r>
    <x v="1510"/>
    <x v="1510"/>
    <x v="1510"/>
    <x v="1"/>
    <x v="15"/>
    <x v="1510"/>
    <x v="0"/>
    <x v="1"/>
    <x v="0"/>
    <x v="1091"/>
  </r>
  <r>
    <x v="1511"/>
    <x v="1511"/>
    <x v="1511"/>
    <x v="1"/>
    <x v="39"/>
    <x v="1511"/>
    <x v="0"/>
    <x v="1"/>
    <x v="0"/>
    <x v="1092"/>
  </r>
  <r>
    <x v="1512"/>
    <x v="1512"/>
    <x v="1512"/>
    <x v="23"/>
    <x v="94"/>
    <x v="1512"/>
    <x v="0"/>
    <x v="1"/>
    <x v="0"/>
    <x v="1093"/>
  </r>
  <r>
    <x v="1513"/>
    <x v="1513"/>
    <x v="1513"/>
    <x v="26"/>
    <x v="0"/>
    <x v="1513"/>
    <x v="0"/>
    <x v="1"/>
    <x v="0"/>
    <x v="1094"/>
  </r>
  <r>
    <x v="1514"/>
    <x v="1514"/>
    <x v="1514"/>
    <x v="1"/>
    <x v="0"/>
    <x v="1514"/>
    <x v="0"/>
    <x v="1"/>
    <x v="0"/>
    <x v="1095"/>
  </r>
  <r>
    <x v="1515"/>
    <x v="1515"/>
    <x v="1515"/>
    <x v="4"/>
    <x v="58"/>
    <x v="1515"/>
    <x v="0"/>
    <x v="1"/>
    <x v="0"/>
    <x v="1096"/>
  </r>
  <r>
    <x v="1516"/>
    <x v="1516"/>
    <x v="1516"/>
    <x v="1"/>
    <x v="69"/>
    <x v="1516"/>
    <x v="0"/>
    <x v="1"/>
    <x v="0"/>
    <x v="1097"/>
  </r>
  <r>
    <x v="1517"/>
    <x v="1517"/>
    <x v="1517"/>
    <x v="8"/>
    <x v="11"/>
    <x v="1517"/>
    <x v="0"/>
    <x v="1"/>
    <x v="0"/>
    <x v="1098"/>
  </r>
  <r>
    <x v="1518"/>
    <x v="1518"/>
    <x v="1518"/>
    <x v="5"/>
    <x v="52"/>
    <x v="1518"/>
    <x v="0"/>
    <x v="1"/>
    <x v="0"/>
    <x v="1099"/>
  </r>
  <r>
    <x v="1519"/>
    <x v="1519"/>
    <x v="1519"/>
    <x v="31"/>
    <x v="32"/>
    <x v="1519"/>
    <x v="0"/>
    <x v="1"/>
    <x v="0"/>
    <x v="1100"/>
  </r>
  <r>
    <x v="1520"/>
    <x v="1520"/>
    <x v="1520"/>
    <x v="3"/>
    <x v="99"/>
    <x v="1520"/>
    <x v="0"/>
    <x v="1"/>
    <x v="0"/>
    <x v="1101"/>
  </r>
  <r>
    <x v="1521"/>
    <x v="1521"/>
    <x v="1521"/>
    <x v="31"/>
    <x v="19"/>
    <x v="1521"/>
    <x v="0"/>
    <x v="1"/>
    <x v="0"/>
    <x v="1102"/>
  </r>
  <r>
    <x v="1522"/>
    <x v="1522"/>
    <x v="1522"/>
    <x v="3"/>
    <x v="8"/>
    <x v="1522"/>
    <x v="0"/>
    <x v="1"/>
    <x v="0"/>
    <x v="1103"/>
  </r>
  <r>
    <x v="1523"/>
    <x v="1523"/>
    <x v="1523"/>
    <x v="8"/>
    <x v="94"/>
    <x v="1523"/>
    <x v="0"/>
    <x v="1"/>
    <x v="0"/>
    <x v="1104"/>
  </r>
  <r>
    <x v="1524"/>
    <x v="1524"/>
    <x v="1524"/>
    <x v="31"/>
    <x v="19"/>
    <x v="1524"/>
    <x v="0"/>
    <x v="1"/>
    <x v="0"/>
    <x v="1105"/>
  </r>
  <r>
    <x v="1525"/>
    <x v="1525"/>
    <x v="1525"/>
    <x v="8"/>
    <x v="52"/>
    <x v="1525"/>
    <x v="0"/>
    <x v="1"/>
    <x v="0"/>
    <x v="1106"/>
  </r>
  <r>
    <x v="1526"/>
    <x v="1526"/>
    <x v="1526"/>
    <x v="6"/>
    <x v="43"/>
    <x v="1526"/>
    <x v="0"/>
    <x v="1"/>
    <x v="0"/>
    <x v="1107"/>
  </r>
  <r>
    <x v="1527"/>
    <x v="1527"/>
    <x v="1527"/>
    <x v="31"/>
    <x v="53"/>
    <x v="1527"/>
    <x v="0"/>
    <x v="1"/>
    <x v="0"/>
    <x v="1108"/>
  </r>
  <r>
    <x v="1528"/>
    <x v="1528"/>
    <x v="1528"/>
    <x v="3"/>
    <x v="19"/>
    <x v="1528"/>
    <x v="0"/>
    <x v="1"/>
    <x v="0"/>
    <x v="1109"/>
  </r>
  <r>
    <x v="1529"/>
    <x v="1529"/>
    <x v="1529"/>
    <x v="8"/>
    <x v="7"/>
    <x v="1529"/>
    <x v="0"/>
    <x v="1"/>
    <x v="0"/>
    <x v="1110"/>
  </r>
  <r>
    <x v="1530"/>
    <x v="1530"/>
    <x v="1530"/>
    <x v="3"/>
    <x v="7"/>
    <x v="1530"/>
    <x v="0"/>
    <x v="1"/>
    <x v="0"/>
    <x v="1111"/>
  </r>
  <r>
    <x v="1531"/>
    <x v="1531"/>
    <x v="1531"/>
    <x v="3"/>
    <x v="8"/>
    <x v="1531"/>
    <x v="0"/>
    <x v="1"/>
    <x v="0"/>
    <x v="1112"/>
  </r>
  <r>
    <x v="1532"/>
    <x v="1532"/>
    <x v="1532"/>
    <x v="3"/>
    <x v="8"/>
    <x v="1532"/>
    <x v="0"/>
    <x v="1"/>
    <x v="0"/>
    <x v="1113"/>
  </r>
  <r>
    <x v="1533"/>
    <x v="1533"/>
    <x v="1533"/>
    <x v="24"/>
    <x v="14"/>
    <x v="1533"/>
    <x v="0"/>
    <x v="1"/>
    <x v="0"/>
    <x v="1114"/>
  </r>
  <r>
    <x v="1534"/>
    <x v="1534"/>
    <x v="1534"/>
    <x v="31"/>
    <x v="50"/>
    <x v="1534"/>
    <x v="0"/>
    <x v="1"/>
    <x v="0"/>
    <x v="1115"/>
  </r>
  <r>
    <x v="1535"/>
    <x v="1535"/>
    <x v="1535"/>
    <x v="12"/>
    <x v="94"/>
    <x v="1535"/>
    <x v="0"/>
    <x v="1"/>
    <x v="0"/>
    <x v="1116"/>
  </r>
  <r>
    <x v="1536"/>
    <x v="1536"/>
    <x v="1536"/>
    <x v="31"/>
    <x v="70"/>
    <x v="1536"/>
    <x v="0"/>
    <x v="1"/>
    <x v="0"/>
    <x v="1117"/>
  </r>
  <r>
    <x v="1537"/>
    <x v="1537"/>
    <x v="1537"/>
    <x v="29"/>
    <x v="19"/>
    <x v="1537"/>
    <x v="0"/>
    <x v="1"/>
    <x v="0"/>
    <x v="1118"/>
  </r>
  <r>
    <x v="1538"/>
    <x v="1538"/>
    <x v="1538"/>
    <x v="1"/>
    <x v="104"/>
    <x v="1538"/>
    <x v="0"/>
    <x v="1"/>
    <x v="0"/>
    <x v="1119"/>
  </r>
  <r>
    <x v="1539"/>
    <x v="1539"/>
    <x v="1539"/>
    <x v="12"/>
    <x v="52"/>
    <x v="1539"/>
    <x v="0"/>
    <x v="1"/>
    <x v="0"/>
    <x v="1120"/>
  </r>
  <r>
    <x v="1540"/>
    <x v="1540"/>
    <x v="1540"/>
    <x v="7"/>
    <x v="50"/>
    <x v="1540"/>
    <x v="0"/>
    <x v="1"/>
    <x v="0"/>
    <x v="1121"/>
  </r>
  <r>
    <x v="1541"/>
    <x v="1541"/>
    <x v="1541"/>
    <x v="3"/>
    <x v="87"/>
    <x v="1541"/>
    <x v="0"/>
    <x v="1"/>
    <x v="0"/>
    <x v="1122"/>
  </r>
  <r>
    <x v="1542"/>
    <x v="1542"/>
    <x v="1542"/>
    <x v="12"/>
    <x v="65"/>
    <x v="1542"/>
    <x v="0"/>
    <x v="1"/>
    <x v="0"/>
    <x v="1123"/>
  </r>
  <r>
    <x v="1543"/>
    <x v="1543"/>
    <x v="1543"/>
    <x v="31"/>
    <x v="23"/>
    <x v="1543"/>
    <x v="0"/>
    <x v="1"/>
    <x v="0"/>
    <x v="1108"/>
  </r>
  <r>
    <x v="1544"/>
    <x v="1544"/>
    <x v="1544"/>
    <x v="6"/>
    <x v="86"/>
    <x v="1544"/>
    <x v="0"/>
    <x v="1"/>
    <x v="0"/>
    <x v="1124"/>
  </r>
  <r>
    <x v="1545"/>
    <x v="1545"/>
    <x v="1545"/>
    <x v="11"/>
    <x v="53"/>
    <x v="1545"/>
    <x v="0"/>
    <x v="1"/>
    <x v="0"/>
    <x v="1125"/>
  </r>
  <r>
    <x v="1546"/>
    <x v="1546"/>
    <x v="1546"/>
    <x v="8"/>
    <x v="106"/>
    <x v="1546"/>
    <x v="0"/>
    <x v="1"/>
    <x v="0"/>
    <x v="1126"/>
  </r>
  <r>
    <x v="1547"/>
    <x v="1547"/>
    <x v="1547"/>
    <x v="3"/>
    <x v="19"/>
    <x v="1547"/>
    <x v="0"/>
    <x v="1"/>
    <x v="0"/>
    <x v="1125"/>
  </r>
  <r>
    <x v="1548"/>
    <x v="1548"/>
    <x v="1548"/>
    <x v="3"/>
    <x v="53"/>
    <x v="1548"/>
    <x v="0"/>
    <x v="1"/>
    <x v="0"/>
    <x v="1127"/>
  </r>
  <r>
    <x v="1549"/>
    <x v="1549"/>
    <x v="1549"/>
    <x v="31"/>
    <x v="19"/>
    <x v="1549"/>
    <x v="0"/>
    <x v="1"/>
    <x v="0"/>
    <x v="1128"/>
  </r>
  <r>
    <x v="1550"/>
    <x v="1550"/>
    <x v="1550"/>
    <x v="5"/>
    <x v="94"/>
    <x v="1550"/>
    <x v="0"/>
    <x v="1"/>
    <x v="0"/>
    <x v="1129"/>
  </r>
  <r>
    <x v="1551"/>
    <x v="1551"/>
    <x v="1551"/>
    <x v="31"/>
    <x v="2"/>
    <x v="1551"/>
    <x v="0"/>
    <x v="1"/>
    <x v="0"/>
    <x v="1130"/>
  </r>
  <r>
    <x v="1552"/>
    <x v="1552"/>
    <x v="1552"/>
    <x v="8"/>
    <x v="19"/>
    <x v="1552"/>
    <x v="0"/>
    <x v="1"/>
    <x v="0"/>
    <x v="1131"/>
  </r>
  <r>
    <x v="1553"/>
    <x v="1553"/>
    <x v="1553"/>
    <x v="3"/>
    <x v="52"/>
    <x v="1553"/>
    <x v="0"/>
    <x v="1"/>
    <x v="0"/>
    <x v="1132"/>
  </r>
  <r>
    <x v="1554"/>
    <x v="1554"/>
    <x v="1554"/>
    <x v="3"/>
    <x v="28"/>
    <x v="1554"/>
    <x v="0"/>
    <x v="1"/>
    <x v="0"/>
    <x v="1133"/>
  </r>
  <r>
    <x v="1555"/>
    <x v="1555"/>
    <x v="1555"/>
    <x v="5"/>
    <x v="50"/>
    <x v="1555"/>
    <x v="0"/>
    <x v="1"/>
    <x v="0"/>
    <x v="1134"/>
  </r>
  <r>
    <x v="1556"/>
    <x v="1556"/>
    <x v="1556"/>
    <x v="8"/>
    <x v="7"/>
    <x v="1556"/>
    <x v="0"/>
    <x v="1"/>
    <x v="0"/>
    <x v="1135"/>
  </r>
  <r>
    <x v="1557"/>
    <x v="1557"/>
    <x v="1557"/>
    <x v="8"/>
    <x v="19"/>
    <x v="1557"/>
    <x v="0"/>
    <x v="1"/>
    <x v="0"/>
    <x v="1136"/>
  </r>
  <r>
    <x v="1558"/>
    <x v="1558"/>
    <x v="1558"/>
    <x v="10"/>
    <x v="7"/>
    <x v="1558"/>
    <x v="0"/>
    <x v="1"/>
    <x v="0"/>
    <x v="1137"/>
  </r>
  <r>
    <x v="1559"/>
    <x v="1559"/>
    <x v="1559"/>
    <x v="5"/>
    <x v="92"/>
    <x v="1559"/>
    <x v="0"/>
    <x v="1"/>
    <x v="0"/>
    <x v="1138"/>
  </r>
  <r>
    <x v="1560"/>
    <x v="1560"/>
    <x v="1560"/>
    <x v="3"/>
    <x v="13"/>
    <x v="1560"/>
    <x v="0"/>
    <x v="1"/>
    <x v="0"/>
    <x v="1139"/>
  </r>
  <r>
    <x v="1561"/>
    <x v="1561"/>
    <x v="1561"/>
    <x v="7"/>
    <x v="41"/>
    <x v="1561"/>
    <x v="0"/>
    <x v="1"/>
    <x v="0"/>
    <x v="1140"/>
  </r>
  <r>
    <x v="1562"/>
    <x v="1562"/>
    <x v="1562"/>
    <x v="8"/>
    <x v="84"/>
    <x v="1562"/>
    <x v="0"/>
    <x v="1"/>
    <x v="0"/>
    <x v="1141"/>
  </r>
  <r>
    <x v="1563"/>
    <x v="1563"/>
    <x v="1563"/>
    <x v="31"/>
    <x v="82"/>
    <x v="1563"/>
    <x v="0"/>
    <x v="1"/>
    <x v="0"/>
    <x v="1142"/>
  </r>
  <r>
    <x v="1564"/>
    <x v="1564"/>
    <x v="1564"/>
    <x v="31"/>
    <x v="50"/>
    <x v="1564"/>
    <x v="0"/>
    <x v="1"/>
    <x v="0"/>
    <x v="1143"/>
  </r>
  <r>
    <x v="1565"/>
    <x v="1565"/>
    <x v="1565"/>
    <x v="26"/>
    <x v="70"/>
    <x v="1565"/>
    <x v="0"/>
    <x v="1"/>
    <x v="0"/>
    <x v="1144"/>
  </r>
  <r>
    <x v="1566"/>
    <x v="1566"/>
    <x v="1566"/>
    <x v="3"/>
    <x v="55"/>
    <x v="1566"/>
    <x v="0"/>
    <x v="1"/>
    <x v="0"/>
    <x v="1145"/>
  </r>
  <r>
    <x v="1567"/>
    <x v="1567"/>
    <x v="1567"/>
    <x v="1"/>
    <x v="8"/>
    <x v="1567"/>
    <x v="0"/>
    <x v="1"/>
    <x v="0"/>
    <x v="1146"/>
  </r>
  <r>
    <x v="1568"/>
    <x v="1568"/>
    <x v="1568"/>
    <x v="0"/>
    <x v="7"/>
    <x v="1568"/>
    <x v="0"/>
    <x v="1"/>
    <x v="0"/>
    <x v="1147"/>
  </r>
  <r>
    <x v="1569"/>
    <x v="1569"/>
    <x v="1569"/>
    <x v="3"/>
    <x v="82"/>
    <x v="1569"/>
    <x v="0"/>
    <x v="1"/>
    <x v="0"/>
    <x v="1083"/>
  </r>
  <r>
    <x v="1570"/>
    <x v="1570"/>
    <x v="1570"/>
    <x v="17"/>
    <x v="52"/>
    <x v="1570"/>
    <x v="0"/>
    <x v="1"/>
    <x v="0"/>
    <x v="1148"/>
  </r>
  <r>
    <x v="1571"/>
    <x v="1571"/>
    <x v="1571"/>
    <x v="31"/>
    <x v="99"/>
    <x v="1571"/>
    <x v="0"/>
    <x v="1"/>
    <x v="0"/>
    <x v="1149"/>
  </r>
  <r>
    <x v="1572"/>
    <x v="1572"/>
    <x v="1572"/>
    <x v="19"/>
    <x v="107"/>
    <x v="1572"/>
    <x v="0"/>
    <x v="1"/>
    <x v="0"/>
    <x v="1150"/>
  </r>
  <r>
    <x v="1573"/>
    <x v="1573"/>
    <x v="1573"/>
    <x v="8"/>
    <x v="7"/>
    <x v="1573"/>
    <x v="0"/>
    <x v="1"/>
    <x v="0"/>
    <x v="1151"/>
  </r>
  <r>
    <x v="1574"/>
    <x v="1574"/>
    <x v="1574"/>
    <x v="8"/>
    <x v="73"/>
    <x v="1574"/>
    <x v="0"/>
    <x v="1"/>
    <x v="0"/>
    <x v="1152"/>
  </r>
  <r>
    <x v="1575"/>
    <x v="1575"/>
    <x v="1575"/>
    <x v="8"/>
    <x v="53"/>
    <x v="1575"/>
    <x v="0"/>
    <x v="1"/>
    <x v="0"/>
    <x v="1153"/>
  </r>
  <r>
    <x v="1576"/>
    <x v="1576"/>
    <x v="1576"/>
    <x v="7"/>
    <x v="52"/>
    <x v="1576"/>
    <x v="0"/>
    <x v="1"/>
    <x v="0"/>
    <x v="1154"/>
  </r>
  <r>
    <x v="1577"/>
    <x v="1577"/>
    <x v="1577"/>
    <x v="3"/>
    <x v="99"/>
    <x v="1577"/>
    <x v="0"/>
    <x v="1"/>
    <x v="0"/>
    <x v="1155"/>
  </r>
  <r>
    <x v="1578"/>
    <x v="1578"/>
    <x v="1578"/>
    <x v="8"/>
    <x v="50"/>
    <x v="1578"/>
    <x v="0"/>
    <x v="1"/>
    <x v="0"/>
    <x v="1156"/>
  </r>
  <r>
    <x v="1579"/>
    <x v="1579"/>
    <x v="1579"/>
    <x v="11"/>
    <x v="41"/>
    <x v="1579"/>
    <x v="0"/>
    <x v="1"/>
    <x v="0"/>
    <x v="1157"/>
  </r>
  <r>
    <x v="1580"/>
    <x v="1580"/>
    <x v="1580"/>
    <x v="8"/>
    <x v="53"/>
    <x v="1580"/>
    <x v="0"/>
    <x v="1"/>
    <x v="0"/>
    <x v="1158"/>
  </r>
  <r>
    <x v="1581"/>
    <x v="1581"/>
    <x v="1581"/>
    <x v="31"/>
    <x v="28"/>
    <x v="1581"/>
    <x v="0"/>
    <x v="1"/>
    <x v="0"/>
    <x v="1159"/>
  </r>
  <r>
    <x v="1582"/>
    <x v="1582"/>
    <x v="1582"/>
    <x v="8"/>
    <x v="19"/>
    <x v="1582"/>
    <x v="0"/>
    <x v="1"/>
    <x v="0"/>
    <x v="1160"/>
  </r>
  <r>
    <x v="1583"/>
    <x v="1583"/>
    <x v="1583"/>
    <x v="12"/>
    <x v="42"/>
    <x v="1583"/>
    <x v="0"/>
    <x v="1"/>
    <x v="0"/>
    <x v="1161"/>
  </r>
  <r>
    <x v="1584"/>
    <x v="1584"/>
    <x v="1584"/>
    <x v="1"/>
    <x v="34"/>
    <x v="1584"/>
    <x v="0"/>
    <x v="1"/>
    <x v="0"/>
    <x v="850"/>
  </r>
  <r>
    <x v="1585"/>
    <x v="1585"/>
    <x v="1585"/>
    <x v="8"/>
    <x v="43"/>
    <x v="1585"/>
    <x v="0"/>
    <x v="1"/>
    <x v="0"/>
    <x v="1162"/>
  </r>
  <r>
    <x v="1586"/>
    <x v="1586"/>
    <x v="1586"/>
    <x v="8"/>
    <x v="19"/>
    <x v="1586"/>
    <x v="0"/>
    <x v="1"/>
    <x v="0"/>
    <x v="1163"/>
  </r>
  <r>
    <x v="1587"/>
    <x v="1587"/>
    <x v="1587"/>
    <x v="3"/>
    <x v="53"/>
    <x v="1587"/>
    <x v="0"/>
    <x v="1"/>
    <x v="0"/>
    <x v="1164"/>
  </r>
  <r>
    <x v="1588"/>
    <x v="1588"/>
    <x v="1588"/>
    <x v="8"/>
    <x v="22"/>
    <x v="1588"/>
    <x v="0"/>
    <x v="1"/>
    <x v="0"/>
    <x v="1165"/>
  </r>
  <r>
    <x v="1589"/>
    <x v="1589"/>
    <x v="1589"/>
    <x v="8"/>
    <x v="104"/>
    <x v="1589"/>
    <x v="0"/>
    <x v="1"/>
    <x v="0"/>
    <x v="1166"/>
  </r>
  <r>
    <x v="1590"/>
    <x v="1590"/>
    <x v="1590"/>
    <x v="24"/>
    <x v="58"/>
    <x v="1590"/>
    <x v="0"/>
    <x v="1"/>
    <x v="0"/>
    <x v="1167"/>
  </r>
  <r>
    <x v="1591"/>
    <x v="1591"/>
    <x v="1591"/>
    <x v="3"/>
    <x v="7"/>
    <x v="1591"/>
    <x v="0"/>
    <x v="1"/>
    <x v="0"/>
    <x v="392"/>
  </r>
  <r>
    <x v="1592"/>
    <x v="1592"/>
    <x v="1592"/>
    <x v="1"/>
    <x v="23"/>
    <x v="1592"/>
    <x v="0"/>
    <x v="1"/>
    <x v="0"/>
    <x v="1168"/>
  </r>
  <r>
    <x v="1593"/>
    <x v="1593"/>
    <x v="1593"/>
    <x v="2"/>
    <x v="29"/>
    <x v="1593"/>
    <x v="0"/>
    <x v="1"/>
    <x v="0"/>
    <x v="1169"/>
  </r>
  <r>
    <x v="1594"/>
    <x v="1594"/>
    <x v="1594"/>
    <x v="20"/>
    <x v="98"/>
    <x v="1594"/>
    <x v="0"/>
    <x v="1"/>
    <x v="0"/>
    <x v="1170"/>
  </r>
  <r>
    <x v="1595"/>
    <x v="1595"/>
    <x v="1595"/>
    <x v="11"/>
    <x v="44"/>
    <x v="1595"/>
    <x v="0"/>
    <x v="1"/>
    <x v="0"/>
    <x v="1171"/>
  </r>
  <r>
    <x v="1596"/>
    <x v="1596"/>
    <x v="1596"/>
    <x v="12"/>
    <x v="49"/>
    <x v="1596"/>
    <x v="0"/>
    <x v="1"/>
    <x v="0"/>
    <x v="1172"/>
  </r>
  <r>
    <x v="1597"/>
    <x v="1597"/>
    <x v="1597"/>
    <x v="8"/>
    <x v="37"/>
    <x v="1597"/>
    <x v="0"/>
    <x v="1"/>
    <x v="0"/>
    <x v="1173"/>
  </r>
  <r>
    <x v="1598"/>
    <x v="1598"/>
    <x v="1598"/>
    <x v="8"/>
    <x v="7"/>
    <x v="1598"/>
    <x v="0"/>
    <x v="1"/>
    <x v="0"/>
    <x v="1174"/>
  </r>
  <r>
    <x v="1599"/>
    <x v="1599"/>
    <x v="1599"/>
    <x v="24"/>
    <x v="14"/>
    <x v="1599"/>
    <x v="0"/>
    <x v="1"/>
    <x v="0"/>
    <x v="1175"/>
  </r>
  <r>
    <x v="1600"/>
    <x v="1600"/>
    <x v="1600"/>
    <x v="31"/>
    <x v="18"/>
    <x v="1600"/>
    <x v="0"/>
    <x v="1"/>
    <x v="0"/>
    <x v="1118"/>
  </r>
  <r>
    <x v="1601"/>
    <x v="1601"/>
    <x v="1601"/>
    <x v="20"/>
    <x v="7"/>
    <x v="1601"/>
    <x v="0"/>
    <x v="1"/>
    <x v="0"/>
    <x v="1176"/>
  </r>
  <r>
    <x v="1602"/>
    <x v="1602"/>
    <x v="1602"/>
    <x v="6"/>
    <x v="63"/>
    <x v="1602"/>
    <x v="0"/>
    <x v="1"/>
    <x v="0"/>
    <x v="1177"/>
  </r>
  <r>
    <x v="1603"/>
    <x v="1603"/>
    <x v="1603"/>
    <x v="3"/>
    <x v="6"/>
    <x v="1603"/>
    <x v="0"/>
    <x v="1"/>
    <x v="0"/>
    <x v="1178"/>
  </r>
  <r>
    <x v="1604"/>
    <x v="1604"/>
    <x v="1604"/>
    <x v="14"/>
    <x v="59"/>
    <x v="1604"/>
    <x v="0"/>
    <x v="1"/>
    <x v="0"/>
    <x v="1179"/>
  </r>
  <r>
    <x v="1605"/>
    <x v="1605"/>
    <x v="1605"/>
    <x v="12"/>
    <x v="83"/>
    <x v="1605"/>
    <x v="0"/>
    <x v="1"/>
    <x v="0"/>
    <x v="1161"/>
  </r>
  <r>
    <x v="1606"/>
    <x v="1606"/>
    <x v="1606"/>
    <x v="3"/>
    <x v="71"/>
    <x v="1606"/>
    <x v="0"/>
    <x v="1"/>
    <x v="0"/>
    <x v="1180"/>
  </r>
  <r>
    <x v="1607"/>
    <x v="1607"/>
    <x v="1607"/>
    <x v="8"/>
    <x v="11"/>
    <x v="1607"/>
    <x v="0"/>
    <x v="1"/>
    <x v="0"/>
    <x v="1181"/>
  </r>
  <r>
    <x v="1608"/>
    <x v="1608"/>
    <x v="1608"/>
    <x v="3"/>
    <x v="82"/>
    <x v="1608"/>
    <x v="0"/>
    <x v="1"/>
    <x v="0"/>
    <x v="1181"/>
  </r>
  <r>
    <x v="1609"/>
    <x v="1609"/>
    <x v="1609"/>
    <x v="0"/>
    <x v="28"/>
    <x v="1609"/>
    <x v="0"/>
    <x v="1"/>
    <x v="0"/>
    <x v="1182"/>
  </r>
  <r>
    <x v="1610"/>
    <x v="1610"/>
    <x v="1610"/>
    <x v="31"/>
    <x v="19"/>
    <x v="1610"/>
    <x v="0"/>
    <x v="1"/>
    <x v="0"/>
    <x v="1183"/>
  </r>
  <r>
    <x v="1611"/>
    <x v="1611"/>
    <x v="1611"/>
    <x v="31"/>
    <x v="18"/>
    <x v="1611"/>
    <x v="0"/>
    <x v="1"/>
    <x v="0"/>
    <x v="388"/>
  </r>
  <r>
    <x v="1612"/>
    <x v="1612"/>
    <x v="1612"/>
    <x v="1"/>
    <x v="44"/>
    <x v="1612"/>
    <x v="0"/>
    <x v="1"/>
    <x v="0"/>
    <x v="1184"/>
  </r>
  <r>
    <x v="1613"/>
    <x v="1613"/>
    <x v="1613"/>
    <x v="24"/>
    <x v="3"/>
    <x v="1613"/>
    <x v="0"/>
    <x v="1"/>
    <x v="0"/>
    <x v="1185"/>
  </r>
  <r>
    <x v="1614"/>
    <x v="1614"/>
    <x v="1614"/>
    <x v="1"/>
    <x v="49"/>
    <x v="1614"/>
    <x v="0"/>
    <x v="1"/>
    <x v="0"/>
    <x v="1186"/>
  </r>
  <r>
    <x v="1615"/>
    <x v="1615"/>
    <x v="1615"/>
    <x v="31"/>
    <x v="82"/>
    <x v="1615"/>
    <x v="0"/>
    <x v="1"/>
    <x v="0"/>
    <x v="1187"/>
  </r>
  <r>
    <x v="1616"/>
    <x v="1616"/>
    <x v="1616"/>
    <x v="8"/>
    <x v="95"/>
    <x v="1616"/>
    <x v="0"/>
    <x v="1"/>
    <x v="0"/>
    <x v="1188"/>
  </r>
  <r>
    <x v="1617"/>
    <x v="1617"/>
    <x v="1617"/>
    <x v="8"/>
    <x v="84"/>
    <x v="1617"/>
    <x v="0"/>
    <x v="1"/>
    <x v="0"/>
    <x v="1189"/>
  </r>
  <r>
    <x v="1618"/>
    <x v="1618"/>
    <x v="1618"/>
    <x v="31"/>
    <x v="53"/>
    <x v="1618"/>
    <x v="0"/>
    <x v="1"/>
    <x v="0"/>
    <x v="1190"/>
  </r>
  <r>
    <x v="1619"/>
    <x v="1619"/>
    <x v="1619"/>
    <x v="27"/>
    <x v="27"/>
    <x v="1619"/>
    <x v="0"/>
    <x v="1"/>
    <x v="0"/>
    <x v="1191"/>
  </r>
  <r>
    <x v="1620"/>
    <x v="1620"/>
    <x v="1620"/>
    <x v="3"/>
    <x v="13"/>
    <x v="1620"/>
    <x v="0"/>
    <x v="1"/>
    <x v="0"/>
    <x v="1192"/>
  </r>
  <r>
    <x v="1621"/>
    <x v="1621"/>
    <x v="1621"/>
    <x v="3"/>
    <x v="29"/>
    <x v="1621"/>
    <x v="0"/>
    <x v="1"/>
    <x v="0"/>
    <x v="1193"/>
  </r>
  <r>
    <x v="1622"/>
    <x v="1622"/>
    <x v="1622"/>
    <x v="1"/>
    <x v="2"/>
    <x v="1622"/>
    <x v="0"/>
    <x v="1"/>
    <x v="0"/>
    <x v="1194"/>
  </r>
  <r>
    <x v="1623"/>
    <x v="1623"/>
    <x v="1623"/>
    <x v="21"/>
    <x v="45"/>
    <x v="1623"/>
    <x v="0"/>
    <x v="1"/>
    <x v="0"/>
    <x v="1195"/>
  </r>
  <r>
    <x v="1624"/>
    <x v="1624"/>
    <x v="1624"/>
    <x v="6"/>
    <x v="92"/>
    <x v="1624"/>
    <x v="0"/>
    <x v="1"/>
    <x v="0"/>
    <x v="381"/>
  </r>
  <r>
    <x v="1625"/>
    <x v="1625"/>
    <x v="1625"/>
    <x v="12"/>
    <x v="79"/>
    <x v="1625"/>
    <x v="0"/>
    <x v="1"/>
    <x v="0"/>
    <x v="384"/>
  </r>
  <r>
    <x v="1626"/>
    <x v="1626"/>
    <x v="1626"/>
    <x v="3"/>
    <x v="52"/>
    <x v="1626"/>
    <x v="0"/>
    <x v="1"/>
    <x v="0"/>
    <x v="1196"/>
  </r>
  <r>
    <x v="1627"/>
    <x v="1627"/>
    <x v="1627"/>
    <x v="10"/>
    <x v="90"/>
    <x v="1627"/>
    <x v="0"/>
    <x v="1"/>
    <x v="0"/>
    <x v="1197"/>
  </r>
  <r>
    <x v="1628"/>
    <x v="1628"/>
    <x v="1628"/>
    <x v="3"/>
    <x v="19"/>
    <x v="1628"/>
    <x v="0"/>
    <x v="1"/>
    <x v="0"/>
    <x v="1108"/>
  </r>
  <r>
    <x v="1629"/>
    <x v="1629"/>
    <x v="1629"/>
    <x v="31"/>
    <x v="53"/>
    <x v="1629"/>
    <x v="0"/>
    <x v="1"/>
    <x v="0"/>
    <x v="1198"/>
  </r>
  <r>
    <x v="1630"/>
    <x v="1630"/>
    <x v="1630"/>
    <x v="0"/>
    <x v="13"/>
    <x v="1630"/>
    <x v="0"/>
    <x v="1"/>
    <x v="0"/>
    <x v="1199"/>
  </r>
  <r>
    <x v="1631"/>
    <x v="1631"/>
    <x v="1631"/>
    <x v="3"/>
    <x v="19"/>
    <x v="1631"/>
    <x v="0"/>
    <x v="1"/>
    <x v="0"/>
    <x v="1200"/>
  </r>
  <r>
    <x v="1632"/>
    <x v="1632"/>
    <x v="1632"/>
    <x v="3"/>
    <x v="8"/>
    <x v="1632"/>
    <x v="0"/>
    <x v="1"/>
    <x v="0"/>
    <x v="1201"/>
  </r>
  <r>
    <x v="1633"/>
    <x v="1633"/>
    <x v="1633"/>
    <x v="8"/>
    <x v="48"/>
    <x v="1633"/>
    <x v="0"/>
    <x v="1"/>
    <x v="0"/>
    <x v="1202"/>
  </r>
  <r>
    <x v="1634"/>
    <x v="1634"/>
    <x v="1634"/>
    <x v="23"/>
    <x v="19"/>
    <x v="1634"/>
    <x v="0"/>
    <x v="1"/>
    <x v="0"/>
    <x v="1203"/>
  </r>
  <r>
    <x v="1635"/>
    <x v="1635"/>
    <x v="1635"/>
    <x v="12"/>
    <x v="54"/>
    <x v="1635"/>
    <x v="0"/>
    <x v="1"/>
    <x v="0"/>
    <x v="1204"/>
  </r>
  <r>
    <x v="1636"/>
    <x v="1636"/>
    <x v="1636"/>
    <x v="8"/>
    <x v="36"/>
    <x v="1636"/>
    <x v="0"/>
    <x v="1"/>
    <x v="0"/>
    <x v="1205"/>
  </r>
  <r>
    <x v="1637"/>
    <x v="1637"/>
    <x v="1637"/>
    <x v="27"/>
    <x v="53"/>
    <x v="1637"/>
    <x v="0"/>
    <x v="1"/>
    <x v="0"/>
    <x v="1206"/>
  </r>
  <r>
    <x v="1638"/>
    <x v="1638"/>
    <x v="1638"/>
    <x v="31"/>
    <x v="50"/>
    <x v="1638"/>
    <x v="0"/>
    <x v="1"/>
    <x v="0"/>
    <x v="366"/>
  </r>
  <r>
    <x v="1639"/>
    <x v="1639"/>
    <x v="1639"/>
    <x v="8"/>
    <x v="2"/>
    <x v="1639"/>
    <x v="0"/>
    <x v="1"/>
    <x v="0"/>
    <x v="1207"/>
  </r>
  <r>
    <x v="1640"/>
    <x v="1640"/>
    <x v="1640"/>
    <x v="10"/>
    <x v="8"/>
    <x v="1640"/>
    <x v="0"/>
    <x v="1"/>
    <x v="0"/>
    <x v="1208"/>
  </r>
  <r>
    <x v="1641"/>
    <x v="1641"/>
    <x v="1641"/>
    <x v="8"/>
    <x v="3"/>
    <x v="1641"/>
    <x v="0"/>
    <x v="1"/>
    <x v="0"/>
    <x v="1209"/>
  </r>
  <r>
    <x v="1642"/>
    <x v="1642"/>
    <x v="1642"/>
    <x v="8"/>
    <x v="19"/>
    <x v="1642"/>
    <x v="0"/>
    <x v="1"/>
    <x v="0"/>
    <x v="1210"/>
  </r>
  <r>
    <x v="1643"/>
    <x v="1643"/>
    <x v="1643"/>
    <x v="3"/>
    <x v="19"/>
    <x v="1643"/>
    <x v="0"/>
    <x v="1"/>
    <x v="0"/>
    <x v="1211"/>
  </r>
  <r>
    <x v="1644"/>
    <x v="1644"/>
    <x v="1644"/>
    <x v="22"/>
    <x v="94"/>
    <x v="1644"/>
    <x v="0"/>
    <x v="1"/>
    <x v="0"/>
    <x v="1212"/>
  </r>
  <r>
    <x v="1645"/>
    <x v="1645"/>
    <x v="1645"/>
    <x v="8"/>
    <x v="52"/>
    <x v="1645"/>
    <x v="0"/>
    <x v="1"/>
    <x v="0"/>
    <x v="1213"/>
  </r>
  <r>
    <x v="1646"/>
    <x v="1646"/>
    <x v="1646"/>
    <x v="12"/>
    <x v="50"/>
    <x v="1646"/>
    <x v="0"/>
    <x v="1"/>
    <x v="0"/>
    <x v="1214"/>
  </r>
  <r>
    <x v="1647"/>
    <x v="1647"/>
    <x v="1647"/>
    <x v="3"/>
    <x v="8"/>
    <x v="1647"/>
    <x v="0"/>
    <x v="1"/>
    <x v="0"/>
    <x v="1215"/>
  </r>
  <r>
    <x v="1648"/>
    <x v="1648"/>
    <x v="1648"/>
    <x v="3"/>
    <x v="7"/>
    <x v="1648"/>
    <x v="0"/>
    <x v="1"/>
    <x v="0"/>
    <x v="1216"/>
  </r>
  <r>
    <x v="1649"/>
    <x v="1649"/>
    <x v="1649"/>
    <x v="8"/>
    <x v="13"/>
    <x v="1649"/>
    <x v="0"/>
    <x v="1"/>
    <x v="0"/>
    <x v="980"/>
  </r>
  <r>
    <x v="1650"/>
    <x v="1650"/>
    <x v="1650"/>
    <x v="12"/>
    <x v="59"/>
    <x v="1650"/>
    <x v="0"/>
    <x v="1"/>
    <x v="0"/>
    <x v="1217"/>
  </r>
  <r>
    <x v="1651"/>
    <x v="1651"/>
    <x v="1651"/>
    <x v="3"/>
    <x v="63"/>
    <x v="1651"/>
    <x v="0"/>
    <x v="1"/>
    <x v="0"/>
    <x v="1218"/>
  </r>
  <r>
    <x v="1652"/>
    <x v="1652"/>
    <x v="1652"/>
    <x v="31"/>
    <x v="2"/>
    <x v="1652"/>
    <x v="0"/>
    <x v="1"/>
    <x v="0"/>
    <x v="1219"/>
  </r>
  <r>
    <x v="1653"/>
    <x v="1653"/>
    <x v="1653"/>
    <x v="20"/>
    <x v="7"/>
    <x v="1653"/>
    <x v="0"/>
    <x v="1"/>
    <x v="0"/>
    <x v="1220"/>
  </r>
  <r>
    <x v="1654"/>
    <x v="1654"/>
    <x v="1654"/>
    <x v="31"/>
    <x v="52"/>
    <x v="1654"/>
    <x v="0"/>
    <x v="1"/>
    <x v="0"/>
    <x v="1221"/>
  </r>
  <r>
    <x v="1655"/>
    <x v="1655"/>
    <x v="1655"/>
    <x v="8"/>
    <x v="10"/>
    <x v="1655"/>
    <x v="0"/>
    <x v="1"/>
    <x v="0"/>
    <x v="1222"/>
  </r>
  <r>
    <x v="1656"/>
    <x v="1656"/>
    <x v="1656"/>
    <x v="31"/>
    <x v="11"/>
    <x v="1656"/>
    <x v="0"/>
    <x v="1"/>
    <x v="0"/>
    <x v="1223"/>
  </r>
  <r>
    <x v="1657"/>
    <x v="1657"/>
    <x v="1657"/>
    <x v="31"/>
    <x v="19"/>
    <x v="1657"/>
    <x v="0"/>
    <x v="1"/>
    <x v="0"/>
    <x v="1224"/>
  </r>
  <r>
    <x v="1658"/>
    <x v="1658"/>
    <x v="1658"/>
    <x v="6"/>
    <x v="64"/>
    <x v="1658"/>
    <x v="0"/>
    <x v="1"/>
    <x v="0"/>
    <x v="1225"/>
  </r>
  <r>
    <x v="1659"/>
    <x v="1659"/>
    <x v="1659"/>
    <x v="6"/>
    <x v="29"/>
    <x v="1659"/>
    <x v="0"/>
    <x v="1"/>
    <x v="0"/>
    <x v="1226"/>
  </r>
  <r>
    <x v="1660"/>
    <x v="1660"/>
    <x v="1660"/>
    <x v="31"/>
    <x v="3"/>
    <x v="1660"/>
    <x v="0"/>
    <x v="1"/>
    <x v="0"/>
    <x v="1227"/>
  </r>
  <r>
    <x v="1661"/>
    <x v="1661"/>
    <x v="1661"/>
    <x v="3"/>
    <x v="19"/>
    <x v="1661"/>
    <x v="0"/>
    <x v="1"/>
    <x v="0"/>
    <x v="1228"/>
  </r>
  <r>
    <x v="1662"/>
    <x v="1662"/>
    <x v="1662"/>
    <x v="3"/>
    <x v="53"/>
    <x v="1662"/>
    <x v="0"/>
    <x v="1"/>
    <x v="0"/>
    <x v="1229"/>
  </r>
  <r>
    <x v="1663"/>
    <x v="1663"/>
    <x v="1663"/>
    <x v="3"/>
    <x v="2"/>
    <x v="1663"/>
    <x v="0"/>
    <x v="1"/>
    <x v="0"/>
    <x v="1230"/>
  </r>
  <r>
    <x v="1664"/>
    <x v="1664"/>
    <x v="1664"/>
    <x v="8"/>
    <x v="94"/>
    <x v="1664"/>
    <x v="0"/>
    <x v="1"/>
    <x v="0"/>
    <x v="1231"/>
  </r>
  <r>
    <x v="1665"/>
    <x v="1665"/>
    <x v="1665"/>
    <x v="22"/>
    <x v="54"/>
    <x v="1665"/>
    <x v="0"/>
    <x v="1"/>
    <x v="0"/>
    <x v="1232"/>
  </r>
  <r>
    <x v="1666"/>
    <x v="1666"/>
    <x v="1666"/>
    <x v="31"/>
    <x v="19"/>
    <x v="1666"/>
    <x v="0"/>
    <x v="1"/>
    <x v="0"/>
    <x v="398"/>
  </r>
  <r>
    <x v="1667"/>
    <x v="1667"/>
    <x v="1667"/>
    <x v="3"/>
    <x v="92"/>
    <x v="1667"/>
    <x v="0"/>
    <x v="1"/>
    <x v="0"/>
    <x v="1233"/>
  </r>
  <r>
    <x v="1668"/>
    <x v="1668"/>
    <x v="1668"/>
    <x v="8"/>
    <x v="52"/>
    <x v="1668"/>
    <x v="0"/>
    <x v="1"/>
    <x v="0"/>
    <x v="1234"/>
  </r>
  <r>
    <x v="1669"/>
    <x v="1669"/>
    <x v="1669"/>
    <x v="31"/>
    <x v="44"/>
    <x v="1669"/>
    <x v="0"/>
    <x v="1"/>
    <x v="0"/>
    <x v="1235"/>
  </r>
  <r>
    <x v="1670"/>
    <x v="1670"/>
    <x v="1670"/>
    <x v="8"/>
    <x v="10"/>
    <x v="1670"/>
    <x v="0"/>
    <x v="1"/>
    <x v="0"/>
    <x v="1236"/>
  </r>
  <r>
    <x v="1671"/>
    <x v="1671"/>
    <x v="1671"/>
    <x v="8"/>
    <x v="94"/>
    <x v="1671"/>
    <x v="0"/>
    <x v="1"/>
    <x v="0"/>
    <x v="1237"/>
  </r>
  <r>
    <x v="1672"/>
    <x v="1672"/>
    <x v="1672"/>
    <x v="12"/>
    <x v="52"/>
    <x v="1672"/>
    <x v="0"/>
    <x v="1"/>
    <x v="0"/>
    <x v="1238"/>
  </r>
  <r>
    <x v="1673"/>
    <x v="1673"/>
    <x v="1673"/>
    <x v="8"/>
    <x v="7"/>
    <x v="1673"/>
    <x v="0"/>
    <x v="1"/>
    <x v="0"/>
    <x v="1239"/>
  </r>
  <r>
    <x v="1674"/>
    <x v="1674"/>
    <x v="1674"/>
    <x v="8"/>
    <x v="10"/>
    <x v="1674"/>
    <x v="0"/>
    <x v="1"/>
    <x v="0"/>
    <x v="1240"/>
  </r>
  <r>
    <x v="1675"/>
    <x v="1675"/>
    <x v="1675"/>
    <x v="17"/>
    <x v="28"/>
    <x v="1675"/>
    <x v="0"/>
    <x v="1"/>
    <x v="0"/>
    <x v="1241"/>
  </r>
  <r>
    <x v="1676"/>
    <x v="1676"/>
    <x v="1676"/>
    <x v="3"/>
    <x v="94"/>
    <x v="1676"/>
    <x v="0"/>
    <x v="1"/>
    <x v="0"/>
    <x v="1242"/>
  </r>
  <r>
    <x v="1677"/>
    <x v="1677"/>
    <x v="1677"/>
    <x v="8"/>
    <x v="49"/>
    <x v="1677"/>
    <x v="0"/>
    <x v="1"/>
    <x v="0"/>
    <x v="1243"/>
  </r>
  <r>
    <x v="1678"/>
    <x v="1678"/>
    <x v="1678"/>
    <x v="12"/>
    <x v="82"/>
    <x v="1678"/>
    <x v="0"/>
    <x v="1"/>
    <x v="0"/>
    <x v="1160"/>
  </r>
  <r>
    <x v="1679"/>
    <x v="1679"/>
    <x v="1679"/>
    <x v="8"/>
    <x v="40"/>
    <x v="1679"/>
    <x v="0"/>
    <x v="1"/>
    <x v="0"/>
    <x v="1244"/>
  </r>
  <r>
    <x v="1680"/>
    <x v="1680"/>
    <x v="1680"/>
    <x v="31"/>
    <x v="94"/>
    <x v="1680"/>
    <x v="0"/>
    <x v="1"/>
    <x v="0"/>
    <x v="1245"/>
  </r>
  <r>
    <x v="1681"/>
    <x v="1681"/>
    <x v="1681"/>
    <x v="11"/>
    <x v="52"/>
    <x v="1681"/>
    <x v="0"/>
    <x v="1"/>
    <x v="0"/>
    <x v="1246"/>
  </r>
  <r>
    <x v="1682"/>
    <x v="1682"/>
    <x v="1682"/>
    <x v="0"/>
    <x v="13"/>
    <x v="1682"/>
    <x v="0"/>
    <x v="1"/>
    <x v="0"/>
    <x v="1247"/>
  </r>
  <r>
    <x v="1683"/>
    <x v="1683"/>
    <x v="1683"/>
    <x v="8"/>
    <x v="36"/>
    <x v="1683"/>
    <x v="0"/>
    <x v="1"/>
    <x v="0"/>
    <x v="1248"/>
  </r>
  <r>
    <x v="1684"/>
    <x v="1684"/>
    <x v="1684"/>
    <x v="18"/>
    <x v="58"/>
    <x v="1684"/>
    <x v="0"/>
    <x v="1"/>
    <x v="0"/>
    <x v="382"/>
  </r>
  <r>
    <x v="1685"/>
    <x v="1685"/>
    <x v="1685"/>
    <x v="31"/>
    <x v="2"/>
    <x v="1685"/>
    <x v="0"/>
    <x v="1"/>
    <x v="0"/>
    <x v="1195"/>
  </r>
  <r>
    <x v="1686"/>
    <x v="1686"/>
    <x v="1686"/>
    <x v="5"/>
    <x v="18"/>
    <x v="1686"/>
    <x v="0"/>
    <x v="1"/>
    <x v="0"/>
    <x v="1249"/>
  </r>
  <r>
    <x v="1687"/>
    <x v="1687"/>
    <x v="1687"/>
    <x v="15"/>
    <x v="36"/>
    <x v="1687"/>
    <x v="0"/>
    <x v="1"/>
    <x v="0"/>
    <x v="1250"/>
  </r>
  <r>
    <x v="1688"/>
    <x v="1688"/>
    <x v="1688"/>
    <x v="31"/>
    <x v="28"/>
    <x v="1688"/>
    <x v="0"/>
    <x v="1"/>
    <x v="0"/>
    <x v="1251"/>
  </r>
  <r>
    <x v="1689"/>
    <x v="1689"/>
    <x v="1689"/>
    <x v="8"/>
    <x v="50"/>
    <x v="1689"/>
    <x v="0"/>
    <x v="1"/>
    <x v="0"/>
    <x v="374"/>
  </r>
  <r>
    <x v="1690"/>
    <x v="1690"/>
    <x v="1690"/>
    <x v="8"/>
    <x v="84"/>
    <x v="1690"/>
    <x v="0"/>
    <x v="1"/>
    <x v="0"/>
    <x v="1252"/>
  </r>
  <r>
    <x v="1691"/>
    <x v="1691"/>
    <x v="1691"/>
    <x v="8"/>
    <x v="19"/>
    <x v="1691"/>
    <x v="0"/>
    <x v="1"/>
    <x v="0"/>
    <x v="1253"/>
  </r>
  <r>
    <x v="1692"/>
    <x v="1692"/>
    <x v="1692"/>
    <x v="4"/>
    <x v="52"/>
    <x v="1692"/>
    <x v="0"/>
    <x v="1"/>
    <x v="0"/>
    <x v="360"/>
  </r>
  <r>
    <x v="1693"/>
    <x v="1693"/>
    <x v="1693"/>
    <x v="31"/>
    <x v="9"/>
    <x v="1693"/>
    <x v="0"/>
    <x v="1"/>
    <x v="0"/>
    <x v="1254"/>
  </r>
  <r>
    <x v="1694"/>
    <x v="1694"/>
    <x v="1694"/>
    <x v="8"/>
    <x v="69"/>
    <x v="1694"/>
    <x v="0"/>
    <x v="1"/>
    <x v="0"/>
    <x v="1255"/>
  </r>
  <r>
    <x v="1695"/>
    <x v="1695"/>
    <x v="1695"/>
    <x v="3"/>
    <x v="36"/>
    <x v="1695"/>
    <x v="0"/>
    <x v="1"/>
    <x v="0"/>
    <x v="1256"/>
  </r>
  <r>
    <x v="1696"/>
    <x v="1696"/>
    <x v="1696"/>
    <x v="8"/>
    <x v="52"/>
    <x v="1696"/>
    <x v="0"/>
    <x v="1"/>
    <x v="0"/>
    <x v="1257"/>
  </r>
  <r>
    <x v="1697"/>
    <x v="1697"/>
    <x v="1697"/>
    <x v="7"/>
    <x v="78"/>
    <x v="1697"/>
    <x v="0"/>
    <x v="1"/>
    <x v="0"/>
    <x v="1258"/>
  </r>
  <r>
    <x v="1698"/>
    <x v="1698"/>
    <x v="1698"/>
    <x v="8"/>
    <x v="19"/>
    <x v="1698"/>
    <x v="0"/>
    <x v="1"/>
    <x v="0"/>
    <x v="1259"/>
  </r>
  <r>
    <x v="1699"/>
    <x v="1699"/>
    <x v="1699"/>
    <x v="1"/>
    <x v="13"/>
    <x v="1699"/>
    <x v="0"/>
    <x v="1"/>
    <x v="0"/>
    <x v="1260"/>
  </r>
  <r>
    <x v="1700"/>
    <x v="1700"/>
    <x v="1700"/>
    <x v="5"/>
    <x v="94"/>
    <x v="1700"/>
    <x v="0"/>
    <x v="1"/>
    <x v="0"/>
    <x v="1023"/>
  </r>
  <r>
    <x v="1701"/>
    <x v="1701"/>
    <x v="1701"/>
    <x v="3"/>
    <x v="59"/>
    <x v="1701"/>
    <x v="0"/>
    <x v="1"/>
    <x v="0"/>
    <x v="1261"/>
  </r>
  <r>
    <x v="1702"/>
    <x v="1702"/>
    <x v="1702"/>
    <x v="8"/>
    <x v="94"/>
    <x v="1702"/>
    <x v="0"/>
    <x v="1"/>
    <x v="0"/>
    <x v="391"/>
  </r>
  <r>
    <x v="1703"/>
    <x v="1703"/>
    <x v="1703"/>
    <x v="8"/>
    <x v="53"/>
    <x v="1703"/>
    <x v="0"/>
    <x v="1"/>
    <x v="0"/>
    <x v="1262"/>
  </r>
  <r>
    <x v="1704"/>
    <x v="1704"/>
    <x v="1704"/>
    <x v="12"/>
    <x v="87"/>
    <x v="1704"/>
    <x v="0"/>
    <x v="1"/>
    <x v="0"/>
    <x v="1153"/>
  </r>
  <r>
    <x v="1705"/>
    <x v="1705"/>
    <x v="1705"/>
    <x v="12"/>
    <x v="3"/>
    <x v="1705"/>
    <x v="0"/>
    <x v="1"/>
    <x v="0"/>
    <x v="1263"/>
  </r>
  <r>
    <x v="1706"/>
    <x v="1706"/>
    <x v="1706"/>
    <x v="22"/>
    <x v="53"/>
    <x v="1706"/>
    <x v="0"/>
    <x v="1"/>
    <x v="0"/>
    <x v="1264"/>
  </r>
  <r>
    <x v="1707"/>
    <x v="1707"/>
    <x v="1707"/>
    <x v="3"/>
    <x v="53"/>
    <x v="1707"/>
    <x v="0"/>
    <x v="1"/>
    <x v="0"/>
    <x v="405"/>
  </r>
  <r>
    <x v="1708"/>
    <x v="1708"/>
    <x v="1708"/>
    <x v="3"/>
    <x v="19"/>
    <x v="1708"/>
    <x v="0"/>
    <x v="1"/>
    <x v="0"/>
    <x v="1134"/>
  </r>
  <r>
    <x v="1709"/>
    <x v="1709"/>
    <x v="1709"/>
    <x v="5"/>
    <x v="50"/>
    <x v="1709"/>
    <x v="0"/>
    <x v="1"/>
    <x v="0"/>
    <x v="1265"/>
  </r>
  <r>
    <x v="1710"/>
    <x v="1710"/>
    <x v="1710"/>
    <x v="8"/>
    <x v="53"/>
    <x v="1710"/>
    <x v="0"/>
    <x v="1"/>
    <x v="0"/>
    <x v="1266"/>
  </r>
  <r>
    <x v="1711"/>
    <x v="1711"/>
    <x v="1711"/>
    <x v="8"/>
    <x v="99"/>
    <x v="1711"/>
    <x v="0"/>
    <x v="1"/>
    <x v="0"/>
    <x v="1267"/>
  </r>
  <r>
    <x v="1712"/>
    <x v="1712"/>
    <x v="1712"/>
    <x v="8"/>
    <x v="13"/>
    <x v="1712"/>
    <x v="0"/>
    <x v="1"/>
    <x v="0"/>
    <x v="1268"/>
  </r>
  <r>
    <x v="1713"/>
    <x v="1713"/>
    <x v="1713"/>
    <x v="8"/>
    <x v="53"/>
    <x v="1713"/>
    <x v="0"/>
    <x v="1"/>
    <x v="0"/>
    <x v="1269"/>
  </r>
  <r>
    <x v="1714"/>
    <x v="1714"/>
    <x v="1714"/>
    <x v="3"/>
    <x v="50"/>
    <x v="1714"/>
    <x v="0"/>
    <x v="1"/>
    <x v="0"/>
    <x v="1270"/>
  </r>
  <r>
    <x v="1715"/>
    <x v="1715"/>
    <x v="1715"/>
    <x v="8"/>
    <x v="22"/>
    <x v="1715"/>
    <x v="0"/>
    <x v="1"/>
    <x v="0"/>
    <x v="1120"/>
  </r>
  <r>
    <x v="1716"/>
    <x v="1716"/>
    <x v="1716"/>
    <x v="8"/>
    <x v="49"/>
    <x v="1716"/>
    <x v="0"/>
    <x v="1"/>
    <x v="0"/>
    <x v="1271"/>
  </r>
  <r>
    <x v="1717"/>
    <x v="1717"/>
    <x v="1717"/>
    <x v="8"/>
    <x v="10"/>
    <x v="1717"/>
    <x v="0"/>
    <x v="1"/>
    <x v="0"/>
    <x v="1132"/>
  </r>
  <r>
    <x v="1718"/>
    <x v="1718"/>
    <x v="1718"/>
    <x v="8"/>
    <x v="19"/>
    <x v="1718"/>
    <x v="0"/>
    <x v="1"/>
    <x v="0"/>
    <x v="1272"/>
  </r>
  <r>
    <x v="1719"/>
    <x v="1719"/>
    <x v="1719"/>
    <x v="22"/>
    <x v="19"/>
    <x v="1719"/>
    <x v="0"/>
    <x v="1"/>
    <x v="0"/>
    <x v="1273"/>
  </r>
  <r>
    <x v="1720"/>
    <x v="1720"/>
    <x v="1720"/>
    <x v="6"/>
    <x v="59"/>
    <x v="1720"/>
    <x v="0"/>
    <x v="1"/>
    <x v="0"/>
    <x v="1274"/>
  </r>
  <r>
    <x v="1721"/>
    <x v="1721"/>
    <x v="1721"/>
    <x v="5"/>
    <x v="49"/>
    <x v="1721"/>
    <x v="0"/>
    <x v="1"/>
    <x v="0"/>
    <x v="1275"/>
  </r>
  <r>
    <x v="1722"/>
    <x v="1722"/>
    <x v="1722"/>
    <x v="8"/>
    <x v="10"/>
    <x v="1722"/>
    <x v="0"/>
    <x v="1"/>
    <x v="0"/>
    <x v="1117"/>
  </r>
  <r>
    <x v="1723"/>
    <x v="1723"/>
    <x v="1723"/>
    <x v="3"/>
    <x v="94"/>
    <x v="1723"/>
    <x v="0"/>
    <x v="1"/>
    <x v="0"/>
    <x v="1276"/>
  </r>
  <r>
    <x v="1724"/>
    <x v="1724"/>
    <x v="1724"/>
    <x v="4"/>
    <x v="59"/>
    <x v="1724"/>
    <x v="0"/>
    <x v="1"/>
    <x v="0"/>
    <x v="1277"/>
  </r>
  <r>
    <x v="1725"/>
    <x v="1725"/>
    <x v="1725"/>
    <x v="8"/>
    <x v="8"/>
    <x v="1725"/>
    <x v="0"/>
    <x v="1"/>
    <x v="0"/>
    <x v="1278"/>
  </r>
  <r>
    <x v="1726"/>
    <x v="1726"/>
    <x v="1726"/>
    <x v="7"/>
    <x v="50"/>
    <x v="1726"/>
    <x v="0"/>
    <x v="1"/>
    <x v="0"/>
    <x v="1279"/>
  </r>
  <r>
    <x v="1727"/>
    <x v="1727"/>
    <x v="1727"/>
    <x v="4"/>
    <x v="41"/>
    <x v="1727"/>
    <x v="0"/>
    <x v="1"/>
    <x v="0"/>
    <x v="1277"/>
  </r>
  <r>
    <x v="1728"/>
    <x v="1728"/>
    <x v="1728"/>
    <x v="9"/>
    <x v="19"/>
    <x v="1728"/>
    <x v="0"/>
    <x v="1"/>
    <x v="0"/>
    <x v="1280"/>
  </r>
  <r>
    <x v="1729"/>
    <x v="1729"/>
    <x v="1729"/>
    <x v="8"/>
    <x v="7"/>
    <x v="1729"/>
    <x v="0"/>
    <x v="1"/>
    <x v="0"/>
    <x v="1281"/>
  </r>
  <r>
    <x v="1730"/>
    <x v="1730"/>
    <x v="1730"/>
    <x v="8"/>
    <x v="6"/>
    <x v="1730"/>
    <x v="0"/>
    <x v="1"/>
    <x v="0"/>
    <x v="1282"/>
  </r>
  <r>
    <x v="1731"/>
    <x v="1731"/>
    <x v="1731"/>
    <x v="5"/>
    <x v="28"/>
    <x v="1731"/>
    <x v="0"/>
    <x v="1"/>
    <x v="0"/>
    <x v="1283"/>
  </r>
  <r>
    <x v="1732"/>
    <x v="1732"/>
    <x v="1732"/>
    <x v="3"/>
    <x v="0"/>
    <x v="1732"/>
    <x v="0"/>
    <x v="1"/>
    <x v="0"/>
    <x v="1284"/>
  </r>
  <r>
    <x v="1733"/>
    <x v="1733"/>
    <x v="1733"/>
    <x v="31"/>
    <x v="3"/>
    <x v="1733"/>
    <x v="0"/>
    <x v="1"/>
    <x v="0"/>
    <x v="1285"/>
  </r>
  <r>
    <x v="1734"/>
    <x v="1734"/>
    <x v="1734"/>
    <x v="3"/>
    <x v="94"/>
    <x v="1734"/>
    <x v="0"/>
    <x v="1"/>
    <x v="0"/>
    <x v="1286"/>
  </r>
  <r>
    <x v="1735"/>
    <x v="1735"/>
    <x v="1735"/>
    <x v="7"/>
    <x v="13"/>
    <x v="1735"/>
    <x v="0"/>
    <x v="1"/>
    <x v="0"/>
    <x v="1287"/>
  </r>
  <r>
    <x v="1736"/>
    <x v="1736"/>
    <x v="1736"/>
    <x v="5"/>
    <x v="13"/>
    <x v="1736"/>
    <x v="0"/>
    <x v="1"/>
    <x v="0"/>
    <x v="1288"/>
  </r>
  <r>
    <x v="1737"/>
    <x v="1737"/>
    <x v="1737"/>
    <x v="31"/>
    <x v="82"/>
    <x v="1737"/>
    <x v="0"/>
    <x v="1"/>
    <x v="0"/>
    <x v="1289"/>
  </r>
  <r>
    <x v="1738"/>
    <x v="1738"/>
    <x v="1738"/>
    <x v="31"/>
    <x v="92"/>
    <x v="1738"/>
    <x v="0"/>
    <x v="1"/>
    <x v="0"/>
    <x v="1290"/>
  </r>
  <r>
    <x v="1739"/>
    <x v="1739"/>
    <x v="1739"/>
    <x v="8"/>
    <x v="53"/>
    <x v="1739"/>
    <x v="0"/>
    <x v="1"/>
    <x v="0"/>
    <x v="1291"/>
  </r>
  <r>
    <x v="1740"/>
    <x v="1740"/>
    <x v="1740"/>
    <x v="3"/>
    <x v="40"/>
    <x v="1740"/>
    <x v="0"/>
    <x v="1"/>
    <x v="0"/>
    <x v="1292"/>
  </r>
  <r>
    <x v="1741"/>
    <x v="1741"/>
    <x v="1741"/>
    <x v="7"/>
    <x v="7"/>
    <x v="1741"/>
    <x v="0"/>
    <x v="1"/>
    <x v="0"/>
    <x v="1293"/>
  </r>
  <r>
    <x v="1742"/>
    <x v="1742"/>
    <x v="1742"/>
    <x v="5"/>
    <x v="19"/>
    <x v="1742"/>
    <x v="0"/>
    <x v="1"/>
    <x v="0"/>
    <x v="1294"/>
  </r>
  <r>
    <x v="1743"/>
    <x v="1743"/>
    <x v="1743"/>
    <x v="5"/>
    <x v="12"/>
    <x v="1743"/>
    <x v="0"/>
    <x v="1"/>
    <x v="0"/>
    <x v="1295"/>
  </r>
  <r>
    <x v="1744"/>
    <x v="1744"/>
    <x v="1744"/>
    <x v="8"/>
    <x v="104"/>
    <x v="1744"/>
    <x v="0"/>
    <x v="1"/>
    <x v="0"/>
    <x v="1296"/>
  </r>
  <r>
    <x v="1745"/>
    <x v="1745"/>
    <x v="1745"/>
    <x v="8"/>
    <x v="53"/>
    <x v="1745"/>
    <x v="0"/>
    <x v="1"/>
    <x v="0"/>
    <x v="1115"/>
  </r>
  <r>
    <x v="1746"/>
    <x v="1746"/>
    <x v="1746"/>
    <x v="3"/>
    <x v="53"/>
    <x v="1746"/>
    <x v="0"/>
    <x v="1"/>
    <x v="0"/>
    <x v="1297"/>
  </r>
  <r>
    <x v="1747"/>
    <x v="1747"/>
    <x v="1747"/>
    <x v="22"/>
    <x v="50"/>
    <x v="1747"/>
    <x v="0"/>
    <x v="1"/>
    <x v="0"/>
    <x v="1252"/>
  </r>
  <r>
    <x v="1748"/>
    <x v="1748"/>
    <x v="1748"/>
    <x v="5"/>
    <x v="19"/>
    <x v="1748"/>
    <x v="0"/>
    <x v="1"/>
    <x v="0"/>
    <x v="1298"/>
  </r>
  <r>
    <x v="1749"/>
    <x v="1749"/>
    <x v="1749"/>
    <x v="3"/>
    <x v="36"/>
    <x v="1749"/>
    <x v="0"/>
    <x v="1"/>
    <x v="0"/>
    <x v="1299"/>
  </r>
  <r>
    <x v="1750"/>
    <x v="1750"/>
    <x v="1750"/>
    <x v="9"/>
    <x v="32"/>
    <x v="1750"/>
    <x v="0"/>
    <x v="1"/>
    <x v="0"/>
    <x v="1300"/>
  </r>
  <r>
    <x v="1751"/>
    <x v="1751"/>
    <x v="1751"/>
    <x v="3"/>
    <x v="10"/>
    <x v="1751"/>
    <x v="0"/>
    <x v="1"/>
    <x v="0"/>
    <x v="1301"/>
  </r>
  <r>
    <x v="1752"/>
    <x v="1752"/>
    <x v="1752"/>
    <x v="6"/>
    <x v="6"/>
    <x v="1752"/>
    <x v="0"/>
    <x v="1"/>
    <x v="0"/>
    <x v="1302"/>
  </r>
  <r>
    <x v="1753"/>
    <x v="1753"/>
    <x v="1753"/>
    <x v="6"/>
    <x v="8"/>
    <x v="1753"/>
    <x v="0"/>
    <x v="1"/>
    <x v="0"/>
    <x v="1303"/>
  </r>
  <r>
    <x v="1754"/>
    <x v="1754"/>
    <x v="1754"/>
    <x v="3"/>
    <x v="19"/>
    <x v="1754"/>
    <x v="0"/>
    <x v="1"/>
    <x v="0"/>
    <x v="1304"/>
  </r>
  <r>
    <x v="1755"/>
    <x v="1755"/>
    <x v="1755"/>
    <x v="3"/>
    <x v="3"/>
    <x v="1755"/>
    <x v="0"/>
    <x v="1"/>
    <x v="0"/>
    <x v="1305"/>
  </r>
  <r>
    <x v="1756"/>
    <x v="1756"/>
    <x v="1756"/>
    <x v="4"/>
    <x v="42"/>
    <x v="1756"/>
    <x v="0"/>
    <x v="1"/>
    <x v="0"/>
    <x v="1306"/>
  </r>
  <r>
    <x v="1757"/>
    <x v="1757"/>
    <x v="1757"/>
    <x v="22"/>
    <x v="79"/>
    <x v="1757"/>
    <x v="0"/>
    <x v="1"/>
    <x v="0"/>
    <x v="1307"/>
  </r>
  <r>
    <x v="1758"/>
    <x v="1758"/>
    <x v="1758"/>
    <x v="31"/>
    <x v="84"/>
    <x v="1758"/>
    <x v="0"/>
    <x v="1"/>
    <x v="0"/>
    <x v="1308"/>
  </r>
  <r>
    <x v="1759"/>
    <x v="1759"/>
    <x v="1759"/>
    <x v="3"/>
    <x v="10"/>
    <x v="1759"/>
    <x v="0"/>
    <x v="1"/>
    <x v="0"/>
    <x v="1309"/>
  </r>
  <r>
    <x v="1760"/>
    <x v="1760"/>
    <x v="1760"/>
    <x v="12"/>
    <x v="36"/>
    <x v="1760"/>
    <x v="0"/>
    <x v="1"/>
    <x v="0"/>
    <x v="912"/>
  </r>
  <r>
    <x v="1761"/>
    <x v="1761"/>
    <x v="1761"/>
    <x v="23"/>
    <x v="18"/>
    <x v="1761"/>
    <x v="0"/>
    <x v="1"/>
    <x v="0"/>
    <x v="1310"/>
  </r>
  <r>
    <x v="1762"/>
    <x v="1762"/>
    <x v="1762"/>
    <x v="3"/>
    <x v="64"/>
    <x v="1762"/>
    <x v="0"/>
    <x v="1"/>
    <x v="0"/>
    <x v="1311"/>
  </r>
  <r>
    <x v="1763"/>
    <x v="1763"/>
    <x v="1763"/>
    <x v="1"/>
    <x v="16"/>
    <x v="1763"/>
    <x v="0"/>
    <x v="1"/>
    <x v="0"/>
    <x v="1312"/>
  </r>
  <r>
    <x v="1764"/>
    <x v="1764"/>
    <x v="1764"/>
    <x v="31"/>
    <x v="63"/>
    <x v="1764"/>
    <x v="0"/>
    <x v="1"/>
    <x v="0"/>
    <x v="1313"/>
  </r>
  <r>
    <x v="1765"/>
    <x v="1765"/>
    <x v="1765"/>
    <x v="8"/>
    <x v="52"/>
    <x v="1765"/>
    <x v="0"/>
    <x v="1"/>
    <x v="0"/>
    <x v="1314"/>
  </r>
  <r>
    <x v="1766"/>
    <x v="1766"/>
    <x v="1766"/>
    <x v="3"/>
    <x v="13"/>
    <x v="1766"/>
    <x v="0"/>
    <x v="1"/>
    <x v="0"/>
    <x v="1315"/>
  </r>
  <r>
    <x v="1767"/>
    <x v="1767"/>
    <x v="1767"/>
    <x v="22"/>
    <x v="2"/>
    <x v="1767"/>
    <x v="0"/>
    <x v="1"/>
    <x v="0"/>
    <x v="1316"/>
  </r>
  <r>
    <x v="1768"/>
    <x v="1768"/>
    <x v="1768"/>
    <x v="10"/>
    <x v="94"/>
    <x v="1768"/>
    <x v="0"/>
    <x v="1"/>
    <x v="0"/>
    <x v="1317"/>
  </r>
  <r>
    <x v="1769"/>
    <x v="1769"/>
    <x v="1769"/>
    <x v="5"/>
    <x v="13"/>
    <x v="1769"/>
    <x v="0"/>
    <x v="1"/>
    <x v="0"/>
    <x v="1318"/>
  </r>
  <r>
    <x v="1770"/>
    <x v="1770"/>
    <x v="1770"/>
    <x v="3"/>
    <x v="49"/>
    <x v="1770"/>
    <x v="0"/>
    <x v="1"/>
    <x v="0"/>
    <x v="1319"/>
  </r>
  <r>
    <x v="1771"/>
    <x v="1771"/>
    <x v="1771"/>
    <x v="8"/>
    <x v="8"/>
    <x v="1771"/>
    <x v="0"/>
    <x v="1"/>
    <x v="0"/>
    <x v="1320"/>
  </r>
  <r>
    <x v="1772"/>
    <x v="1772"/>
    <x v="1772"/>
    <x v="3"/>
    <x v="94"/>
    <x v="1772"/>
    <x v="0"/>
    <x v="1"/>
    <x v="0"/>
    <x v="1321"/>
  </r>
  <r>
    <x v="1773"/>
    <x v="1773"/>
    <x v="1773"/>
    <x v="5"/>
    <x v="19"/>
    <x v="1773"/>
    <x v="0"/>
    <x v="1"/>
    <x v="0"/>
    <x v="1322"/>
  </r>
  <r>
    <x v="1774"/>
    <x v="1774"/>
    <x v="1774"/>
    <x v="1"/>
    <x v="49"/>
    <x v="1774"/>
    <x v="0"/>
    <x v="1"/>
    <x v="0"/>
    <x v="1323"/>
  </r>
  <r>
    <x v="1775"/>
    <x v="1775"/>
    <x v="1775"/>
    <x v="11"/>
    <x v="41"/>
    <x v="1775"/>
    <x v="0"/>
    <x v="1"/>
    <x v="0"/>
    <x v="1324"/>
  </r>
  <r>
    <x v="1776"/>
    <x v="1776"/>
    <x v="1776"/>
    <x v="4"/>
    <x v="53"/>
    <x v="1776"/>
    <x v="0"/>
    <x v="1"/>
    <x v="0"/>
    <x v="1325"/>
  </r>
  <r>
    <x v="1777"/>
    <x v="1777"/>
    <x v="1777"/>
    <x v="15"/>
    <x v="57"/>
    <x v="1777"/>
    <x v="0"/>
    <x v="1"/>
    <x v="0"/>
    <x v="1326"/>
  </r>
  <r>
    <x v="1778"/>
    <x v="1778"/>
    <x v="1778"/>
    <x v="4"/>
    <x v="75"/>
    <x v="1778"/>
    <x v="0"/>
    <x v="1"/>
    <x v="0"/>
    <x v="1327"/>
  </r>
  <r>
    <x v="1779"/>
    <x v="1779"/>
    <x v="1779"/>
    <x v="22"/>
    <x v="94"/>
    <x v="1779"/>
    <x v="0"/>
    <x v="1"/>
    <x v="0"/>
    <x v="1328"/>
  </r>
  <r>
    <x v="1780"/>
    <x v="1780"/>
    <x v="1780"/>
    <x v="3"/>
    <x v="98"/>
    <x v="1780"/>
    <x v="0"/>
    <x v="1"/>
    <x v="0"/>
    <x v="1329"/>
  </r>
  <r>
    <x v="1781"/>
    <x v="1781"/>
    <x v="1781"/>
    <x v="12"/>
    <x v="28"/>
    <x v="1781"/>
    <x v="0"/>
    <x v="1"/>
    <x v="0"/>
    <x v="1330"/>
  </r>
  <r>
    <x v="1782"/>
    <x v="1782"/>
    <x v="1782"/>
    <x v="6"/>
    <x v="70"/>
    <x v="1782"/>
    <x v="0"/>
    <x v="1"/>
    <x v="0"/>
    <x v="1331"/>
  </r>
  <r>
    <x v="1783"/>
    <x v="1783"/>
    <x v="1783"/>
    <x v="26"/>
    <x v="45"/>
    <x v="1783"/>
    <x v="0"/>
    <x v="1"/>
    <x v="0"/>
    <x v="1332"/>
  </r>
  <r>
    <x v="1784"/>
    <x v="1784"/>
    <x v="1784"/>
    <x v="22"/>
    <x v="69"/>
    <x v="1784"/>
    <x v="0"/>
    <x v="1"/>
    <x v="0"/>
    <x v="1333"/>
  </r>
  <r>
    <x v="1785"/>
    <x v="1785"/>
    <x v="1785"/>
    <x v="8"/>
    <x v="49"/>
    <x v="1785"/>
    <x v="0"/>
    <x v="1"/>
    <x v="0"/>
    <x v="1106"/>
  </r>
  <r>
    <x v="1786"/>
    <x v="1786"/>
    <x v="1786"/>
    <x v="26"/>
    <x v="8"/>
    <x v="1786"/>
    <x v="0"/>
    <x v="1"/>
    <x v="0"/>
    <x v="1334"/>
  </r>
  <r>
    <x v="1787"/>
    <x v="1787"/>
    <x v="1787"/>
    <x v="31"/>
    <x v="57"/>
    <x v="1787"/>
    <x v="0"/>
    <x v="1"/>
    <x v="0"/>
    <x v="1335"/>
  </r>
  <r>
    <x v="1788"/>
    <x v="1788"/>
    <x v="1788"/>
    <x v="7"/>
    <x v="12"/>
    <x v="1788"/>
    <x v="0"/>
    <x v="1"/>
    <x v="0"/>
    <x v="1336"/>
  </r>
  <r>
    <x v="1789"/>
    <x v="1789"/>
    <x v="1789"/>
    <x v="3"/>
    <x v="10"/>
    <x v="1789"/>
    <x v="0"/>
    <x v="1"/>
    <x v="0"/>
    <x v="1337"/>
  </r>
  <r>
    <x v="1790"/>
    <x v="1790"/>
    <x v="1790"/>
    <x v="3"/>
    <x v="6"/>
    <x v="1790"/>
    <x v="0"/>
    <x v="1"/>
    <x v="0"/>
    <x v="1338"/>
  </r>
  <r>
    <x v="1791"/>
    <x v="1791"/>
    <x v="1791"/>
    <x v="3"/>
    <x v="7"/>
    <x v="1791"/>
    <x v="0"/>
    <x v="1"/>
    <x v="0"/>
    <x v="1339"/>
  </r>
  <r>
    <x v="1792"/>
    <x v="1792"/>
    <x v="1792"/>
    <x v="31"/>
    <x v="14"/>
    <x v="1792"/>
    <x v="0"/>
    <x v="1"/>
    <x v="0"/>
    <x v="1340"/>
  </r>
  <r>
    <x v="1793"/>
    <x v="1793"/>
    <x v="1793"/>
    <x v="31"/>
    <x v="70"/>
    <x v="1793"/>
    <x v="0"/>
    <x v="1"/>
    <x v="0"/>
    <x v="1341"/>
  </r>
  <r>
    <x v="1794"/>
    <x v="1794"/>
    <x v="1794"/>
    <x v="8"/>
    <x v="6"/>
    <x v="1794"/>
    <x v="0"/>
    <x v="1"/>
    <x v="0"/>
    <x v="1342"/>
  </r>
  <r>
    <x v="1795"/>
    <x v="1795"/>
    <x v="1795"/>
    <x v="31"/>
    <x v="99"/>
    <x v="1795"/>
    <x v="0"/>
    <x v="1"/>
    <x v="0"/>
    <x v="1343"/>
  </r>
  <r>
    <x v="1796"/>
    <x v="1796"/>
    <x v="1796"/>
    <x v="8"/>
    <x v="52"/>
    <x v="1796"/>
    <x v="0"/>
    <x v="1"/>
    <x v="0"/>
    <x v="1344"/>
  </r>
  <r>
    <x v="1797"/>
    <x v="1797"/>
    <x v="1797"/>
    <x v="8"/>
    <x v="24"/>
    <x v="1797"/>
    <x v="0"/>
    <x v="1"/>
    <x v="0"/>
    <x v="1345"/>
  </r>
  <r>
    <x v="1798"/>
    <x v="1798"/>
    <x v="1798"/>
    <x v="3"/>
    <x v="7"/>
    <x v="1798"/>
    <x v="0"/>
    <x v="1"/>
    <x v="0"/>
    <x v="1346"/>
  </r>
  <r>
    <x v="1799"/>
    <x v="1799"/>
    <x v="1799"/>
    <x v="13"/>
    <x v="2"/>
    <x v="1799"/>
    <x v="0"/>
    <x v="1"/>
    <x v="0"/>
    <x v="1347"/>
  </r>
  <r>
    <x v="1800"/>
    <x v="1800"/>
    <x v="1800"/>
    <x v="1"/>
    <x v="11"/>
    <x v="1800"/>
    <x v="0"/>
    <x v="1"/>
    <x v="0"/>
    <x v="1348"/>
  </r>
  <r>
    <x v="1801"/>
    <x v="1801"/>
    <x v="1801"/>
    <x v="31"/>
    <x v="10"/>
    <x v="1801"/>
    <x v="0"/>
    <x v="1"/>
    <x v="0"/>
    <x v="1349"/>
  </r>
  <r>
    <x v="1802"/>
    <x v="1802"/>
    <x v="1802"/>
    <x v="1"/>
    <x v="28"/>
    <x v="1802"/>
    <x v="0"/>
    <x v="1"/>
    <x v="0"/>
    <x v="1350"/>
  </r>
  <r>
    <x v="1803"/>
    <x v="1803"/>
    <x v="1803"/>
    <x v="9"/>
    <x v="50"/>
    <x v="1803"/>
    <x v="0"/>
    <x v="1"/>
    <x v="0"/>
    <x v="1211"/>
  </r>
  <r>
    <x v="1804"/>
    <x v="1804"/>
    <x v="1804"/>
    <x v="3"/>
    <x v="11"/>
    <x v="1804"/>
    <x v="0"/>
    <x v="1"/>
    <x v="0"/>
    <x v="1351"/>
  </r>
  <r>
    <x v="1805"/>
    <x v="1805"/>
    <x v="1805"/>
    <x v="3"/>
    <x v="10"/>
    <x v="1805"/>
    <x v="0"/>
    <x v="1"/>
    <x v="0"/>
    <x v="1023"/>
  </r>
  <r>
    <x v="1806"/>
    <x v="1806"/>
    <x v="1806"/>
    <x v="8"/>
    <x v="36"/>
    <x v="1806"/>
    <x v="0"/>
    <x v="1"/>
    <x v="0"/>
    <x v="1352"/>
  </r>
  <r>
    <x v="1807"/>
    <x v="1807"/>
    <x v="1807"/>
    <x v="6"/>
    <x v="76"/>
    <x v="1807"/>
    <x v="0"/>
    <x v="1"/>
    <x v="0"/>
    <x v="1353"/>
  </r>
  <r>
    <x v="1808"/>
    <x v="1808"/>
    <x v="1808"/>
    <x v="3"/>
    <x v="2"/>
    <x v="1808"/>
    <x v="0"/>
    <x v="1"/>
    <x v="0"/>
    <x v="1354"/>
  </r>
  <r>
    <x v="1809"/>
    <x v="1809"/>
    <x v="1809"/>
    <x v="24"/>
    <x v="95"/>
    <x v="1809"/>
    <x v="0"/>
    <x v="1"/>
    <x v="0"/>
    <x v="1355"/>
  </r>
  <r>
    <x v="1810"/>
    <x v="1810"/>
    <x v="1810"/>
    <x v="3"/>
    <x v="7"/>
    <x v="1810"/>
    <x v="0"/>
    <x v="1"/>
    <x v="0"/>
    <x v="1356"/>
  </r>
  <r>
    <x v="1811"/>
    <x v="1811"/>
    <x v="1811"/>
    <x v="1"/>
    <x v="69"/>
    <x v="1811"/>
    <x v="0"/>
    <x v="1"/>
    <x v="0"/>
    <x v="1141"/>
  </r>
  <r>
    <x v="1812"/>
    <x v="1812"/>
    <x v="1812"/>
    <x v="5"/>
    <x v="82"/>
    <x v="1812"/>
    <x v="0"/>
    <x v="1"/>
    <x v="0"/>
    <x v="1357"/>
  </r>
  <r>
    <x v="1813"/>
    <x v="1813"/>
    <x v="1813"/>
    <x v="12"/>
    <x v="50"/>
    <x v="1813"/>
    <x v="0"/>
    <x v="1"/>
    <x v="0"/>
    <x v="1358"/>
  </r>
  <r>
    <x v="1814"/>
    <x v="1814"/>
    <x v="1814"/>
    <x v="8"/>
    <x v="36"/>
    <x v="1814"/>
    <x v="0"/>
    <x v="1"/>
    <x v="0"/>
    <x v="1359"/>
  </r>
  <r>
    <x v="1815"/>
    <x v="1815"/>
    <x v="1815"/>
    <x v="8"/>
    <x v="94"/>
    <x v="1815"/>
    <x v="0"/>
    <x v="1"/>
    <x v="0"/>
    <x v="1360"/>
  </r>
  <r>
    <x v="1816"/>
    <x v="1816"/>
    <x v="1816"/>
    <x v="22"/>
    <x v="11"/>
    <x v="1816"/>
    <x v="0"/>
    <x v="1"/>
    <x v="0"/>
    <x v="1361"/>
  </r>
  <r>
    <x v="1817"/>
    <x v="1817"/>
    <x v="1817"/>
    <x v="8"/>
    <x v="98"/>
    <x v="1817"/>
    <x v="0"/>
    <x v="1"/>
    <x v="0"/>
    <x v="1362"/>
  </r>
  <r>
    <x v="1818"/>
    <x v="1818"/>
    <x v="1818"/>
    <x v="8"/>
    <x v="11"/>
    <x v="1818"/>
    <x v="0"/>
    <x v="1"/>
    <x v="0"/>
    <x v="1188"/>
  </r>
  <r>
    <x v="1819"/>
    <x v="1819"/>
    <x v="1819"/>
    <x v="8"/>
    <x v="84"/>
    <x v="1819"/>
    <x v="0"/>
    <x v="1"/>
    <x v="0"/>
    <x v="1363"/>
  </r>
  <r>
    <x v="1820"/>
    <x v="1820"/>
    <x v="1820"/>
    <x v="2"/>
    <x v="28"/>
    <x v="1820"/>
    <x v="0"/>
    <x v="1"/>
    <x v="0"/>
    <x v="1364"/>
  </r>
  <r>
    <x v="1821"/>
    <x v="1821"/>
    <x v="1821"/>
    <x v="31"/>
    <x v="82"/>
    <x v="1821"/>
    <x v="0"/>
    <x v="1"/>
    <x v="0"/>
    <x v="1365"/>
  </r>
  <r>
    <x v="1822"/>
    <x v="1822"/>
    <x v="1822"/>
    <x v="13"/>
    <x v="12"/>
    <x v="1822"/>
    <x v="0"/>
    <x v="1"/>
    <x v="0"/>
    <x v="1117"/>
  </r>
  <r>
    <x v="1823"/>
    <x v="1823"/>
    <x v="1823"/>
    <x v="29"/>
    <x v="45"/>
    <x v="1823"/>
    <x v="0"/>
    <x v="1"/>
    <x v="0"/>
    <x v="1277"/>
  </r>
  <r>
    <x v="1824"/>
    <x v="1824"/>
    <x v="1824"/>
    <x v="8"/>
    <x v="3"/>
    <x v="1824"/>
    <x v="0"/>
    <x v="1"/>
    <x v="0"/>
    <x v="1225"/>
  </r>
  <r>
    <x v="1825"/>
    <x v="1825"/>
    <x v="1825"/>
    <x v="1"/>
    <x v="82"/>
    <x v="1825"/>
    <x v="0"/>
    <x v="1"/>
    <x v="0"/>
    <x v="1366"/>
  </r>
  <r>
    <x v="1826"/>
    <x v="1826"/>
    <x v="1826"/>
    <x v="12"/>
    <x v="7"/>
    <x v="1826"/>
    <x v="0"/>
    <x v="1"/>
    <x v="0"/>
    <x v="1367"/>
  </r>
  <r>
    <x v="1827"/>
    <x v="1827"/>
    <x v="1827"/>
    <x v="8"/>
    <x v="9"/>
    <x v="1827"/>
    <x v="0"/>
    <x v="1"/>
    <x v="0"/>
    <x v="1194"/>
  </r>
  <r>
    <x v="1828"/>
    <x v="1828"/>
    <x v="1828"/>
    <x v="31"/>
    <x v="10"/>
    <x v="1828"/>
    <x v="0"/>
    <x v="1"/>
    <x v="0"/>
    <x v="1368"/>
  </r>
  <r>
    <x v="1829"/>
    <x v="1829"/>
    <x v="1829"/>
    <x v="31"/>
    <x v="92"/>
    <x v="1829"/>
    <x v="0"/>
    <x v="1"/>
    <x v="0"/>
    <x v="1369"/>
  </r>
  <r>
    <x v="1830"/>
    <x v="1830"/>
    <x v="1830"/>
    <x v="8"/>
    <x v="7"/>
    <x v="1830"/>
    <x v="0"/>
    <x v="1"/>
    <x v="0"/>
    <x v="1370"/>
  </r>
  <r>
    <x v="1831"/>
    <x v="1831"/>
    <x v="1831"/>
    <x v="3"/>
    <x v="42"/>
    <x v="1831"/>
    <x v="0"/>
    <x v="1"/>
    <x v="0"/>
    <x v="1371"/>
  </r>
  <r>
    <x v="1832"/>
    <x v="1832"/>
    <x v="1832"/>
    <x v="12"/>
    <x v="19"/>
    <x v="1832"/>
    <x v="0"/>
    <x v="1"/>
    <x v="0"/>
    <x v="1372"/>
  </r>
  <r>
    <x v="1833"/>
    <x v="1833"/>
    <x v="1833"/>
    <x v="31"/>
    <x v="11"/>
    <x v="1833"/>
    <x v="0"/>
    <x v="1"/>
    <x v="0"/>
    <x v="1373"/>
  </r>
  <r>
    <x v="1834"/>
    <x v="1834"/>
    <x v="1834"/>
    <x v="1"/>
    <x v="3"/>
    <x v="1834"/>
    <x v="0"/>
    <x v="1"/>
    <x v="0"/>
    <x v="1374"/>
  </r>
  <r>
    <x v="1835"/>
    <x v="1835"/>
    <x v="1835"/>
    <x v="6"/>
    <x v="64"/>
    <x v="1835"/>
    <x v="0"/>
    <x v="1"/>
    <x v="0"/>
    <x v="1181"/>
  </r>
  <r>
    <x v="1836"/>
    <x v="1836"/>
    <x v="1836"/>
    <x v="1"/>
    <x v="34"/>
    <x v="1836"/>
    <x v="0"/>
    <x v="1"/>
    <x v="0"/>
    <x v="1375"/>
  </r>
  <r>
    <x v="1837"/>
    <x v="1837"/>
    <x v="1837"/>
    <x v="8"/>
    <x v="13"/>
    <x v="1837"/>
    <x v="0"/>
    <x v="1"/>
    <x v="0"/>
    <x v="1376"/>
  </r>
  <r>
    <x v="1838"/>
    <x v="1838"/>
    <x v="1838"/>
    <x v="6"/>
    <x v="19"/>
    <x v="1838"/>
    <x v="0"/>
    <x v="1"/>
    <x v="0"/>
    <x v="1377"/>
  </r>
  <r>
    <x v="1839"/>
    <x v="1839"/>
    <x v="1839"/>
    <x v="1"/>
    <x v="37"/>
    <x v="1839"/>
    <x v="0"/>
    <x v="1"/>
    <x v="0"/>
    <x v="1118"/>
  </r>
  <r>
    <x v="1840"/>
    <x v="1840"/>
    <x v="1840"/>
    <x v="6"/>
    <x v="42"/>
    <x v="1840"/>
    <x v="0"/>
    <x v="1"/>
    <x v="0"/>
    <x v="1301"/>
  </r>
  <r>
    <x v="1841"/>
    <x v="1841"/>
    <x v="1841"/>
    <x v="8"/>
    <x v="94"/>
    <x v="1841"/>
    <x v="0"/>
    <x v="1"/>
    <x v="0"/>
    <x v="1378"/>
  </r>
  <r>
    <x v="1842"/>
    <x v="1842"/>
    <x v="1842"/>
    <x v="20"/>
    <x v="9"/>
    <x v="1842"/>
    <x v="0"/>
    <x v="1"/>
    <x v="0"/>
    <x v="910"/>
  </r>
  <r>
    <x v="1843"/>
    <x v="1843"/>
    <x v="1843"/>
    <x v="8"/>
    <x v="28"/>
    <x v="1843"/>
    <x v="0"/>
    <x v="1"/>
    <x v="0"/>
    <x v="1379"/>
  </r>
  <r>
    <x v="1844"/>
    <x v="1844"/>
    <x v="1844"/>
    <x v="1"/>
    <x v="3"/>
    <x v="1844"/>
    <x v="0"/>
    <x v="1"/>
    <x v="0"/>
    <x v="1380"/>
  </r>
  <r>
    <x v="1845"/>
    <x v="1845"/>
    <x v="1845"/>
    <x v="8"/>
    <x v="55"/>
    <x v="1845"/>
    <x v="0"/>
    <x v="1"/>
    <x v="0"/>
    <x v="1381"/>
  </r>
  <r>
    <x v="1846"/>
    <x v="1846"/>
    <x v="1846"/>
    <x v="8"/>
    <x v="7"/>
    <x v="1846"/>
    <x v="0"/>
    <x v="1"/>
    <x v="0"/>
    <x v="1382"/>
  </r>
  <r>
    <x v="1847"/>
    <x v="1847"/>
    <x v="1847"/>
    <x v="8"/>
    <x v="48"/>
    <x v="1847"/>
    <x v="0"/>
    <x v="1"/>
    <x v="0"/>
    <x v="1383"/>
  </r>
  <r>
    <x v="1848"/>
    <x v="1848"/>
    <x v="1848"/>
    <x v="5"/>
    <x v="11"/>
    <x v="1848"/>
    <x v="0"/>
    <x v="1"/>
    <x v="0"/>
    <x v="1384"/>
  </r>
  <r>
    <x v="1849"/>
    <x v="1849"/>
    <x v="1849"/>
    <x v="4"/>
    <x v="79"/>
    <x v="1849"/>
    <x v="0"/>
    <x v="1"/>
    <x v="0"/>
    <x v="1385"/>
  </r>
  <r>
    <x v="1850"/>
    <x v="1850"/>
    <x v="1850"/>
    <x v="8"/>
    <x v="94"/>
    <x v="1850"/>
    <x v="0"/>
    <x v="1"/>
    <x v="0"/>
    <x v="911"/>
  </r>
  <r>
    <x v="1851"/>
    <x v="1851"/>
    <x v="1851"/>
    <x v="8"/>
    <x v="6"/>
    <x v="1851"/>
    <x v="0"/>
    <x v="1"/>
    <x v="0"/>
    <x v="1386"/>
  </r>
  <r>
    <x v="1852"/>
    <x v="1852"/>
    <x v="1852"/>
    <x v="12"/>
    <x v="88"/>
    <x v="1852"/>
    <x v="0"/>
    <x v="1"/>
    <x v="0"/>
    <x v="1387"/>
  </r>
  <r>
    <x v="1853"/>
    <x v="1853"/>
    <x v="1853"/>
    <x v="1"/>
    <x v="69"/>
    <x v="1853"/>
    <x v="0"/>
    <x v="1"/>
    <x v="0"/>
    <x v="1388"/>
  </r>
  <r>
    <x v="1854"/>
    <x v="1854"/>
    <x v="1854"/>
    <x v="22"/>
    <x v="94"/>
    <x v="1854"/>
    <x v="0"/>
    <x v="1"/>
    <x v="0"/>
    <x v="1290"/>
  </r>
  <r>
    <x v="1855"/>
    <x v="1855"/>
    <x v="1855"/>
    <x v="1"/>
    <x v="15"/>
    <x v="1855"/>
    <x v="0"/>
    <x v="1"/>
    <x v="0"/>
    <x v="1083"/>
  </r>
  <r>
    <x v="1856"/>
    <x v="1856"/>
    <x v="1856"/>
    <x v="8"/>
    <x v="59"/>
    <x v="1856"/>
    <x v="0"/>
    <x v="1"/>
    <x v="0"/>
    <x v="1389"/>
  </r>
  <r>
    <x v="1857"/>
    <x v="1857"/>
    <x v="1857"/>
    <x v="8"/>
    <x v="7"/>
    <x v="1857"/>
    <x v="0"/>
    <x v="1"/>
    <x v="0"/>
    <x v="1243"/>
  </r>
  <r>
    <x v="1858"/>
    <x v="1858"/>
    <x v="1858"/>
    <x v="31"/>
    <x v="96"/>
    <x v="1858"/>
    <x v="0"/>
    <x v="1"/>
    <x v="0"/>
    <x v="843"/>
  </r>
  <r>
    <x v="1859"/>
    <x v="1859"/>
    <x v="1859"/>
    <x v="3"/>
    <x v="13"/>
    <x v="1859"/>
    <x v="0"/>
    <x v="1"/>
    <x v="0"/>
    <x v="1131"/>
  </r>
  <r>
    <x v="1860"/>
    <x v="1860"/>
    <x v="1860"/>
    <x v="22"/>
    <x v="7"/>
    <x v="1860"/>
    <x v="0"/>
    <x v="1"/>
    <x v="0"/>
    <x v="1390"/>
  </r>
  <r>
    <x v="1861"/>
    <x v="1861"/>
    <x v="1861"/>
    <x v="3"/>
    <x v="13"/>
    <x v="1861"/>
    <x v="0"/>
    <x v="1"/>
    <x v="0"/>
    <x v="1391"/>
  </r>
  <r>
    <x v="1862"/>
    <x v="1862"/>
    <x v="1862"/>
    <x v="5"/>
    <x v="55"/>
    <x v="1862"/>
    <x v="0"/>
    <x v="1"/>
    <x v="0"/>
    <x v="1392"/>
  </r>
  <r>
    <x v="1863"/>
    <x v="1863"/>
    <x v="1863"/>
    <x v="31"/>
    <x v="13"/>
    <x v="1863"/>
    <x v="0"/>
    <x v="1"/>
    <x v="0"/>
    <x v="1393"/>
  </r>
  <r>
    <x v="1864"/>
    <x v="1864"/>
    <x v="1864"/>
    <x v="22"/>
    <x v="2"/>
    <x v="1864"/>
    <x v="0"/>
    <x v="1"/>
    <x v="0"/>
    <x v="1394"/>
  </r>
  <r>
    <x v="1865"/>
    <x v="1865"/>
    <x v="1865"/>
    <x v="8"/>
    <x v="8"/>
    <x v="1865"/>
    <x v="0"/>
    <x v="1"/>
    <x v="0"/>
    <x v="1395"/>
  </r>
  <r>
    <x v="1866"/>
    <x v="1866"/>
    <x v="1866"/>
    <x v="12"/>
    <x v="53"/>
    <x v="1866"/>
    <x v="0"/>
    <x v="1"/>
    <x v="0"/>
    <x v="1128"/>
  </r>
  <r>
    <x v="1867"/>
    <x v="1867"/>
    <x v="1867"/>
    <x v="12"/>
    <x v="42"/>
    <x v="1867"/>
    <x v="0"/>
    <x v="1"/>
    <x v="0"/>
    <x v="1390"/>
  </r>
  <r>
    <x v="1868"/>
    <x v="1868"/>
    <x v="1868"/>
    <x v="31"/>
    <x v="82"/>
    <x v="1868"/>
    <x v="0"/>
    <x v="1"/>
    <x v="0"/>
    <x v="1396"/>
  </r>
  <r>
    <x v="1869"/>
    <x v="1869"/>
    <x v="1869"/>
    <x v="31"/>
    <x v="52"/>
    <x v="1869"/>
    <x v="0"/>
    <x v="1"/>
    <x v="0"/>
    <x v="1397"/>
  </r>
  <r>
    <x v="1870"/>
    <x v="1870"/>
    <x v="1870"/>
    <x v="3"/>
    <x v="19"/>
    <x v="1870"/>
    <x v="0"/>
    <x v="1"/>
    <x v="0"/>
    <x v="1289"/>
  </r>
  <r>
    <x v="1871"/>
    <x v="1871"/>
    <x v="1871"/>
    <x v="6"/>
    <x v="53"/>
    <x v="1871"/>
    <x v="0"/>
    <x v="1"/>
    <x v="0"/>
    <x v="1398"/>
  </r>
  <r>
    <x v="1872"/>
    <x v="1872"/>
    <x v="1872"/>
    <x v="8"/>
    <x v="10"/>
    <x v="1872"/>
    <x v="0"/>
    <x v="1"/>
    <x v="0"/>
    <x v="1399"/>
  </r>
  <r>
    <x v="1873"/>
    <x v="1873"/>
    <x v="1873"/>
    <x v="13"/>
    <x v="49"/>
    <x v="1873"/>
    <x v="0"/>
    <x v="1"/>
    <x v="0"/>
    <x v="1400"/>
  </r>
  <r>
    <x v="1874"/>
    <x v="1874"/>
    <x v="1874"/>
    <x v="31"/>
    <x v="52"/>
    <x v="1874"/>
    <x v="0"/>
    <x v="1"/>
    <x v="0"/>
    <x v="1401"/>
  </r>
  <r>
    <x v="1875"/>
    <x v="1875"/>
    <x v="1875"/>
    <x v="3"/>
    <x v="28"/>
    <x v="1875"/>
    <x v="0"/>
    <x v="1"/>
    <x v="0"/>
    <x v="1402"/>
  </r>
  <r>
    <x v="1876"/>
    <x v="1876"/>
    <x v="1876"/>
    <x v="8"/>
    <x v="94"/>
    <x v="1876"/>
    <x v="0"/>
    <x v="1"/>
    <x v="0"/>
    <x v="1403"/>
  </r>
  <r>
    <x v="1877"/>
    <x v="1877"/>
    <x v="1877"/>
    <x v="8"/>
    <x v="98"/>
    <x v="1877"/>
    <x v="0"/>
    <x v="1"/>
    <x v="0"/>
    <x v="1404"/>
  </r>
  <r>
    <x v="1878"/>
    <x v="1878"/>
    <x v="1878"/>
    <x v="22"/>
    <x v="75"/>
    <x v="1878"/>
    <x v="0"/>
    <x v="1"/>
    <x v="0"/>
    <x v="1405"/>
  </r>
  <r>
    <x v="1879"/>
    <x v="1879"/>
    <x v="1879"/>
    <x v="8"/>
    <x v="84"/>
    <x v="1879"/>
    <x v="0"/>
    <x v="1"/>
    <x v="0"/>
    <x v="1392"/>
  </r>
  <r>
    <x v="1880"/>
    <x v="1880"/>
    <x v="1880"/>
    <x v="3"/>
    <x v="53"/>
    <x v="1880"/>
    <x v="0"/>
    <x v="1"/>
    <x v="0"/>
    <x v="1406"/>
  </r>
  <r>
    <x v="1881"/>
    <x v="1881"/>
    <x v="1881"/>
    <x v="8"/>
    <x v="59"/>
    <x v="1881"/>
    <x v="0"/>
    <x v="1"/>
    <x v="0"/>
    <x v="1407"/>
  </r>
  <r>
    <x v="1882"/>
    <x v="1882"/>
    <x v="1882"/>
    <x v="22"/>
    <x v="79"/>
    <x v="1882"/>
    <x v="0"/>
    <x v="1"/>
    <x v="0"/>
    <x v="1202"/>
  </r>
  <r>
    <x v="1883"/>
    <x v="1883"/>
    <x v="1883"/>
    <x v="30"/>
    <x v="36"/>
    <x v="1883"/>
    <x v="0"/>
    <x v="1"/>
    <x v="0"/>
    <x v="1225"/>
  </r>
  <r>
    <x v="1884"/>
    <x v="1884"/>
    <x v="1884"/>
    <x v="30"/>
    <x v="36"/>
    <x v="1884"/>
    <x v="0"/>
    <x v="1"/>
    <x v="0"/>
    <x v="1408"/>
  </r>
  <r>
    <x v="1885"/>
    <x v="1885"/>
    <x v="1885"/>
    <x v="8"/>
    <x v="10"/>
    <x v="1885"/>
    <x v="0"/>
    <x v="1"/>
    <x v="0"/>
    <x v="1306"/>
  </r>
  <r>
    <x v="1886"/>
    <x v="1886"/>
    <x v="1886"/>
    <x v="22"/>
    <x v="13"/>
    <x v="1886"/>
    <x v="0"/>
    <x v="1"/>
    <x v="0"/>
    <x v="61"/>
  </r>
  <r>
    <x v="1887"/>
    <x v="1887"/>
    <x v="1887"/>
    <x v="7"/>
    <x v="7"/>
    <x v="1887"/>
    <x v="0"/>
    <x v="1"/>
    <x v="0"/>
    <x v="1409"/>
  </r>
  <r>
    <x v="1888"/>
    <x v="1888"/>
    <x v="1888"/>
    <x v="3"/>
    <x v="6"/>
    <x v="1888"/>
    <x v="0"/>
    <x v="1"/>
    <x v="0"/>
    <x v="1410"/>
  </r>
  <r>
    <x v="1889"/>
    <x v="1889"/>
    <x v="1889"/>
    <x v="31"/>
    <x v="52"/>
    <x v="1889"/>
    <x v="0"/>
    <x v="1"/>
    <x v="0"/>
    <x v="1411"/>
  </r>
  <r>
    <x v="1890"/>
    <x v="1890"/>
    <x v="1890"/>
    <x v="31"/>
    <x v="24"/>
    <x v="1890"/>
    <x v="0"/>
    <x v="1"/>
    <x v="0"/>
    <x v="1412"/>
  </r>
  <r>
    <x v="1891"/>
    <x v="1891"/>
    <x v="1891"/>
    <x v="31"/>
    <x v="52"/>
    <x v="1891"/>
    <x v="0"/>
    <x v="1"/>
    <x v="0"/>
    <x v="1335"/>
  </r>
  <r>
    <x v="1892"/>
    <x v="1892"/>
    <x v="1892"/>
    <x v="8"/>
    <x v="7"/>
    <x v="1892"/>
    <x v="0"/>
    <x v="1"/>
    <x v="0"/>
    <x v="1413"/>
  </r>
  <r>
    <x v="1893"/>
    <x v="1893"/>
    <x v="1893"/>
    <x v="22"/>
    <x v="3"/>
    <x v="1893"/>
    <x v="0"/>
    <x v="1"/>
    <x v="0"/>
    <x v="61"/>
  </r>
  <r>
    <x v="1894"/>
    <x v="1894"/>
    <x v="1894"/>
    <x v="8"/>
    <x v="70"/>
    <x v="1894"/>
    <x v="0"/>
    <x v="1"/>
    <x v="0"/>
    <x v="1414"/>
  </r>
  <r>
    <x v="1895"/>
    <x v="1895"/>
    <x v="1895"/>
    <x v="3"/>
    <x v="88"/>
    <x v="1895"/>
    <x v="0"/>
    <x v="1"/>
    <x v="0"/>
    <x v="1415"/>
  </r>
  <r>
    <x v="1896"/>
    <x v="1896"/>
    <x v="1896"/>
    <x v="6"/>
    <x v="41"/>
    <x v="1896"/>
    <x v="0"/>
    <x v="1"/>
    <x v="0"/>
    <x v="1259"/>
  </r>
  <r>
    <x v="1897"/>
    <x v="1897"/>
    <x v="1897"/>
    <x v="31"/>
    <x v="99"/>
    <x v="1897"/>
    <x v="0"/>
    <x v="1"/>
    <x v="0"/>
    <x v="1130"/>
  </r>
  <r>
    <x v="1898"/>
    <x v="1898"/>
    <x v="1898"/>
    <x v="3"/>
    <x v="21"/>
    <x v="1898"/>
    <x v="0"/>
    <x v="1"/>
    <x v="0"/>
    <x v="1416"/>
  </r>
  <r>
    <x v="1899"/>
    <x v="1899"/>
    <x v="1899"/>
    <x v="22"/>
    <x v="50"/>
    <x v="1899"/>
    <x v="0"/>
    <x v="1"/>
    <x v="0"/>
    <x v="1326"/>
  </r>
  <r>
    <x v="1900"/>
    <x v="1900"/>
    <x v="1900"/>
    <x v="20"/>
    <x v="50"/>
    <x v="1900"/>
    <x v="0"/>
    <x v="1"/>
    <x v="0"/>
    <x v="1417"/>
  </r>
  <r>
    <x v="1901"/>
    <x v="1901"/>
    <x v="1901"/>
    <x v="1"/>
    <x v="53"/>
    <x v="1901"/>
    <x v="0"/>
    <x v="1"/>
    <x v="0"/>
    <x v="1386"/>
  </r>
  <r>
    <x v="1902"/>
    <x v="1902"/>
    <x v="1902"/>
    <x v="3"/>
    <x v="59"/>
    <x v="1902"/>
    <x v="0"/>
    <x v="1"/>
    <x v="0"/>
    <x v="1418"/>
  </r>
  <r>
    <x v="1903"/>
    <x v="1903"/>
    <x v="1903"/>
    <x v="8"/>
    <x v="98"/>
    <x v="1903"/>
    <x v="0"/>
    <x v="1"/>
    <x v="0"/>
    <x v="1419"/>
  </r>
  <r>
    <x v="1904"/>
    <x v="1904"/>
    <x v="1904"/>
    <x v="8"/>
    <x v="19"/>
    <x v="1904"/>
    <x v="0"/>
    <x v="1"/>
    <x v="0"/>
    <x v="1420"/>
  </r>
  <r>
    <x v="1905"/>
    <x v="1905"/>
    <x v="1905"/>
    <x v="8"/>
    <x v="28"/>
    <x v="1905"/>
    <x v="0"/>
    <x v="1"/>
    <x v="0"/>
    <x v="1116"/>
  </r>
  <r>
    <x v="1906"/>
    <x v="1906"/>
    <x v="1906"/>
    <x v="11"/>
    <x v="41"/>
    <x v="1906"/>
    <x v="0"/>
    <x v="1"/>
    <x v="0"/>
    <x v="1174"/>
  </r>
  <r>
    <x v="1907"/>
    <x v="1907"/>
    <x v="1907"/>
    <x v="3"/>
    <x v="34"/>
    <x v="1907"/>
    <x v="0"/>
    <x v="1"/>
    <x v="0"/>
    <x v="1421"/>
  </r>
  <r>
    <x v="1908"/>
    <x v="1908"/>
    <x v="1908"/>
    <x v="12"/>
    <x v="86"/>
    <x v="1908"/>
    <x v="0"/>
    <x v="1"/>
    <x v="0"/>
    <x v="1422"/>
  </r>
  <r>
    <x v="1909"/>
    <x v="1909"/>
    <x v="1909"/>
    <x v="8"/>
    <x v="94"/>
    <x v="1909"/>
    <x v="0"/>
    <x v="1"/>
    <x v="0"/>
    <x v="1423"/>
  </r>
  <r>
    <x v="1910"/>
    <x v="1910"/>
    <x v="1910"/>
    <x v="8"/>
    <x v="90"/>
    <x v="1910"/>
    <x v="0"/>
    <x v="1"/>
    <x v="0"/>
    <x v="1424"/>
  </r>
  <r>
    <x v="1911"/>
    <x v="1911"/>
    <x v="1911"/>
    <x v="24"/>
    <x v="28"/>
    <x v="1911"/>
    <x v="0"/>
    <x v="1"/>
    <x v="0"/>
    <x v="1425"/>
  </r>
  <r>
    <x v="1912"/>
    <x v="1912"/>
    <x v="1912"/>
    <x v="31"/>
    <x v="82"/>
    <x v="1912"/>
    <x v="0"/>
    <x v="1"/>
    <x v="0"/>
    <x v="1426"/>
  </r>
  <r>
    <x v="1913"/>
    <x v="1913"/>
    <x v="1913"/>
    <x v="17"/>
    <x v="18"/>
    <x v="1913"/>
    <x v="0"/>
    <x v="1"/>
    <x v="0"/>
    <x v="1427"/>
  </r>
  <r>
    <x v="1914"/>
    <x v="1914"/>
    <x v="1914"/>
    <x v="20"/>
    <x v="3"/>
    <x v="1914"/>
    <x v="0"/>
    <x v="1"/>
    <x v="0"/>
    <x v="1428"/>
  </r>
  <r>
    <x v="1915"/>
    <x v="1915"/>
    <x v="1915"/>
    <x v="31"/>
    <x v="12"/>
    <x v="1915"/>
    <x v="0"/>
    <x v="1"/>
    <x v="0"/>
    <x v="1246"/>
  </r>
  <r>
    <x v="1916"/>
    <x v="1916"/>
    <x v="1916"/>
    <x v="17"/>
    <x v="50"/>
    <x v="1916"/>
    <x v="0"/>
    <x v="1"/>
    <x v="0"/>
    <x v="1429"/>
  </r>
  <r>
    <x v="1917"/>
    <x v="1917"/>
    <x v="1917"/>
    <x v="9"/>
    <x v="37"/>
    <x v="1917"/>
    <x v="0"/>
    <x v="1"/>
    <x v="0"/>
    <x v="1430"/>
  </r>
  <r>
    <x v="1918"/>
    <x v="1918"/>
    <x v="1918"/>
    <x v="3"/>
    <x v="52"/>
    <x v="1918"/>
    <x v="0"/>
    <x v="1"/>
    <x v="0"/>
    <x v="1383"/>
  </r>
  <r>
    <x v="1919"/>
    <x v="1919"/>
    <x v="1919"/>
    <x v="5"/>
    <x v="92"/>
    <x v="1919"/>
    <x v="0"/>
    <x v="1"/>
    <x v="0"/>
    <x v="1431"/>
  </r>
  <r>
    <x v="1920"/>
    <x v="1920"/>
    <x v="1920"/>
    <x v="8"/>
    <x v="10"/>
    <x v="1920"/>
    <x v="0"/>
    <x v="1"/>
    <x v="0"/>
    <x v="1432"/>
  </r>
  <r>
    <x v="1921"/>
    <x v="1921"/>
    <x v="1921"/>
    <x v="24"/>
    <x v="96"/>
    <x v="1921"/>
    <x v="0"/>
    <x v="1"/>
    <x v="0"/>
    <x v="1433"/>
  </r>
  <r>
    <x v="1922"/>
    <x v="1922"/>
    <x v="1922"/>
    <x v="31"/>
    <x v="7"/>
    <x v="1922"/>
    <x v="0"/>
    <x v="1"/>
    <x v="0"/>
    <x v="1248"/>
  </r>
  <r>
    <x v="1923"/>
    <x v="1923"/>
    <x v="1923"/>
    <x v="31"/>
    <x v="70"/>
    <x v="1923"/>
    <x v="0"/>
    <x v="1"/>
    <x v="0"/>
    <x v="1434"/>
  </r>
  <r>
    <x v="1924"/>
    <x v="1924"/>
    <x v="1924"/>
    <x v="31"/>
    <x v="19"/>
    <x v="1924"/>
    <x v="0"/>
    <x v="1"/>
    <x v="0"/>
    <x v="1147"/>
  </r>
  <r>
    <x v="1925"/>
    <x v="1925"/>
    <x v="1925"/>
    <x v="8"/>
    <x v="48"/>
    <x v="1925"/>
    <x v="0"/>
    <x v="1"/>
    <x v="0"/>
    <x v="1435"/>
  </r>
  <r>
    <x v="1926"/>
    <x v="1926"/>
    <x v="1926"/>
    <x v="22"/>
    <x v="63"/>
    <x v="1926"/>
    <x v="0"/>
    <x v="1"/>
    <x v="0"/>
    <x v="1436"/>
  </r>
  <r>
    <x v="1927"/>
    <x v="1927"/>
    <x v="1927"/>
    <x v="17"/>
    <x v="13"/>
    <x v="1927"/>
    <x v="0"/>
    <x v="1"/>
    <x v="0"/>
    <x v="1437"/>
  </r>
  <r>
    <x v="1928"/>
    <x v="1928"/>
    <x v="1928"/>
    <x v="12"/>
    <x v="12"/>
    <x v="1928"/>
    <x v="0"/>
    <x v="1"/>
    <x v="0"/>
    <x v="1438"/>
  </r>
  <r>
    <x v="1929"/>
    <x v="1929"/>
    <x v="1929"/>
    <x v="12"/>
    <x v="50"/>
    <x v="1929"/>
    <x v="0"/>
    <x v="1"/>
    <x v="0"/>
    <x v="1439"/>
  </r>
  <r>
    <x v="1930"/>
    <x v="1930"/>
    <x v="1930"/>
    <x v="8"/>
    <x v="59"/>
    <x v="1930"/>
    <x v="0"/>
    <x v="1"/>
    <x v="0"/>
    <x v="1440"/>
  </r>
  <r>
    <x v="1931"/>
    <x v="1931"/>
    <x v="1931"/>
    <x v="20"/>
    <x v="19"/>
    <x v="1931"/>
    <x v="0"/>
    <x v="1"/>
    <x v="0"/>
    <x v="1261"/>
  </r>
  <r>
    <x v="1932"/>
    <x v="1932"/>
    <x v="1932"/>
    <x v="7"/>
    <x v="67"/>
    <x v="1932"/>
    <x v="0"/>
    <x v="1"/>
    <x v="0"/>
    <x v="1441"/>
  </r>
  <r>
    <x v="1933"/>
    <x v="1933"/>
    <x v="1933"/>
    <x v="20"/>
    <x v="95"/>
    <x v="1933"/>
    <x v="0"/>
    <x v="1"/>
    <x v="0"/>
    <x v="1442"/>
  </r>
  <r>
    <x v="1934"/>
    <x v="1934"/>
    <x v="1934"/>
    <x v="8"/>
    <x v="19"/>
    <x v="1934"/>
    <x v="0"/>
    <x v="1"/>
    <x v="0"/>
    <x v="1358"/>
  </r>
  <r>
    <x v="1935"/>
    <x v="1935"/>
    <x v="1935"/>
    <x v="6"/>
    <x v="19"/>
    <x v="1935"/>
    <x v="0"/>
    <x v="1"/>
    <x v="0"/>
    <x v="1320"/>
  </r>
  <r>
    <x v="1936"/>
    <x v="1936"/>
    <x v="1936"/>
    <x v="15"/>
    <x v="13"/>
    <x v="1936"/>
    <x v="0"/>
    <x v="1"/>
    <x v="0"/>
    <x v="1443"/>
  </r>
  <r>
    <x v="1937"/>
    <x v="1937"/>
    <x v="1937"/>
    <x v="3"/>
    <x v="105"/>
    <x v="1937"/>
    <x v="0"/>
    <x v="1"/>
    <x v="0"/>
    <x v="1444"/>
  </r>
  <r>
    <x v="1938"/>
    <x v="1938"/>
    <x v="1938"/>
    <x v="31"/>
    <x v="50"/>
    <x v="1938"/>
    <x v="0"/>
    <x v="1"/>
    <x v="0"/>
    <x v="1445"/>
  </r>
  <r>
    <x v="1939"/>
    <x v="1939"/>
    <x v="1939"/>
    <x v="1"/>
    <x v="8"/>
    <x v="1939"/>
    <x v="0"/>
    <x v="1"/>
    <x v="0"/>
    <x v="1270"/>
  </r>
  <r>
    <x v="1940"/>
    <x v="1940"/>
    <x v="1940"/>
    <x v="12"/>
    <x v="93"/>
    <x v="1940"/>
    <x v="0"/>
    <x v="1"/>
    <x v="0"/>
    <x v="1446"/>
  </r>
  <r>
    <x v="1941"/>
    <x v="1941"/>
    <x v="1941"/>
    <x v="31"/>
    <x v="19"/>
    <x v="1941"/>
    <x v="0"/>
    <x v="1"/>
    <x v="0"/>
    <x v="1447"/>
  </r>
  <r>
    <x v="1942"/>
    <x v="1942"/>
    <x v="1942"/>
    <x v="3"/>
    <x v="95"/>
    <x v="1942"/>
    <x v="0"/>
    <x v="1"/>
    <x v="0"/>
    <x v="1448"/>
  </r>
  <r>
    <x v="1943"/>
    <x v="1943"/>
    <x v="1943"/>
    <x v="8"/>
    <x v="19"/>
    <x v="1943"/>
    <x v="0"/>
    <x v="1"/>
    <x v="0"/>
    <x v="1449"/>
  </r>
  <r>
    <x v="1944"/>
    <x v="1944"/>
    <x v="1944"/>
    <x v="8"/>
    <x v="65"/>
    <x v="1944"/>
    <x v="0"/>
    <x v="1"/>
    <x v="0"/>
    <x v="1450"/>
  </r>
  <r>
    <x v="1945"/>
    <x v="1945"/>
    <x v="1945"/>
    <x v="31"/>
    <x v="63"/>
    <x v="1945"/>
    <x v="0"/>
    <x v="1"/>
    <x v="0"/>
    <x v="1451"/>
  </r>
  <r>
    <x v="1946"/>
    <x v="1946"/>
    <x v="1946"/>
    <x v="5"/>
    <x v="3"/>
    <x v="1946"/>
    <x v="0"/>
    <x v="1"/>
    <x v="0"/>
    <x v="1452"/>
  </r>
  <r>
    <x v="1947"/>
    <x v="1947"/>
    <x v="1947"/>
    <x v="12"/>
    <x v="26"/>
    <x v="1947"/>
    <x v="0"/>
    <x v="1"/>
    <x v="0"/>
    <x v="1453"/>
  </r>
  <r>
    <x v="1948"/>
    <x v="1948"/>
    <x v="1948"/>
    <x v="8"/>
    <x v="75"/>
    <x v="1948"/>
    <x v="0"/>
    <x v="1"/>
    <x v="0"/>
    <x v="1454"/>
  </r>
  <r>
    <x v="1949"/>
    <x v="1949"/>
    <x v="1949"/>
    <x v="3"/>
    <x v="53"/>
    <x v="1949"/>
    <x v="0"/>
    <x v="1"/>
    <x v="0"/>
    <x v="1455"/>
  </r>
  <r>
    <x v="1950"/>
    <x v="1950"/>
    <x v="1950"/>
    <x v="6"/>
    <x v="94"/>
    <x v="1950"/>
    <x v="0"/>
    <x v="1"/>
    <x v="0"/>
    <x v="1456"/>
  </r>
  <r>
    <x v="1951"/>
    <x v="1951"/>
    <x v="1951"/>
    <x v="1"/>
    <x v="28"/>
    <x v="1951"/>
    <x v="0"/>
    <x v="1"/>
    <x v="0"/>
    <x v="1158"/>
  </r>
  <r>
    <x v="1952"/>
    <x v="1952"/>
    <x v="1952"/>
    <x v="8"/>
    <x v="92"/>
    <x v="1952"/>
    <x v="0"/>
    <x v="1"/>
    <x v="0"/>
    <x v="1457"/>
  </r>
  <r>
    <x v="1953"/>
    <x v="1953"/>
    <x v="1953"/>
    <x v="0"/>
    <x v="11"/>
    <x v="1953"/>
    <x v="0"/>
    <x v="1"/>
    <x v="0"/>
    <x v="1119"/>
  </r>
  <r>
    <x v="1954"/>
    <x v="1954"/>
    <x v="1954"/>
    <x v="7"/>
    <x v="19"/>
    <x v="1954"/>
    <x v="0"/>
    <x v="1"/>
    <x v="0"/>
    <x v="1458"/>
  </r>
  <r>
    <x v="1955"/>
    <x v="1955"/>
    <x v="1955"/>
    <x v="3"/>
    <x v="42"/>
    <x v="1955"/>
    <x v="0"/>
    <x v="1"/>
    <x v="0"/>
    <x v="1459"/>
  </r>
  <r>
    <x v="1956"/>
    <x v="1956"/>
    <x v="1956"/>
    <x v="8"/>
    <x v="36"/>
    <x v="1956"/>
    <x v="0"/>
    <x v="1"/>
    <x v="0"/>
    <x v="1460"/>
  </r>
  <r>
    <x v="1957"/>
    <x v="1957"/>
    <x v="1957"/>
    <x v="5"/>
    <x v="82"/>
    <x v="1957"/>
    <x v="0"/>
    <x v="1"/>
    <x v="0"/>
    <x v="1461"/>
  </r>
  <r>
    <x v="1958"/>
    <x v="1958"/>
    <x v="1958"/>
    <x v="6"/>
    <x v="8"/>
    <x v="1958"/>
    <x v="0"/>
    <x v="1"/>
    <x v="0"/>
    <x v="1462"/>
  </r>
  <r>
    <x v="1959"/>
    <x v="1959"/>
    <x v="1959"/>
    <x v="8"/>
    <x v="94"/>
    <x v="1959"/>
    <x v="0"/>
    <x v="1"/>
    <x v="0"/>
    <x v="1463"/>
  </r>
  <r>
    <x v="1960"/>
    <x v="1960"/>
    <x v="1960"/>
    <x v="22"/>
    <x v="3"/>
    <x v="1960"/>
    <x v="0"/>
    <x v="1"/>
    <x v="0"/>
    <x v="1464"/>
  </r>
  <r>
    <x v="1961"/>
    <x v="1961"/>
    <x v="1961"/>
    <x v="1"/>
    <x v="94"/>
    <x v="1961"/>
    <x v="0"/>
    <x v="1"/>
    <x v="0"/>
    <x v="1119"/>
  </r>
  <r>
    <x v="1962"/>
    <x v="1962"/>
    <x v="1962"/>
    <x v="3"/>
    <x v="7"/>
    <x v="1962"/>
    <x v="0"/>
    <x v="1"/>
    <x v="0"/>
    <x v="1465"/>
  </r>
  <r>
    <x v="1963"/>
    <x v="1963"/>
    <x v="1963"/>
    <x v="8"/>
    <x v="52"/>
    <x v="1963"/>
    <x v="0"/>
    <x v="1"/>
    <x v="0"/>
    <x v="1466"/>
  </r>
  <r>
    <x v="1964"/>
    <x v="1964"/>
    <x v="1964"/>
    <x v="8"/>
    <x v="63"/>
    <x v="1964"/>
    <x v="0"/>
    <x v="1"/>
    <x v="0"/>
    <x v="1467"/>
  </r>
  <r>
    <x v="1965"/>
    <x v="1965"/>
    <x v="1965"/>
    <x v="1"/>
    <x v="69"/>
    <x v="1965"/>
    <x v="0"/>
    <x v="1"/>
    <x v="0"/>
    <x v="1468"/>
  </r>
  <r>
    <x v="1966"/>
    <x v="1966"/>
    <x v="1966"/>
    <x v="22"/>
    <x v="63"/>
    <x v="1966"/>
    <x v="0"/>
    <x v="1"/>
    <x v="0"/>
    <x v="1137"/>
  </r>
  <r>
    <x v="1967"/>
    <x v="1967"/>
    <x v="1967"/>
    <x v="3"/>
    <x v="23"/>
    <x v="1967"/>
    <x v="0"/>
    <x v="1"/>
    <x v="0"/>
    <x v="946"/>
  </r>
  <r>
    <x v="1968"/>
    <x v="1968"/>
    <x v="1968"/>
    <x v="3"/>
    <x v="7"/>
    <x v="1968"/>
    <x v="0"/>
    <x v="1"/>
    <x v="0"/>
    <x v="1469"/>
  </r>
  <r>
    <x v="1969"/>
    <x v="1969"/>
    <x v="1969"/>
    <x v="5"/>
    <x v="94"/>
    <x v="1969"/>
    <x v="0"/>
    <x v="1"/>
    <x v="0"/>
    <x v="1210"/>
  </r>
  <r>
    <x v="1970"/>
    <x v="1970"/>
    <x v="1970"/>
    <x v="12"/>
    <x v="82"/>
    <x v="1970"/>
    <x v="0"/>
    <x v="1"/>
    <x v="0"/>
    <x v="1470"/>
  </r>
  <r>
    <x v="1971"/>
    <x v="1971"/>
    <x v="1971"/>
    <x v="5"/>
    <x v="94"/>
    <x v="1971"/>
    <x v="0"/>
    <x v="1"/>
    <x v="0"/>
    <x v="1471"/>
  </r>
  <r>
    <x v="1972"/>
    <x v="1972"/>
    <x v="1972"/>
    <x v="8"/>
    <x v="11"/>
    <x v="1972"/>
    <x v="0"/>
    <x v="1"/>
    <x v="0"/>
    <x v="1472"/>
  </r>
  <r>
    <x v="1973"/>
    <x v="1973"/>
    <x v="1973"/>
    <x v="16"/>
    <x v="8"/>
    <x v="1973"/>
    <x v="0"/>
    <x v="1"/>
    <x v="0"/>
    <x v="1473"/>
  </r>
  <r>
    <x v="1974"/>
    <x v="1974"/>
    <x v="1974"/>
    <x v="5"/>
    <x v="94"/>
    <x v="1974"/>
    <x v="0"/>
    <x v="1"/>
    <x v="0"/>
    <x v="1474"/>
  </r>
  <r>
    <x v="1975"/>
    <x v="1975"/>
    <x v="1975"/>
    <x v="31"/>
    <x v="53"/>
    <x v="1975"/>
    <x v="0"/>
    <x v="1"/>
    <x v="0"/>
    <x v="1475"/>
  </r>
  <r>
    <x v="1976"/>
    <x v="1976"/>
    <x v="1976"/>
    <x v="12"/>
    <x v="92"/>
    <x v="1976"/>
    <x v="0"/>
    <x v="1"/>
    <x v="0"/>
    <x v="1346"/>
  </r>
  <r>
    <x v="1977"/>
    <x v="1977"/>
    <x v="1977"/>
    <x v="12"/>
    <x v="45"/>
    <x v="1977"/>
    <x v="0"/>
    <x v="1"/>
    <x v="0"/>
    <x v="1476"/>
  </r>
  <r>
    <x v="1978"/>
    <x v="1978"/>
    <x v="1978"/>
    <x v="1"/>
    <x v="53"/>
    <x v="1978"/>
    <x v="0"/>
    <x v="1"/>
    <x v="0"/>
    <x v="1477"/>
  </r>
  <r>
    <x v="1979"/>
    <x v="1979"/>
    <x v="1979"/>
    <x v="1"/>
    <x v="8"/>
    <x v="1979"/>
    <x v="0"/>
    <x v="1"/>
    <x v="0"/>
    <x v="1468"/>
  </r>
  <r>
    <x v="1980"/>
    <x v="1980"/>
    <x v="1980"/>
    <x v="5"/>
    <x v="7"/>
    <x v="1980"/>
    <x v="0"/>
    <x v="1"/>
    <x v="0"/>
    <x v="1478"/>
  </r>
  <r>
    <x v="1981"/>
    <x v="1981"/>
    <x v="1981"/>
    <x v="5"/>
    <x v="48"/>
    <x v="1981"/>
    <x v="0"/>
    <x v="1"/>
    <x v="0"/>
    <x v="1479"/>
  </r>
  <r>
    <x v="1982"/>
    <x v="1982"/>
    <x v="1982"/>
    <x v="4"/>
    <x v="50"/>
    <x v="1982"/>
    <x v="0"/>
    <x v="1"/>
    <x v="0"/>
    <x v="1480"/>
  </r>
  <r>
    <x v="1983"/>
    <x v="1983"/>
    <x v="1983"/>
    <x v="8"/>
    <x v="52"/>
    <x v="1983"/>
    <x v="0"/>
    <x v="1"/>
    <x v="0"/>
    <x v="1481"/>
  </r>
  <r>
    <x v="1984"/>
    <x v="1984"/>
    <x v="1984"/>
    <x v="31"/>
    <x v="10"/>
    <x v="1984"/>
    <x v="0"/>
    <x v="1"/>
    <x v="0"/>
    <x v="1482"/>
  </r>
  <r>
    <x v="1985"/>
    <x v="1985"/>
    <x v="1985"/>
    <x v="23"/>
    <x v="2"/>
    <x v="1985"/>
    <x v="0"/>
    <x v="1"/>
    <x v="0"/>
    <x v="1226"/>
  </r>
  <r>
    <x v="1986"/>
    <x v="1986"/>
    <x v="1986"/>
    <x v="1"/>
    <x v="82"/>
    <x v="1986"/>
    <x v="0"/>
    <x v="1"/>
    <x v="0"/>
    <x v="1483"/>
  </r>
  <r>
    <x v="1987"/>
    <x v="1987"/>
    <x v="1987"/>
    <x v="3"/>
    <x v="71"/>
    <x v="1987"/>
    <x v="0"/>
    <x v="1"/>
    <x v="0"/>
    <x v="1484"/>
  </r>
  <r>
    <x v="1988"/>
    <x v="1988"/>
    <x v="1988"/>
    <x v="8"/>
    <x v="11"/>
    <x v="1988"/>
    <x v="0"/>
    <x v="1"/>
    <x v="0"/>
    <x v="1485"/>
  </r>
  <r>
    <x v="1989"/>
    <x v="1989"/>
    <x v="1989"/>
    <x v="3"/>
    <x v="87"/>
    <x v="1989"/>
    <x v="0"/>
    <x v="1"/>
    <x v="0"/>
    <x v="1486"/>
  </r>
  <r>
    <x v="1990"/>
    <x v="1990"/>
    <x v="1990"/>
    <x v="3"/>
    <x v="52"/>
    <x v="1990"/>
    <x v="0"/>
    <x v="1"/>
    <x v="0"/>
    <x v="1487"/>
  </r>
  <r>
    <x v="1991"/>
    <x v="1991"/>
    <x v="1991"/>
    <x v="3"/>
    <x v="49"/>
    <x v="1991"/>
    <x v="0"/>
    <x v="1"/>
    <x v="0"/>
    <x v="1488"/>
  </r>
  <r>
    <x v="1992"/>
    <x v="1992"/>
    <x v="1992"/>
    <x v="31"/>
    <x v="102"/>
    <x v="1992"/>
    <x v="0"/>
    <x v="1"/>
    <x v="0"/>
    <x v="1395"/>
  </r>
  <r>
    <x v="1993"/>
    <x v="1993"/>
    <x v="1993"/>
    <x v="5"/>
    <x v="49"/>
    <x v="1993"/>
    <x v="0"/>
    <x v="1"/>
    <x v="0"/>
    <x v="1489"/>
  </r>
  <r>
    <x v="1994"/>
    <x v="1994"/>
    <x v="1994"/>
    <x v="9"/>
    <x v="18"/>
    <x v="1994"/>
    <x v="0"/>
    <x v="1"/>
    <x v="0"/>
    <x v="1116"/>
  </r>
  <r>
    <x v="1995"/>
    <x v="1995"/>
    <x v="1995"/>
    <x v="31"/>
    <x v="33"/>
    <x v="1995"/>
    <x v="0"/>
    <x v="1"/>
    <x v="0"/>
    <x v="1118"/>
  </r>
  <r>
    <x v="1996"/>
    <x v="1996"/>
    <x v="1996"/>
    <x v="31"/>
    <x v="50"/>
    <x v="1996"/>
    <x v="0"/>
    <x v="1"/>
    <x v="0"/>
    <x v="1239"/>
  </r>
  <r>
    <x v="1997"/>
    <x v="1997"/>
    <x v="1997"/>
    <x v="31"/>
    <x v="2"/>
    <x v="1997"/>
    <x v="0"/>
    <x v="1"/>
    <x v="0"/>
    <x v="1490"/>
  </r>
  <r>
    <x v="1998"/>
    <x v="1998"/>
    <x v="1998"/>
    <x v="1"/>
    <x v="69"/>
    <x v="1998"/>
    <x v="0"/>
    <x v="1"/>
    <x v="0"/>
    <x v="1491"/>
  </r>
  <r>
    <x v="1999"/>
    <x v="1999"/>
    <x v="1999"/>
    <x v="8"/>
    <x v="84"/>
    <x v="1999"/>
    <x v="0"/>
    <x v="1"/>
    <x v="0"/>
    <x v="1112"/>
  </r>
  <r>
    <x v="2000"/>
    <x v="2000"/>
    <x v="2000"/>
    <x v="3"/>
    <x v="13"/>
    <x v="2000"/>
    <x v="0"/>
    <x v="1"/>
    <x v="0"/>
    <x v="1492"/>
  </r>
  <r>
    <x v="2001"/>
    <x v="2001"/>
    <x v="2001"/>
    <x v="22"/>
    <x v="99"/>
    <x v="2001"/>
    <x v="0"/>
    <x v="1"/>
    <x v="0"/>
    <x v="1493"/>
  </r>
  <r>
    <x v="2002"/>
    <x v="2002"/>
    <x v="2002"/>
    <x v="31"/>
    <x v="53"/>
    <x v="2002"/>
    <x v="0"/>
    <x v="1"/>
    <x v="0"/>
    <x v="1494"/>
  </r>
  <r>
    <x v="2003"/>
    <x v="2003"/>
    <x v="2003"/>
    <x v="8"/>
    <x v="45"/>
    <x v="2003"/>
    <x v="0"/>
    <x v="1"/>
    <x v="0"/>
    <x v="1495"/>
  </r>
  <r>
    <x v="2004"/>
    <x v="2004"/>
    <x v="2004"/>
    <x v="8"/>
    <x v="7"/>
    <x v="2004"/>
    <x v="0"/>
    <x v="1"/>
    <x v="0"/>
    <x v="1496"/>
  </r>
  <r>
    <x v="2005"/>
    <x v="2005"/>
    <x v="2005"/>
    <x v="5"/>
    <x v="94"/>
    <x v="2005"/>
    <x v="0"/>
    <x v="1"/>
    <x v="0"/>
    <x v="1243"/>
  </r>
  <r>
    <x v="2006"/>
    <x v="2006"/>
    <x v="2006"/>
    <x v="31"/>
    <x v="57"/>
    <x v="2006"/>
    <x v="0"/>
    <x v="1"/>
    <x v="0"/>
    <x v="1363"/>
  </r>
  <r>
    <x v="2007"/>
    <x v="2007"/>
    <x v="2007"/>
    <x v="3"/>
    <x v="11"/>
    <x v="2007"/>
    <x v="0"/>
    <x v="1"/>
    <x v="0"/>
    <x v="1497"/>
  </r>
  <r>
    <x v="2008"/>
    <x v="2008"/>
    <x v="2008"/>
    <x v="8"/>
    <x v="53"/>
    <x v="2008"/>
    <x v="0"/>
    <x v="1"/>
    <x v="0"/>
    <x v="1120"/>
  </r>
  <r>
    <x v="2009"/>
    <x v="2009"/>
    <x v="2009"/>
    <x v="1"/>
    <x v="3"/>
    <x v="2009"/>
    <x v="0"/>
    <x v="1"/>
    <x v="0"/>
    <x v="1498"/>
  </r>
  <r>
    <x v="2010"/>
    <x v="2010"/>
    <x v="2010"/>
    <x v="3"/>
    <x v="52"/>
    <x v="2010"/>
    <x v="0"/>
    <x v="1"/>
    <x v="0"/>
    <x v="1155"/>
  </r>
  <r>
    <x v="2011"/>
    <x v="2011"/>
    <x v="2011"/>
    <x v="8"/>
    <x v="84"/>
    <x v="2011"/>
    <x v="0"/>
    <x v="1"/>
    <x v="0"/>
    <x v="1499"/>
  </r>
  <r>
    <x v="2012"/>
    <x v="2012"/>
    <x v="2012"/>
    <x v="22"/>
    <x v="8"/>
    <x v="2012"/>
    <x v="0"/>
    <x v="1"/>
    <x v="0"/>
    <x v="1500"/>
  </r>
  <r>
    <x v="2013"/>
    <x v="2013"/>
    <x v="2013"/>
    <x v="3"/>
    <x v="53"/>
    <x v="2013"/>
    <x v="0"/>
    <x v="1"/>
    <x v="0"/>
    <x v="1501"/>
  </r>
  <r>
    <x v="2014"/>
    <x v="2014"/>
    <x v="2014"/>
    <x v="3"/>
    <x v="59"/>
    <x v="2014"/>
    <x v="0"/>
    <x v="1"/>
    <x v="0"/>
    <x v="1502"/>
  </r>
  <r>
    <x v="2015"/>
    <x v="2015"/>
    <x v="2015"/>
    <x v="3"/>
    <x v="52"/>
    <x v="2015"/>
    <x v="0"/>
    <x v="1"/>
    <x v="0"/>
    <x v="1159"/>
  </r>
  <r>
    <x v="2016"/>
    <x v="2016"/>
    <x v="2016"/>
    <x v="8"/>
    <x v="19"/>
    <x v="2016"/>
    <x v="0"/>
    <x v="1"/>
    <x v="0"/>
    <x v="1503"/>
  </r>
  <r>
    <x v="2017"/>
    <x v="2017"/>
    <x v="2017"/>
    <x v="31"/>
    <x v="2"/>
    <x v="2017"/>
    <x v="0"/>
    <x v="1"/>
    <x v="0"/>
    <x v="1225"/>
  </r>
  <r>
    <x v="2018"/>
    <x v="2018"/>
    <x v="2018"/>
    <x v="27"/>
    <x v="64"/>
    <x v="2018"/>
    <x v="0"/>
    <x v="1"/>
    <x v="0"/>
    <x v="1504"/>
  </r>
  <r>
    <x v="2019"/>
    <x v="2019"/>
    <x v="2019"/>
    <x v="5"/>
    <x v="13"/>
    <x v="2019"/>
    <x v="0"/>
    <x v="1"/>
    <x v="0"/>
    <x v="1505"/>
  </r>
  <r>
    <x v="2020"/>
    <x v="2020"/>
    <x v="2020"/>
    <x v="3"/>
    <x v="19"/>
    <x v="2020"/>
    <x v="0"/>
    <x v="1"/>
    <x v="0"/>
    <x v="1506"/>
  </r>
  <r>
    <x v="2021"/>
    <x v="2021"/>
    <x v="2021"/>
    <x v="8"/>
    <x v="19"/>
    <x v="2021"/>
    <x v="0"/>
    <x v="1"/>
    <x v="0"/>
    <x v="1495"/>
  </r>
  <r>
    <x v="2022"/>
    <x v="2022"/>
    <x v="2022"/>
    <x v="1"/>
    <x v="2"/>
    <x v="2022"/>
    <x v="0"/>
    <x v="1"/>
    <x v="0"/>
    <x v="1507"/>
  </r>
  <r>
    <x v="2023"/>
    <x v="2023"/>
    <x v="2023"/>
    <x v="3"/>
    <x v="52"/>
    <x v="2023"/>
    <x v="0"/>
    <x v="1"/>
    <x v="0"/>
    <x v="1508"/>
  </r>
  <r>
    <x v="2024"/>
    <x v="2024"/>
    <x v="2024"/>
    <x v="3"/>
    <x v="23"/>
    <x v="2024"/>
    <x v="0"/>
    <x v="1"/>
    <x v="0"/>
    <x v="1253"/>
  </r>
  <r>
    <x v="2025"/>
    <x v="2025"/>
    <x v="2025"/>
    <x v="8"/>
    <x v="52"/>
    <x v="2025"/>
    <x v="0"/>
    <x v="1"/>
    <x v="0"/>
    <x v="1509"/>
  </r>
  <r>
    <x v="2026"/>
    <x v="2026"/>
    <x v="2026"/>
    <x v="22"/>
    <x v="13"/>
    <x v="2026"/>
    <x v="0"/>
    <x v="1"/>
    <x v="0"/>
    <x v="1510"/>
  </r>
  <r>
    <x v="2027"/>
    <x v="2027"/>
    <x v="2027"/>
    <x v="5"/>
    <x v="13"/>
    <x v="2027"/>
    <x v="0"/>
    <x v="1"/>
    <x v="0"/>
    <x v="1326"/>
  </r>
  <r>
    <x v="2028"/>
    <x v="2028"/>
    <x v="2028"/>
    <x v="3"/>
    <x v="71"/>
    <x v="2028"/>
    <x v="0"/>
    <x v="1"/>
    <x v="0"/>
    <x v="1511"/>
  </r>
  <r>
    <x v="2029"/>
    <x v="2029"/>
    <x v="2029"/>
    <x v="10"/>
    <x v="52"/>
    <x v="2029"/>
    <x v="0"/>
    <x v="1"/>
    <x v="0"/>
    <x v="1512"/>
  </r>
  <r>
    <x v="2030"/>
    <x v="2030"/>
    <x v="2030"/>
    <x v="9"/>
    <x v="18"/>
    <x v="2030"/>
    <x v="0"/>
    <x v="1"/>
    <x v="0"/>
    <x v="1243"/>
  </r>
  <r>
    <x v="2031"/>
    <x v="2031"/>
    <x v="2031"/>
    <x v="8"/>
    <x v="52"/>
    <x v="2031"/>
    <x v="0"/>
    <x v="1"/>
    <x v="0"/>
    <x v="1513"/>
  </r>
  <r>
    <x v="2032"/>
    <x v="2032"/>
    <x v="2032"/>
    <x v="8"/>
    <x v="19"/>
    <x v="2032"/>
    <x v="0"/>
    <x v="1"/>
    <x v="0"/>
    <x v="1514"/>
  </r>
  <r>
    <x v="2033"/>
    <x v="2033"/>
    <x v="2033"/>
    <x v="17"/>
    <x v="19"/>
    <x v="2033"/>
    <x v="0"/>
    <x v="1"/>
    <x v="0"/>
    <x v="1515"/>
  </r>
  <r>
    <x v="2034"/>
    <x v="2034"/>
    <x v="2034"/>
    <x v="3"/>
    <x v="3"/>
    <x v="2034"/>
    <x v="0"/>
    <x v="1"/>
    <x v="0"/>
    <x v="1516"/>
  </r>
  <r>
    <x v="2035"/>
    <x v="2035"/>
    <x v="2035"/>
    <x v="31"/>
    <x v="53"/>
    <x v="2035"/>
    <x v="0"/>
    <x v="1"/>
    <x v="0"/>
    <x v="1517"/>
  </r>
  <r>
    <x v="2036"/>
    <x v="2036"/>
    <x v="2036"/>
    <x v="3"/>
    <x v="11"/>
    <x v="2036"/>
    <x v="0"/>
    <x v="1"/>
    <x v="0"/>
    <x v="1518"/>
  </r>
  <r>
    <x v="2037"/>
    <x v="2037"/>
    <x v="2037"/>
    <x v="9"/>
    <x v="8"/>
    <x v="2037"/>
    <x v="0"/>
    <x v="1"/>
    <x v="0"/>
    <x v="1519"/>
  </r>
  <r>
    <x v="2038"/>
    <x v="2038"/>
    <x v="2038"/>
    <x v="31"/>
    <x v="19"/>
    <x v="2038"/>
    <x v="0"/>
    <x v="1"/>
    <x v="0"/>
    <x v="1498"/>
  </r>
  <r>
    <x v="2039"/>
    <x v="2039"/>
    <x v="2039"/>
    <x v="25"/>
    <x v="45"/>
    <x v="2039"/>
    <x v="0"/>
    <x v="1"/>
    <x v="0"/>
    <x v="1520"/>
  </r>
  <r>
    <x v="2040"/>
    <x v="2040"/>
    <x v="2040"/>
    <x v="3"/>
    <x v="59"/>
    <x v="2040"/>
    <x v="0"/>
    <x v="1"/>
    <x v="0"/>
    <x v="1304"/>
  </r>
  <r>
    <x v="2041"/>
    <x v="2041"/>
    <x v="2041"/>
    <x v="12"/>
    <x v="82"/>
    <x v="2041"/>
    <x v="0"/>
    <x v="1"/>
    <x v="0"/>
    <x v="1521"/>
  </r>
  <r>
    <x v="2042"/>
    <x v="2042"/>
    <x v="2042"/>
    <x v="3"/>
    <x v="52"/>
    <x v="2042"/>
    <x v="0"/>
    <x v="1"/>
    <x v="0"/>
    <x v="1117"/>
  </r>
  <r>
    <x v="2043"/>
    <x v="2043"/>
    <x v="2043"/>
    <x v="24"/>
    <x v="72"/>
    <x v="2043"/>
    <x v="0"/>
    <x v="1"/>
    <x v="0"/>
    <x v="1522"/>
  </r>
  <r>
    <x v="2044"/>
    <x v="2044"/>
    <x v="2044"/>
    <x v="1"/>
    <x v="42"/>
    <x v="2044"/>
    <x v="0"/>
    <x v="1"/>
    <x v="0"/>
    <x v="1523"/>
  </r>
  <r>
    <x v="2045"/>
    <x v="2045"/>
    <x v="2045"/>
    <x v="20"/>
    <x v="49"/>
    <x v="2045"/>
    <x v="0"/>
    <x v="1"/>
    <x v="0"/>
    <x v="1524"/>
  </r>
  <r>
    <x v="2046"/>
    <x v="2046"/>
    <x v="2046"/>
    <x v="15"/>
    <x v="52"/>
    <x v="2046"/>
    <x v="0"/>
    <x v="1"/>
    <x v="0"/>
    <x v="1525"/>
  </r>
  <r>
    <x v="2047"/>
    <x v="2047"/>
    <x v="2047"/>
    <x v="0"/>
    <x v="75"/>
    <x v="2047"/>
    <x v="0"/>
    <x v="1"/>
    <x v="0"/>
    <x v="1488"/>
  </r>
  <r>
    <x v="2048"/>
    <x v="2048"/>
    <x v="2048"/>
    <x v="1"/>
    <x v="8"/>
    <x v="2048"/>
    <x v="0"/>
    <x v="1"/>
    <x v="0"/>
    <x v="1160"/>
  </r>
  <r>
    <x v="2049"/>
    <x v="2049"/>
    <x v="2049"/>
    <x v="8"/>
    <x v="63"/>
    <x v="2049"/>
    <x v="0"/>
    <x v="1"/>
    <x v="0"/>
    <x v="1245"/>
  </r>
  <r>
    <x v="2050"/>
    <x v="2050"/>
    <x v="2050"/>
    <x v="3"/>
    <x v="19"/>
    <x v="2050"/>
    <x v="0"/>
    <x v="1"/>
    <x v="0"/>
    <x v="1526"/>
  </r>
  <r>
    <x v="2051"/>
    <x v="2051"/>
    <x v="2051"/>
    <x v="5"/>
    <x v="55"/>
    <x v="2051"/>
    <x v="0"/>
    <x v="1"/>
    <x v="0"/>
    <x v="1527"/>
  </r>
  <r>
    <x v="2052"/>
    <x v="2052"/>
    <x v="2052"/>
    <x v="3"/>
    <x v="59"/>
    <x v="2052"/>
    <x v="0"/>
    <x v="1"/>
    <x v="0"/>
    <x v="1528"/>
  </r>
  <r>
    <x v="2053"/>
    <x v="2053"/>
    <x v="2053"/>
    <x v="1"/>
    <x v="99"/>
    <x v="2053"/>
    <x v="0"/>
    <x v="1"/>
    <x v="0"/>
    <x v="1529"/>
  </r>
  <r>
    <x v="2054"/>
    <x v="2054"/>
    <x v="2054"/>
    <x v="31"/>
    <x v="49"/>
    <x v="2054"/>
    <x v="0"/>
    <x v="1"/>
    <x v="0"/>
    <x v="1530"/>
  </r>
  <r>
    <x v="2055"/>
    <x v="2055"/>
    <x v="2055"/>
    <x v="3"/>
    <x v="7"/>
    <x v="2055"/>
    <x v="0"/>
    <x v="1"/>
    <x v="0"/>
    <x v="1531"/>
  </r>
  <r>
    <x v="2056"/>
    <x v="2056"/>
    <x v="2056"/>
    <x v="9"/>
    <x v="13"/>
    <x v="2056"/>
    <x v="0"/>
    <x v="1"/>
    <x v="0"/>
    <x v="1246"/>
  </r>
  <r>
    <x v="2057"/>
    <x v="2057"/>
    <x v="2057"/>
    <x v="3"/>
    <x v="2"/>
    <x v="2057"/>
    <x v="0"/>
    <x v="1"/>
    <x v="0"/>
    <x v="1532"/>
  </r>
  <r>
    <x v="2058"/>
    <x v="2058"/>
    <x v="2058"/>
    <x v="0"/>
    <x v="92"/>
    <x v="2058"/>
    <x v="0"/>
    <x v="1"/>
    <x v="0"/>
    <x v="1533"/>
  </r>
  <r>
    <x v="2059"/>
    <x v="2059"/>
    <x v="2059"/>
    <x v="22"/>
    <x v="94"/>
    <x v="2059"/>
    <x v="0"/>
    <x v="1"/>
    <x v="0"/>
    <x v="1534"/>
  </r>
  <r>
    <x v="2060"/>
    <x v="2060"/>
    <x v="2060"/>
    <x v="13"/>
    <x v="75"/>
    <x v="2060"/>
    <x v="0"/>
    <x v="1"/>
    <x v="0"/>
    <x v="1535"/>
  </r>
  <r>
    <x v="2061"/>
    <x v="2061"/>
    <x v="2061"/>
    <x v="8"/>
    <x v="80"/>
    <x v="2061"/>
    <x v="0"/>
    <x v="1"/>
    <x v="0"/>
    <x v="1536"/>
  </r>
  <r>
    <x v="2062"/>
    <x v="2062"/>
    <x v="2062"/>
    <x v="8"/>
    <x v="19"/>
    <x v="2062"/>
    <x v="0"/>
    <x v="1"/>
    <x v="0"/>
    <x v="1275"/>
  </r>
  <r>
    <x v="2063"/>
    <x v="2063"/>
    <x v="2063"/>
    <x v="9"/>
    <x v="45"/>
    <x v="2063"/>
    <x v="0"/>
    <x v="1"/>
    <x v="0"/>
    <x v="1537"/>
  </r>
  <r>
    <x v="2064"/>
    <x v="2064"/>
    <x v="2064"/>
    <x v="27"/>
    <x v="58"/>
    <x v="2064"/>
    <x v="0"/>
    <x v="1"/>
    <x v="0"/>
    <x v="1455"/>
  </r>
  <r>
    <x v="2065"/>
    <x v="2065"/>
    <x v="2065"/>
    <x v="12"/>
    <x v="6"/>
    <x v="2065"/>
    <x v="0"/>
    <x v="1"/>
    <x v="0"/>
    <x v="1538"/>
  </r>
  <r>
    <x v="2066"/>
    <x v="2066"/>
    <x v="2066"/>
    <x v="8"/>
    <x v="84"/>
    <x v="2066"/>
    <x v="0"/>
    <x v="1"/>
    <x v="0"/>
    <x v="1539"/>
  </r>
  <r>
    <x v="2067"/>
    <x v="2067"/>
    <x v="2067"/>
    <x v="8"/>
    <x v="19"/>
    <x v="2067"/>
    <x v="0"/>
    <x v="1"/>
    <x v="0"/>
    <x v="1540"/>
  </r>
  <r>
    <x v="2068"/>
    <x v="2068"/>
    <x v="2068"/>
    <x v="12"/>
    <x v="9"/>
    <x v="2068"/>
    <x v="0"/>
    <x v="1"/>
    <x v="0"/>
    <x v="1541"/>
  </r>
  <r>
    <x v="2069"/>
    <x v="2069"/>
    <x v="2069"/>
    <x v="8"/>
    <x v="48"/>
    <x v="2069"/>
    <x v="0"/>
    <x v="1"/>
    <x v="0"/>
    <x v="1542"/>
  </r>
  <r>
    <x v="2070"/>
    <x v="2070"/>
    <x v="2070"/>
    <x v="8"/>
    <x v="106"/>
    <x v="2070"/>
    <x v="0"/>
    <x v="1"/>
    <x v="0"/>
    <x v="1543"/>
  </r>
  <r>
    <x v="2071"/>
    <x v="2071"/>
    <x v="2071"/>
    <x v="8"/>
    <x v="48"/>
    <x v="2071"/>
    <x v="0"/>
    <x v="1"/>
    <x v="0"/>
    <x v="1544"/>
  </r>
  <r>
    <x v="2072"/>
    <x v="2072"/>
    <x v="2072"/>
    <x v="8"/>
    <x v="41"/>
    <x v="2072"/>
    <x v="0"/>
    <x v="1"/>
    <x v="0"/>
    <x v="1207"/>
  </r>
  <r>
    <x v="2073"/>
    <x v="2073"/>
    <x v="2073"/>
    <x v="12"/>
    <x v="50"/>
    <x v="2073"/>
    <x v="0"/>
    <x v="1"/>
    <x v="0"/>
    <x v="1545"/>
  </r>
  <r>
    <x v="2074"/>
    <x v="2074"/>
    <x v="2074"/>
    <x v="8"/>
    <x v="19"/>
    <x v="2074"/>
    <x v="0"/>
    <x v="1"/>
    <x v="0"/>
    <x v="1546"/>
  </r>
  <r>
    <x v="2075"/>
    <x v="2075"/>
    <x v="2075"/>
    <x v="8"/>
    <x v="52"/>
    <x v="2075"/>
    <x v="0"/>
    <x v="1"/>
    <x v="0"/>
    <x v="1547"/>
  </r>
  <r>
    <x v="2076"/>
    <x v="2076"/>
    <x v="2076"/>
    <x v="8"/>
    <x v="41"/>
    <x v="2076"/>
    <x v="0"/>
    <x v="1"/>
    <x v="0"/>
    <x v="1548"/>
  </r>
  <r>
    <x v="2077"/>
    <x v="2077"/>
    <x v="2077"/>
    <x v="21"/>
    <x v="42"/>
    <x v="2077"/>
    <x v="0"/>
    <x v="1"/>
    <x v="0"/>
    <x v="1549"/>
  </r>
  <r>
    <x v="2078"/>
    <x v="2078"/>
    <x v="2078"/>
    <x v="31"/>
    <x v="82"/>
    <x v="2078"/>
    <x v="0"/>
    <x v="1"/>
    <x v="0"/>
    <x v="1550"/>
  </r>
  <r>
    <x v="2079"/>
    <x v="2079"/>
    <x v="2079"/>
    <x v="8"/>
    <x v="84"/>
    <x v="2079"/>
    <x v="0"/>
    <x v="1"/>
    <x v="0"/>
    <x v="1551"/>
  </r>
  <r>
    <x v="2080"/>
    <x v="2080"/>
    <x v="2080"/>
    <x v="8"/>
    <x v="98"/>
    <x v="2080"/>
    <x v="0"/>
    <x v="1"/>
    <x v="0"/>
    <x v="1552"/>
  </r>
  <r>
    <x v="2081"/>
    <x v="2081"/>
    <x v="2081"/>
    <x v="3"/>
    <x v="13"/>
    <x v="2081"/>
    <x v="0"/>
    <x v="1"/>
    <x v="0"/>
    <x v="1553"/>
  </r>
  <r>
    <x v="2082"/>
    <x v="2082"/>
    <x v="2082"/>
    <x v="8"/>
    <x v="59"/>
    <x v="2082"/>
    <x v="0"/>
    <x v="1"/>
    <x v="0"/>
    <x v="1554"/>
  </r>
  <r>
    <x v="2083"/>
    <x v="2083"/>
    <x v="2083"/>
    <x v="8"/>
    <x v="7"/>
    <x v="2083"/>
    <x v="0"/>
    <x v="1"/>
    <x v="0"/>
    <x v="1555"/>
  </r>
  <r>
    <x v="2084"/>
    <x v="2084"/>
    <x v="2084"/>
    <x v="8"/>
    <x v="19"/>
    <x v="2084"/>
    <x v="0"/>
    <x v="1"/>
    <x v="0"/>
    <x v="1556"/>
  </r>
  <r>
    <x v="2085"/>
    <x v="2085"/>
    <x v="2085"/>
    <x v="1"/>
    <x v="3"/>
    <x v="2085"/>
    <x v="0"/>
    <x v="1"/>
    <x v="0"/>
    <x v="1557"/>
  </r>
  <r>
    <x v="2086"/>
    <x v="2086"/>
    <x v="2086"/>
    <x v="8"/>
    <x v="50"/>
    <x v="2086"/>
    <x v="0"/>
    <x v="1"/>
    <x v="0"/>
    <x v="1558"/>
  </r>
  <r>
    <x v="2087"/>
    <x v="2087"/>
    <x v="2087"/>
    <x v="8"/>
    <x v="84"/>
    <x v="2087"/>
    <x v="0"/>
    <x v="1"/>
    <x v="0"/>
    <x v="1559"/>
  </r>
  <r>
    <x v="2088"/>
    <x v="2088"/>
    <x v="2088"/>
    <x v="31"/>
    <x v="3"/>
    <x v="2088"/>
    <x v="0"/>
    <x v="1"/>
    <x v="0"/>
    <x v="1558"/>
  </r>
  <r>
    <x v="2089"/>
    <x v="2089"/>
    <x v="2089"/>
    <x v="22"/>
    <x v="88"/>
    <x v="2089"/>
    <x v="0"/>
    <x v="1"/>
    <x v="0"/>
    <x v="1560"/>
  </r>
  <r>
    <x v="2090"/>
    <x v="2090"/>
    <x v="2090"/>
    <x v="8"/>
    <x v="19"/>
    <x v="2090"/>
    <x v="0"/>
    <x v="1"/>
    <x v="0"/>
    <x v="1561"/>
  </r>
  <r>
    <x v="2091"/>
    <x v="2091"/>
    <x v="2091"/>
    <x v="3"/>
    <x v="50"/>
    <x v="2091"/>
    <x v="0"/>
    <x v="1"/>
    <x v="0"/>
    <x v="1562"/>
  </r>
  <r>
    <x v="2092"/>
    <x v="2092"/>
    <x v="2092"/>
    <x v="15"/>
    <x v="41"/>
    <x v="2092"/>
    <x v="0"/>
    <x v="1"/>
    <x v="0"/>
    <x v="429"/>
  </r>
  <r>
    <x v="2093"/>
    <x v="2093"/>
    <x v="2093"/>
    <x v="31"/>
    <x v="57"/>
    <x v="2093"/>
    <x v="0"/>
    <x v="1"/>
    <x v="0"/>
    <x v="1545"/>
  </r>
  <r>
    <x v="2094"/>
    <x v="2094"/>
    <x v="2094"/>
    <x v="3"/>
    <x v="57"/>
    <x v="2094"/>
    <x v="0"/>
    <x v="1"/>
    <x v="0"/>
    <x v="1563"/>
  </r>
  <r>
    <x v="2095"/>
    <x v="2095"/>
    <x v="2095"/>
    <x v="12"/>
    <x v="59"/>
    <x v="2095"/>
    <x v="0"/>
    <x v="1"/>
    <x v="0"/>
    <x v="1564"/>
  </r>
  <r>
    <x v="2096"/>
    <x v="2096"/>
    <x v="2096"/>
    <x v="6"/>
    <x v="46"/>
    <x v="2096"/>
    <x v="0"/>
    <x v="1"/>
    <x v="0"/>
    <x v="1565"/>
  </r>
  <r>
    <x v="2097"/>
    <x v="2097"/>
    <x v="2097"/>
    <x v="3"/>
    <x v="99"/>
    <x v="2097"/>
    <x v="0"/>
    <x v="1"/>
    <x v="0"/>
    <x v="1566"/>
  </r>
  <r>
    <x v="2098"/>
    <x v="2098"/>
    <x v="2098"/>
    <x v="8"/>
    <x v="36"/>
    <x v="2098"/>
    <x v="0"/>
    <x v="1"/>
    <x v="0"/>
    <x v="1567"/>
  </r>
  <r>
    <x v="2099"/>
    <x v="2099"/>
    <x v="2099"/>
    <x v="8"/>
    <x v="10"/>
    <x v="2099"/>
    <x v="0"/>
    <x v="1"/>
    <x v="0"/>
    <x v="1568"/>
  </r>
  <r>
    <x v="2100"/>
    <x v="2100"/>
    <x v="2100"/>
    <x v="22"/>
    <x v="13"/>
    <x v="2100"/>
    <x v="0"/>
    <x v="1"/>
    <x v="0"/>
    <x v="1328"/>
  </r>
  <r>
    <x v="2101"/>
    <x v="2101"/>
    <x v="2101"/>
    <x v="20"/>
    <x v="15"/>
    <x v="2101"/>
    <x v="0"/>
    <x v="1"/>
    <x v="0"/>
    <x v="1569"/>
  </r>
  <r>
    <x v="2102"/>
    <x v="2102"/>
    <x v="2102"/>
    <x v="3"/>
    <x v="78"/>
    <x v="2102"/>
    <x v="0"/>
    <x v="1"/>
    <x v="0"/>
    <x v="1570"/>
  </r>
  <r>
    <x v="2103"/>
    <x v="2103"/>
    <x v="2103"/>
    <x v="31"/>
    <x v="19"/>
    <x v="2103"/>
    <x v="0"/>
    <x v="1"/>
    <x v="0"/>
    <x v="1571"/>
  </r>
  <r>
    <x v="2104"/>
    <x v="2104"/>
    <x v="2104"/>
    <x v="3"/>
    <x v="19"/>
    <x v="2104"/>
    <x v="0"/>
    <x v="1"/>
    <x v="0"/>
    <x v="1572"/>
  </r>
  <r>
    <x v="2105"/>
    <x v="2105"/>
    <x v="2105"/>
    <x v="31"/>
    <x v="5"/>
    <x v="2105"/>
    <x v="0"/>
    <x v="1"/>
    <x v="0"/>
    <x v="1546"/>
  </r>
  <r>
    <x v="2106"/>
    <x v="2106"/>
    <x v="2106"/>
    <x v="8"/>
    <x v="11"/>
    <x v="2106"/>
    <x v="0"/>
    <x v="1"/>
    <x v="0"/>
    <x v="1573"/>
  </r>
  <r>
    <x v="2107"/>
    <x v="2107"/>
    <x v="2107"/>
    <x v="31"/>
    <x v="19"/>
    <x v="2107"/>
    <x v="0"/>
    <x v="1"/>
    <x v="0"/>
    <x v="1574"/>
  </r>
  <r>
    <x v="2108"/>
    <x v="2108"/>
    <x v="2108"/>
    <x v="8"/>
    <x v="94"/>
    <x v="2108"/>
    <x v="0"/>
    <x v="1"/>
    <x v="0"/>
    <x v="1575"/>
  </r>
  <r>
    <x v="2109"/>
    <x v="2109"/>
    <x v="2109"/>
    <x v="8"/>
    <x v="87"/>
    <x v="2109"/>
    <x v="0"/>
    <x v="1"/>
    <x v="0"/>
    <x v="1576"/>
  </r>
  <r>
    <x v="2110"/>
    <x v="2110"/>
    <x v="2110"/>
    <x v="8"/>
    <x v="41"/>
    <x v="2110"/>
    <x v="0"/>
    <x v="1"/>
    <x v="0"/>
    <x v="1577"/>
  </r>
  <r>
    <x v="2111"/>
    <x v="2111"/>
    <x v="2111"/>
    <x v="8"/>
    <x v="40"/>
    <x v="2111"/>
    <x v="0"/>
    <x v="1"/>
    <x v="0"/>
    <x v="1578"/>
  </r>
  <r>
    <x v="2112"/>
    <x v="2112"/>
    <x v="2112"/>
    <x v="3"/>
    <x v="8"/>
    <x v="2112"/>
    <x v="0"/>
    <x v="1"/>
    <x v="0"/>
    <x v="1579"/>
  </r>
  <r>
    <x v="2113"/>
    <x v="2113"/>
    <x v="2113"/>
    <x v="21"/>
    <x v="69"/>
    <x v="2113"/>
    <x v="0"/>
    <x v="1"/>
    <x v="0"/>
    <x v="1580"/>
  </r>
  <r>
    <x v="2114"/>
    <x v="2114"/>
    <x v="2114"/>
    <x v="11"/>
    <x v="41"/>
    <x v="2114"/>
    <x v="0"/>
    <x v="1"/>
    <x v="0"/>
    <x v="1581"/>
  </r>
  <r>
    <x v="2115"/>
    <x v="2115"/>
    <x v="2115"/>
    <x v="8"/>
    <x v="36"/>
    <x v="2115"/>
    <x v="0"/>
    <x v="1"/>
    <x v="0"/>
    <x v="1582"/>
  </r>
  <r>
    <x v="2116"/>
    <x v="2116"/>
    <x v="2116"/>
    <x v="1"/>
    <x v="23"/>
    <x v="2116"/>
    <x v="0"/>
    <x v="1"/>
    <x v="0"/>
    <x v="1543"/>
  </r>
  <r>
    <x v="2117"/>
    <x v="2117"/>
    <x v="2117"/>
    <x v="8"/>
    <x v="100"/>
    <x v="2117"/>
    <x v="0"/>
    <x v="1"/>
    <x v="0"/>
    <x v="1583"/>
  </r>
  <r>
    <x v="2118"/>
    <x v="2118"/>
    <x v="2118"/>
    <x v="8"/>
    <x v="84"/>
    <x v="2118"/>
    <x v="0"/>
    <x v="1"/>
    <x v="0"/>
    <x v="1584"/>
  </r>
  <r>
    <x v="2119"/>
    <x v="2119"/>
    <x v="2119"/>
    <x v="3"/>
    <x v="52"/>
    <x v="2119"/>
    <x v="0"/>
    <x v="1"/>
    <x v="0"/>
    <x v="1585"/>
  </r>
  <r>
    <x v="2120"/>
    <x v="2120"/>
    <x v="2120"/>
    <x v="31"/>
    <x v="49"/>
    <x v="2120"/>
    <x v="0"/>
    <x v="1"/>
    <x v="0"/>
    <x v="1586"/>
  </r>
  <r>
    <x v="2121"/>
    <x v="2121"/>
    <x v="2121"/>
    <x v="15"/>
    <x v="86"/>
    <x v="2121"/>
    <x v="0"/>
    <x v="1"/>
    <x v="0"/>
    <x v="1587"/>
  </r>
  <r>
    <x v="2122"/>
    <x v="2122"/>
    <x v="2122"/>
    <x v="6"/>
    <x v="84"/>
    <x v="2122"/>
    <x v="0"/>
    <x v="1"/>
    <x v="0"/>
    <x v="1588"/>
  </r>
  <r>
    <x v="2123"/>
    <x v="2123"/>
    <x v="2123"/>
    <x v="10"/>
    <x v="7"/>
    <x v="2123"/>
    <x v="0"/>
    <x v="1"/>
    <x v="0"/>
    <x v="1589"/>
  </r>
  <r>
    <x v="2124"/>
    <x v="2124"/>
    <x v="2124"/>
    <x v="12"/>
    <x v="90"/>
    <x v="2124"/>
    <x v="0"/>
    <x v="1"/>
    <x v="0"/>
    <x v="1590"/>
  </r>
  <r>
    <x v="2125"/>
    <x v="2125"/>
    <x v="2125"/>
    <x v="19"/>
    <x v="45"/>
    <x v="2125"/>
    <x v="0"/>
    <x v="1"/>
    <x v="0"/>
    <x v="1591"/>
  </r>
  <r>
    <x v="2126"/>
    <x v="2126"/>
    <x v="2126"/>
    <x v="31"/>
    <x v="71"/>
    <x v="2126"/>
    <x v="0"/>
    <x v="1"/>
    <x v="0"/>
    <x v="1592"/>
  </r>
  <r>
    <x v="2127"/>
    <x v="2127"/>
    <x v="2127"/>
    <x v="3"/>
    <x v="13"/>
    <x v="2127"/>
    <x v="0"/>
    <x v="1"/>
    <x v="0"/>
    <x v="1566"/>
  </r>
  <r>
    <x v="2128"/>
    <x v="2128"/>
    <x v="2128"/>
    <x v="31"/>
    <x v="7"/>
    <x v="2128"/>
    <x v="0"/>
    <x v="1"/>
    <x v="0"/>
    <x v="986"/>
  </r>
  <r>
    <x v="2129"/>
    <x v="2129"/>
    <x v="2129"/>
    <x v="8"/>
    <x v="19"/>
    <x v="2129"/>
    <x v="0"/>
    <x v="1"/>
    <x v="0"/>
    <x v="1593"/>
  </r>
  <r>
    <x v="2130"/>
    <x v="2130"/>
    <x v="2130"/>
    <x v="8"/>
    <x v="19"/>
    <x v="2130"/>
    <x v="0"/>
    <x v="1"/>
    <x v="0"/>
    <x v="1570"/>
  </r>
  <r>
    <x v="2131"/>
    <x v="2131"/>
    <x v="2131"/>
    <x v="3"/>
    <x v="13"/>
    <x v="2131"/>
    <x v="0"/>
    <x v="1"/>
    <x v="0"/>
    <x v="1594"/>
  </r>
  <r>
    <x v="2132"/>
    <x v="2132"/>
    <x v="2132"/>
    <x v="8"/>
    <x v="65"/>
    <x v="2132"/>
    <x v="0"/>
    <x v="1"/>
    <x v="0"/>
    <x v="1355"/>
  </r>
  <r>
    <x v="2133"/>
    <x v="2133"/>
    <x v="2133"/>
    <x v="25"/>
    <x v="18"/>
    <x v="2133"/>
    <x v="0"/>
    <x v="1"/>
    <x v="0"/>
    <x v="1595"/>
  </r>
  <r>
    <x v="2134"/>
    <x v="2134"/>
    <x v="2134"/>
    <x v="8"/>
    <x v="94"/>
    <x v="2134"/>
    <x v="0"/>
    <x v="1"/>
    <x v="0"/>
    <x v="1572"/>
  </r>
  <r>
    <x v="2135"/>
    <x v="2135"/>
    <x v="2135"/>
    <x v="8"/>
    <x v="13"/>
    <x v="2135"/>
    <x v="0"/>
    <x v="1"/>
    <x v="0"/>
    <x v="1596"/>
  </r>
  <r>
    <x v="2136"/>
    <x v="2136"/>
    <x v="2136"/>
    <x v="3"/>
    <x v="6"/>
    <x v="2136"/>
    <x v="0"/>
    <x v="1"/>
    <x v="0"/>
    <x v="1597"/>
  </r>
  <r>
    <x v="2137"/>
    <x v="2137"/>
    <x v="2137"/>
    <x v="12"/>
    <x v="23"/>
    <x v="2137"/>
    <x v="0"/>
    <x v="1"/>
    <x v="0"/>
    <x v="1598"/>
  </r>
  <r>
    <x v="2138"/>
    <x v="2138"/>
    <x v="2138"/>
    <x v="3"/>
    <x v="7"/>
    <x v="2138"/>
    <x v="0"/>
    <x v="1"/>
    <x v="0"/>
    <x v="1599"/>
  </r>
  <r>
    <x v="2139"/>
    <x v="2139"/>
    <x v="2139"/>
    <x v="31"/>
    <x v="8"/>
    <x v="2139"/>
    <x v="0"/>
    <x v="1"/>
    <x v="0"/>
    <x v="1600"/>
  </r>
  <r>
    <x v="2140"/>
    <x v="2140"/>
    <x v="2140"/>
    <x v="25"/>
    <x v="12"/>
    <x v="2140"/>
    <x v="0"/>
    <x v="1"/>
    <x v="0"/>
    <x v="1588"/>
  </r>
  <r>
    <x v="2141"/>
    <x v="2141"/>
    <x v="2141"/>
    <x v="3"/>
    <x v="6"/>
    <x v="2141"/>
    <x v="0"/>
    <x v="1"/>
    <x v="0"/>
    <x v="1554"/>
  </r>
  <r>
    <x v="2142"/>
    <x v="2142"/>
    <x v="2142"/>
    <x v="22"/>
    <x v="57"/>
    <x v="2142"/>
    <x v="0"/>
    <x v="1"/>
    <x v="0"/>
    <x v="1574"/>
  </r>
  <r>
    <x v="2143"/>
    <x v="2143"/>
    <x v="2143"/>
    <x v="3"/>
    <x v="100"/>
    <x v="2143"/>
    <x v="0"/>
    <x v="1"/>
    <x v="0"/>
    <x v="1584"/>
  </r>
  <r>
    <x v="2144"/>
    <x v="2144"/>
    <x v="2144"/>
    <x v="8"/>
    <x v="8"/>
    <x v="2144"/>
    <x v="0"/>
    <x v="1"/>
    <x v="0"/>
    <x v="1554"/>
  </r>
  <r>
    <x v="2145"/>
    <x v="2145"/>
    <x v="2145"/>
    <x v="1"/>
    <x v="53"/>
    <x v="2145"/>
    <x v="0"/>
    <x v="1"/>
    <x v="0"/>
    <x v="1559"/>
  </r>
  <r>
    <x v="2146"/>
    <x v="2146"/>
    <x v="2146"/>
    <x v="8"/>
    <x v="72"/>
    <x v="2146"/>
    <x v="0"/>
    <x v="1"/>
    <x v="0"/>
    <x v="1601"/>
  </r>
  <r>
    <x v="2147"/>
    <x v="2147"/>
    <x v="2147"/>
    <x v="3"/>
    <x v="19"/>
    <x v="2147"/>
    <x v="0"/>
    <x v="1"/>
    <x v="0"/>
    <x v="1602"/>
  </r>
  <r>
    <x v="2148"/>
    <x v="2148"/>
    <x v="2148"/>
    <x v="3"/>
    <x v="19"/>
    <x v="2148"/>
    <x v="0"/>
    <x v="1"/>
    <x v="0"/>
    <x v="1603"/>
  </r>
  <r>
    <x v="2149"/>
    <x v="2149"/>
    <x v="2149"/>
    <x v="8"/>
    <x v="10"/>
    <x v="2149"/>
    <x v="0"/>
    <x v="1"/>
    <x v="0"/>
    <x v="1604"/>
  </r>
  <r>
    <x v="2150"/>
    <x v="2150"/>
    <x v="2150"/>
    <x v="8"/>
    <x v="100"/>
    <x v="2150"/>
    <x v="0"/>
    <x v="1"/>
    <x v="0"/>
    <x v="1605"/>
  </r>
  <r>
    <x v="2151"/>
    <x v="2151"/>
    <x v="2151"/>
    <x v="31"/>
    <x v="50"/>
    <x v="2151"/>
    <x v="0"/>
    <x v="1"/>
    <x v="0"/>
    <x v="1606"/>
  </r>
  <r>
    <x v="2152"/>
    <x v="2152"/>
    <x v="2152"/>
    <x v="31"/>
    <x v="50"/>
    <x v="2152"/>
    <x v="0"/>
    <x v="1"/>
    <x v="0"/>
    <x v="347"/>
  </r>
  <r>
    <x v="2153"/>
    <x v="2153"/>
    <x v="2153"/>
    <x v="8"/>
    <x v="99"/>
    <x v="2153"/>
    <x v="0"/>
    <x v="1"/>
    <x v="0"/>
    <x v="1544"/>
  </r>
  <r>
    <x v="2154"/>
    <x v="2154"/>
    <x v="2154"/>
    <x v="22"/>
    <x v="10"/>
    <x v="2154"/>
    <x v="0"/>
    <x v="1"/>
    <x v="0"/>
    <x v="1552"/>
  </r>
  <r>
    <x v="2155"/>
    <x v="2155"/>
    <x v="2155"/>
    <x v="15"/>
    <x v="52"/>
    <x v="2155"/>
    <x v="0"/>
    <x v="1"/>
    <x v="0"/>
    <x v="1607"/>
  </r>
  <r>
    <x v="2156"/>
    <x v="2156"/>
    <x v="2156"/>
    <x v="13"/>
    <x v="41"/>
    <x v="2156"/>
    <x v="0"/>
    <x v="1"/>
    <x v="0"/>
    <x v="1551"/>
  </r>
  <r>
    <x v="2157"/>
    <x v="2157"/>
    <x v="2157"/>
    <x v="8"/>
    <x v="49"/>
    <x v="2157"/>
    <x v="0"/>
    <x v="1"/>
    <x v="0"/>
    <x v="1608"/>
  </r>
  <r>
    <x v="2158"/>
    <x v="2158"/>
    <x v="2158"/>
    <x v="3"/>
    <x v="75"/>
    <x v="2158"/>
    <x v="0"/>
    <x v="1"/>
    <x v="0"/>
    <x v="1609"/>
  </r>
  <r>
    <x v="2159"/>
    <x v="2159"/>
    <x v="2159"/>
    <x v="8"/>
    <x v="48"/>
    <x v="2159"/>
    <x v="0"/>
    <x v="1"/>
    <x v="0"/>
    <x v="1583"/>
  </r>
  <r>
    <x v="2160"/>
    <x v="2160"/>
    <x v="2160"/>
    <x v="8"/>
    <x v="7"/>
    <x v="2160"/>
    <x v="0"/>
    <x v="1"/>
    <x v="0"/>
    <x v="1610"/>
  </r>
  <r>
    <x v="2161"/>
    <x v="2161"/>
    <x v="2161"/>
    <x v="17"/>
    <x v="100"/>
    <x v="2161"/>
    <x v="0"/>
    <x v="1"/>
    <x v="0"/>
    <x v="1603"/>
  </r>
  <r>
    <x v="2162"/>
    <x v="2162"/>
    <x v="2162"/>
    <x v="3"/>
    <x v="59"/>
    <x v="2162"/>
    <x v="0"/>
    <x v="1"/>
    <x v="0"/>
    <x v="1597"/>
  </r>
  <r>
    <x v="2163"/>
    <x v="2163"/>
    <x v="2163"/>
    <x v="31"/>
    <x v="2"/>
    <x v="2163"/>
    <x v="0"/>
    <x v="1"/>
    <x v="0"/>
    <x v="1611"/>
  </r>
  <r>
    <x v="2164"/>
    <x v="2164"/>
    <x v="2164"/>
    <x v="15"/>
    <x v="52"/>
    <x v="2164"/>
    <x v="0"/>
    <x v="1"/>
    <x v="0"/>
    <x v="1612"/>
  </r>
  <r>
    <x v="2165"/>
    <x v="2165"/>
    <x v="2165"/>
    <x v="8"/>
    <x v="92"/>
    <x v="2165"/>
    <x v="0"/>
    <x v="1"/>
    <x v="0"/>
    <x v="346"/>
  </r>
  <r>
    <x v="2166"/>
    <x v="2166"/>
    <x v="2166"/>
    <x v="0"/>
    <x v="90"/>
    <x v="2166"/>
    <x v="0"/>
    <x v="1"/>
    <x v="0"/>
    <x v="1613"/>
  </r>
  <r>
    <x v="2167"/>
    <x v="2167"/>
    <x v="2167"/>
    <x v="8"/>
    <x v="48"/>
    <x v="2167"/>
    <x v="0"/>
    <x v="1"/>
    <x v="0"/>
    <x v="1586"/>
  </r>
  <r>
    <x v="2168"/>
    <x v="2168"/>
    <x v="2168"/>
    <x v="8"/>
    <x v="36"/>
    <x v="2168"/>
    <x v="0"/>
    <x v="1"/>
    <x v="0"/>
    <x v="1614"/>
  </r>
  <r>
    <x v="2169"/>
    <x v="2169"/>
    <x v="2169"/>
    <x v="8"/>
    <x v="10"/>
    <x v="2169"/>
    <x v="0"/>
    <x v="1"/>
    <x v="0"/>
    <x v="359"/>
  </r>
  <r>
    <x v="2170"/>
    <x v="2170"/>
    <x v="2170"/>
    <x v="8"/>
    <x v="63"/>
    <x v="2170"/>
    <x v="0"/>
    <x v="1"/>
    <x v="0"/>
    <x v="1615"/>
  </r>
  <r>
    <x v="2171"/>
    <x v="2171"/>
    <x v="2171"/>
    <x v="12"/>
    <x v="50"/>
    <x v="2171"/>
    <x v="0"/>
    <x v="1"/>
    <x v="0"/>
    <x v="1616"/>
  </r>
  <r>
    <x v="2172"/>
    <x v="2172"/>
    <x v="2172"/>
    <x v="29"/>
    <x v="58"/>
    <x v="2172"/>
    <x v="0"/>
    <x v="1"/>
    <x v="0"/>
    <x v="1617"/>
  </r>
  <r>
    <x v="2173"/>
    <x v="2173"/>
    <x v="2173"/>
    <x v="8"/>
    <x v="41"/>
    <x v="2173"/>
    <x v="0"/>
    <x v="1"/>
    <x v="0"/>
    <x v="1045"/>
  </r>
  <r>
    <x v="2174"/>
    <x v="2174"/>
    <x v="2174"/>
    <x v="3"/>
    <x v="99"/>
    <x v="2174"/>
    <x v="0"/>
    <x v="1"/>
    <x v="0"/>
    <x v="1618"/>
  </r>
  <r>
    <x v="2175"/>
    <x v="2175"/>
    <x v="2175"/>
    <x v="12"/>
    <x v="52"/>
    <x v="2175"/>
    <x v="0"/>
    <x v="1"/>
    <x v="0"/>
    <x v="1619"/>
  </r>
  <r>
    <x v="2176"/>
    <x v="2176"/>
    <x v="2176"/>
    <x v="31"/>
    <x v="8"/>
    <x v="2176"/>
    <x v="0"/>
    <x v="1"/>
    <x v="0"/>
    <x v="1620"/>
  </r>
  <r>
    <x v="2177"/>
    <x v="2177"/>
    <x v="2177"/>
    <x v="1"/>
    <x v="51"/>
    <x v="2177"/>
    <x v="0"/>
    <x v="1"/>
    <x v="0"/>
    <x v="1621"/>
  </r>
  <r>
    <x v="2178"/>
    <x v="2178"/>
    <x v="2178"/>
    <x v="32"/>
    <x v="108"/>
    <x v="2178"/>
    <x v="1"/>
    <x v="2"/>
    <x v="1"/>
    <x v="16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A111" firstHeaderRow="1" firstDataRow="1" firstDataCol="1"/>
  <pivotFields count="10">
    <pivotField compact="0" showAll="0">
      <items count="2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t="default"/>
      </items>
    </pivotField>
    <pivotField compact="0" showAll="0">
      <items count="2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t="default"/>
      </items>
    </pivotField>
    <pivotField compact="0" showAll="0">
      <items count="2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showAll="0">
      <items count="110">
        <item x="14"/>
        <item x="64"/>
        <item x="44"/>
        <item x="99"/>
        <item x="74"/>
        <item x="9"/>
        <item x="82"/>
        <item x="86"/>
        <item x="58"/>
        <item x="103"/>
        <item x="7"/>
        <item x="98"/>
        <item x="102"/>
        <item x="22"/>
        <item x="24"/>
        <item x="84"/>
        <item x="104"/>
        <item x="11"/>
        <item x="87"/>
        <item x="30"/>
        <item x="38"/>
        <item x="105"/>
        <item x="107"/>
        <item x="41"/>
        <item x="70"/>
        <item x="78"/>
        <item x="93"/>
        <item x="69"/>
        <item x="91"/>
        <item x="52"/>
        <item x="40"/>
        <item x="36"/>
        <item x="3"/>
        <item x="51"/>
        <item x="17"/>
        <item x="31"/>
        <item x="43"/>
        <item x="59"/>
        <item x="94"/>
        <item x="10"/>
        <item x="8"/>
        <item x="83"/>
        <item x="46"/>
        <item x="33"/>
        <item x="88"/>
        <item x="66"/>
        <item x="47"/>
        <item x="56"/>
        <item x="29"/>
        <item x="71"/>
        <item x="61"/>
        <item x="95"/>
        <item x="42"/>
        <item x="12"/>
        <item x="65"/>
        <item x="73"/>
        <item x="85"/>
        <item x="77"/>
        <item x="72"/>
        <item x="5"/>
        <item x="16"/>
        <item x="19"/>
        <item x="60"/>
        <item x="27"/>
        <item x="97"/>
        <item x="4"/>
        <item x="1"/>
        <item x="63"/>
        <item x="55"/>
        <item x="100"/>
        <item x="2"/>
        <item x="90"/>
        <item x="35"/>
        <item x="25"/>
        <item x="34"/>
        <item x="26"/>
        <item x="96"/>
        <item x="32"/>
        <item x="50"/>
        <item x="68"/>
        <item x="15"/>
        <item x="67"/>
        <item x="54"/>
        <item x="79"/>
        <item x="92"/>
        <item x="80"/>
        <item x="62"/>
        <item x="28"/>
        <item x="76"/>
        <item x="57"/>
        <item x="106"/>
        <item x="75"/>
        <item x="21"/>
        <item x="49"/>
        <item x="18"/>
        <item x="0"/>
        <item x="37"/>
        <item x="89"/>
        <item x="13"/>
        <item x="101"/>
        <item x="6"/>
        <item x="48"/>
        <item x="39"/>
        <item x="45"/>
        <item x="81"/>
        <item x="53"/>
        <item x="23"/>
        <item x="20"/>
        <item x="108"/>
        <item t="default"/>
      </items>
    </pivotField>
    <pivotField compact="0" showAll="0">
      <items count="2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t="default"/>
      </items>
    </pivotField>
  </pivotFields>
  <rowFields count="1">
    <field x="4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1"/>
  <sheetViews>
    <sheetView view="pageBreakPreview" zoomScaleNormal="130" workbookViewId="0">
      <selection activeCell="K38" sqref="K38"/>
    </sheetView>
  </sheetViews>
  <sheetFormatPr defaultColWidth="9" defaultRowHeight="13.5"/>
  <cols>
    <col min="1" max="1" width="12.375"/>
  </cols>
  <sheetData>
    <row r="1" spans="1:1">
      <c r="A1" t="s">
        <v>0</v>
      </c>
    </row>
    <row r="2" spans="1:13">
      <c r="A2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</row>
    <row r="3" spans="1:13">
      <c r="A3" t="s">
        <v>12</v>
      </c>
      <c r="D3" t="s">
        <v>13</v>
      </c>
      <c r="E3" s="3" t="s">
        <v>14</v>
      </c>
      <c r="F3" s="3" t="s">
        <v>15</v>
      </c>
      <c r="G3" t="s">
        <v>16</v>
      </c>
      <c r="H3" t="s">
        <v>17</v>
      </c>
      <c r="I3" s="4" t="s">
        <v>18</v>
      </c>
      <c r="J3" t="s">
        <v>8</v>
      </c>
      <c r="K3" t="s">
        <v>19</v>
      </c>
      <c r="L3" t="s">
        <v>20</v>
      </c>
      <c r="M3" t="s">
        <v>21</v>
      </c>
    </row>
    <row r="4" spans="1:13">
      <c r="A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K4" t="s">
        <v>29</v>
      </c>
      <c r="M4" t="s">
        <v>30</v>
      </c>
    </row>
    <row r="5" spans="1:13">
      <c r="A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31</v>
      </c>
      <c r="I5" t="s">
        <v>36</v>
      </c>
      <c r="K5" s="4" t="s">
        <v>12</v>
      </c>
      <c r="M5" t="s">
        <v>37</v>
      </c>
    </row>
    <row r="6" spans="1:11">
      <c r="A6" t="s">
        <v>38</v>
      </c>
      <c r="D6" s="3" t="s">
        <v>39</v>
      </c>
      <c r="E6" t="s">
        <v>40</v>
      </c>
      <c r="G6" s="3" t="s">
        <v>41</v>
      </c>
      <c r="H6" t="s">
        <v>42</v>
      </c>
      <c r="I6" t="s">
        <v>43</v>
      </c>
      <c r="K6" t="s">
        <v>44</v>
      </c>
    </row>
    <row r="7" spans="1:11">
      <c r="A7" t="s">
        <v>45</v>
      </c>
      <c r="D7" t="s">
        <v>46</v>
      </c>
      <c r="E7" t="s">
        <v>47</v>
      </c>
      <c r="G7" t="s">
        <v>48</v>
      </c>
      <c r="H7" s="4" t="s">
        <v>1</v>
      </c>
      <c r="K7" t="s">
        <v>49</v>
      </c>
    </row>
    <row r="8" spans="1:11">
      <c r="A8" t="s">
        <v>50</v>
      </c>
      <c r="E8" t="s">
        <v>51</v>
      </c>
      <c r="G8" s="4" t="s">
        <v>52</v>
      </c>
      <c r="K8" t="s">
        <v>53</v>
      </c>
    </row>
    <row r="9" spans="1:1">
      <c r="A9" t="s">
        <v>54</v>
      </c>
    </row>
    <row r="10" spans="1:13">
      <c r="A10" t="s">
        <v>55</v>
      </c>
      <c r="D10" s="8" t="s">
        <v>56</v>
      </c>
      <c r="E10" s="8" t="s">
        <v>57</v>
      </c>
      <c r="F10" s="8" t="s">
        <v>58</v>
      </c>
      <c r="G10" s="9" t="s">
        <v>59</v>
      </c>
      <c r="H10" s="9" t="s">
        <v>60</v>
      </c>
      <c r="I10" s="8" t="s">
        <v>61</v>
      </c>
      <c r="J10" s="8" t="s">
        <v>62</v>
      </c>
      <c r="K10" s="8" t="s">
        <v>63</v>
      </c>
      <c r="L10" s="8" t="s">
        <v>64</v>
      </c>
      <c r="M10" s="8" t="s">
        <v>65</v>
      </c>
    </row>
    <row r="11" spans="1:13">
      <c r="A11" t="s">
        <v>66</v>
      </c>
      <c r="D11" t="s">
        <v>67</v>
      </c>
      <c r="E11" t="s">
        <v>68</v>
      </c>
      <c r="F11" t="s">
        <v>69</v>
      </c>
      <c r="G11" s="4" t="s">
        <v>70</v>
      </c>
      <c r="H11" s="4" t="s">
        <v>71</v>
      </c>
      <c r="I11" t="s">
        <v>72</v>
      </c>
      <c r="J11" t="s">
        <v>62</v>
      </c>
      <c r="K11" s="4" t="s">
        <v>73</v>
      </c>
      <c r="L11" t="s">
        <v>74</v>
      </c>
      <c r="M11" t="s">
        <v>75</v>
      </c>
    </row>
    <row r="12" spans="1:13">
      <c r="A12" t="s">
        <v>17</v>
      </c>
      <c r="D12" t="s">
        <v>76</v>
      </c>
      <c r="E12" t="s">
        <v>77</v>
      </c>
      <c r="F12" t="s">
        <v>78</v>
      </c>
      <c r="G12" t="s">
        <v>79</v>
      </c>
      <c r="H12" t="s">
        <v>54</v>
      </c>
      <c r="I12" t="s">
        <v>80</v>
      </c>
      <c r="K12" t="s">
        <v>38</v>
      </c>
      <c r="M12" t="s">
        <v>45</v>
      </c>
    </row>
    <row r="13" spans="1:13">
      <c r="A13" t="s">
        <v>27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K13" t="s">
        <v>87</v>
      </c>
      <c r="M13" t="s">
        <v>88</v>
      </c>
    </row>
    <row r="14" spans="1:13">
      <c r="A14" t="s">
        <v>89</v>
      </c>
      <c r="D14" s="4" t="s">
        <v>90</v>
      </c>
      <c r="E14" t="s">
        <v>91</v>
      </c>
      <c r="F14" t="s">
        <v>92</v>
      </c>
      <c r="G14" t="s">
        <v>93</v>
      </c>
      <c r="H14" t="s">
        <v>22</v>
      </c>
      <c r="M14" t="s">
        <v>94</v>
      </c>
    </row>
    <row r="15" spans="1:6">
      <c r="A15" t="s">
        <v>73</v>
      </c>
      <c r="D15" t="s">
        <v>95</v>
      </c>
      <c r="E15" t="s">
        <v>96</v>
      </c>
      <c r="F15" t="s">
        <v>97</v>
      </c>
    </row>
    <row r="16" spans="1:7">
      <c r="A16" t="s">
        <v>70</v>
      </c>
      <c r="F16" t="s">
        <v>98</v>
      </c>
      <c r="G16" t="s">
        <v>99</v>
      </c>
    </row>
    <row r="17" spans="1:6">
      <c r="A17" t="s">
        <v>33</v>
      </c>
      <c r="F17" t="s">
        <v>66</v>
      </c>
    </row>
    <row r="18" spans="1:6">
      <c r="A18" t="s">
        <v>100</v>
      </c>
      <c r="F18" t="s">
        <v>50</v>
      </c>
    </row>
    <row r="19" spans="1:6">
      <c r="A19" t="s">
        <v>20</v>
      </c>
      <c r="F19" t="s">
        <v>101</v>
      </c>
    </row>
    <row r="20" spans="1:6">
      <c r="A20" t="s">
        <v>34</v>
      </c>
      <c r="F20" t="s">
        <v>102</v>
      </c>
    </row>
    <row r="21" spans="1:6">
      <c r="A21" t="s">
        <v>83</v>
      </c>
      <c r="F21" t="s">
        <v>103</v>
      </c>
    </row>
    <row r="22" spans="1:1">
      <c r="A22" t="s">
        <v>104</v>
      </c>
    </row>
    <row r="23" spans="1:13">
      <c r="A23" t="s">
        <v>69</v>
      </c>
      <c r="D23" s="8" t="s">
        <v>105</v>
      </c>
      <c r="E23" s="8" t="s">
        <v>106</v>
      </c>
      <c r="F23" s="8" t="s">
        <v>107</v>
      </c>
      <c r="G23" s="8" t="s">
        <v>108</v>
      </c>
      <c r="H23" s="8" t="s">
        <v>109</v>
      </c>
      <c r="I23" s="8" t="s">
        <v>110</v>
      </c>
      <c r="J23" s="8" t="s">
        <v>111</v>
      </c>
      <c r="K23" s="8" t="s">
        <v>112</v>
      </c>
      <c r="L23" s="8" t="s">
        <v>113</v>
      </c>
      <c r="M23" s="8" t="s">
        <v>114</v>
      </c>
    </row>
    <row r="24" spans="1:12">
      <c r="A24" t="s">
        <v>78</v>
      </c>
      <c r="D24" t="s">
        <v>115</v>
      </c>
      <c r="E24" t="s">
        <v>104</v>
      </c>
      <c r="F24" t="s">
        <v>116</v>
      </c>
      <c r="G24" t="s">
        <v>55</v>
      </c>
      <c r="H24" t="s">
        <v>89</v>
      </c>
      <c r="I24" t="s">
        <v>117</v>
      </c>
      <c r="J24" t="s">
        <v>118</v>
      </c>
      <c r="K24" t="s">
        <v>119</v>
      </c>
      <c r="L24" t="s">
        <v>120</v>
      </c>
    </row>
    <row r="25" spans="1:10">
      <c r="A25" t="s">
        <v>91</v>
      </c>
      <c r="D25" t="s">
        <v>121</v>
      </c>
      <c r="E25" t="s">
        <v>122</v>
      </c>
      <c r="F25" t="s">
        <v>123</v>
      </c>
      <c r="G25" t="s">
        <v>124</v>
      </c>
      <c r="H25" t="s">
        <v>125</v>
      </c>
      <c r="I25" t="s">
        <v>126</v>
      </c>
      <c r="J25" t="s">
        <v>127</v>
      </c>
    </row>
    <row r="26" spans="1:10">
      <c r="A26" t="s">
        <v>37</v>
      </c>
      <c r="E26" t="s">
        <v>128</v>
      </c>
      <c r="G26" t="s">
        <v>129</v>
      </c>
      <c r="J26" t="s">
        <v>130</v>
      </c>
    </row>
    <row r="27" spans="1:5">
      <c r="A27" t="s">
        <v>102</v>
      </c>
      <c r="E27" s="4" t="s">
        <v>131</v>
      </c>
    </row>
    <row r="28" spans="1:5">
      <c r="A28" t="s">
        <v>44</v>
      </c>
      <c r="E28" t="s">
        <v>132</v>
      </c>
    </row>
    <row r="29" spans="1:5">
      <c r="A29" t="s">
        <v>116</v>
      </c>
      <c r="E29" t="s">
        <v>133</v>
      </c>
    </row>
    <row r="30" spans="1:5">
      <c r="A30" t="s">
        <v>131</v>
      </c>
      <c r="E30" t="s">
        <v>100</v>
      </c>
    </row>
    <row r="31" spans="1:5">
      <c r="A31" t="s">
        <v>14</v>
      </c>
      <c r="E31" t="s">
        <v>134</v>
      </c>
    </row>
    <row r="32" spans="1:5">
      <c r="A32" t="s">
        <v>24</v>
      </c>
      <c r="E32" t="s">
        <v>135</v>
      </c>
    </row>
    <row r="33" spans="1:1">
      <c r="A33" t="s">
        <v>81</v>
      </c>
    </row>
    <row r="34" spans="1:14">
      <c r="A34" t="s">
        <v>119</v>
      </c>
      <c r="N34" s="7" t="s">
        <v>136</v>
      </c>
    </row>
    <row r="35" spans="1:1">
      <c r="A35" t="s">
        <v>48</v>
      </c>
    </row>
    <row r="36" spans="1:1">
      <c r="A36" t="s">
        <v>77</v>
      </c>
    </row>
    <row r="37" spans="1:1">
      <c r="A37" t="s">
        <v>101</v>
      </c>
    </row>
    <row r="38" spans="1:1">
      <c r="A38" t="s">
        <v>134</v>
      </c>
    </row>
    <row r="39" spans="1:1">
      <c r="A39" t="s">
        <v>135</v>
      </c>
    </row>
    <row r="40" spans="1:1">
      <c r="A40" t="s">
        <v>21</v>
      </c>
    </row>
    <row r="41" spans="1:1">
      <c r="A41" t="s">
        <v>8</v>
      </c>
    </row>
    <row r="42" spans="1:1">
      <c r="A42" t="s">
        <v>121</v>
      </c>
    </row>
    <row r="43" spans="1:1">
      <c r="A43" t="s">
        <v>117</v>
      </c>
    </row>
    <row r="44" spans="1:1">
      <c r="A44" t="s">
        <v>86</v>
      </c>
    </row>
    <row r="45" spans="1:1">
      <c r="A45" t="s">
        <v>103</v>
      </c>
    </row>
    <row r="46" spans="1:1">
      <c r="A46" t="s">
        <v>52</v>
      </c>
    </row>
    <row r="47" spans="1:1">
      <c r="A47" t="s">
        <v>32</v>
      </c>
    </row>
    <row r="48" spans="1:1">
      <c r="A48" t="s">
        <v>98</v>
      </c>
    </row>
    <row r="49" spans="1:1">
      <c r="A49" t="s">
        <v>72</v>
      </c>
    </row>
    <row r="50" spans="1:1">
      <c r="A50" t="s">
        <v>80</v>
      </c>
    </row>
    <row r="51" spans="1:1">
      <c r="A51" t="s">
        <v>16</v>
      </c>
    </row>
    <row r="52" spans="1:1">
      <c r="A52" t="s">
        <v>126</v>
      </c>
    </row>
    <row r="53" spans="1:1">
      <c r="A53" t="s">
        <v>43</v>
      </c>
    </row>
    <row r="54" spans="1:1">
      <c r="A54" t="s">
        <v>47</v>
      </c>
    </row>
    <row r="55" spans="1:1">
      <c r="A55" t="s">
        <v>46</v>
      </c>
    </row>
    <row r="56" spans="1:1">
      <c r="A56" t="s">
        <v>133</v>
      </c>
    </row>
    <row r="57" spans="1:1">
      <c r="A57" t="s">
        <v>85</v>
      </c>
    </row>
    <row r="58" spans="1:1">
      <c r="A58" t="s">
        <v>49</v>
      </c>
    </row>
    <row r="59" spans="1:1">
      <c r="A59" t="s">
        <v>25</v>
      </c>
    </row>
    <row r="60" spans="1:1">
      <c r="A60" t="s">
        <v>94</v>
      </c>
    </row>
    <row r="61" spans="1:1">
      <c r="A61" t="s">
        <v>114</v>
      </c>
    </row>
    <row r="62" spans="1:1">
      <c r="A62" t="s">
        <v>18</v>
      </c>
    </row>
    <row r="63" spans="1:1">
      <c r="A63" t="s">
        <v>28</v>
      </c>
    </row>
    <row r="64" spans="1:1">
      <c r="A64" t="s">
        <v>36</v>
      </c>
    </row>
    <row r="65" spans="1:1">
      <c r="A65" t="s">
        <v>35</v>
      </c>
    </row>
    <row r="66" spans="1:1">
      <c r="A66" t="s">
        <v>132</v>
      </c>
    </row>
    <row r="67" spans="1:1">
      <c r="A67" t="s">
        <v>79</v>
      </c>
    </row>
    <row r="68" spans="1:1">
      <c r="A68" t="s">
        <v>84</v>
      </c>
    </row>
    <row r="69" spans="1:1">
      <c r="A69" t="s">
        <v>88</v>
      </c>
    </row>
    <row r="70" spans="1:1">
      <c r="A70" t="s">
        <v>120</v>
      </c>
    </row>
    <row r="71" spans="1:1">
      <c r="A71" t="s">
        <v>53</v>
      </c>
    </row>
    <row r="72" spans="1:1">
      <c r="A72" t="s">
        <v>123</v>
      </c>
    </row>
    <row r="73" spans="1:1">
      <c r="A73" t="s">
        <v>29</v>
      </c>
    </row>
    <row r="74" spans="1:1">
      <c r="A74" t="s">
        <v>71</v>
      </c>
    </row>
    <row r="75" spans="1:1">
      <c r="A75" t="s">
        <v>99</v>
      </c>
    </row>
    <row r="76" spans="1:1">
      <c r="A76" t="s">
        <v>76</v>
      </c>
    </row>
    <row r="77" spans="1:1">
      <c r="A77" t="s">
        <v>130</v>
      </c>
    </row>
    <row r="78" spans="1:1">
      <c r="A78" t="s">
        <v>118</v>
      </c>
    </row>
    <row r="79" spans="1:1">
      <c r="A79" t="s">
        <v>127</v>
      </c>
    </row>
    <row r="80" spans="1:1">
      <c r="A80" t="s">
        <v>19</v>
      </c>
    </row>
    <row r="81" spans="1:1">
      <c r="A81" t="s">
        <v>68</v>
      </c>
    </row>
    <row r="82" spans="1:1">
      <c r="A82" t="s">
        <v>75</v>
      </c>
    </row>
    <row r="83" spans="1:1">
      <c r="A83" t="s">
        <v>96</v>
      </c>
    </row>
    <row r="84" spans="1:1">
      <c r="A84" t="s">
        <v>92</v>
      </c>
    </row>
    <row r="85" spans="1:1">
      <c r="A85" t="s">
        <v>39</v>
      </c>
    </row>
    <row r="86" spans="1:1">
      <c r="A86" t="s">
        <v>40</v>
      </c>
    </row>
    <row r="87" spans="1:1">
      <c r="A87" t="s">
        <v>15</v>
      </c>
    </row>
    <row r="88" spans="1:1">
      <c r="A88" t="s">
        <v>97</v>
      </c>
    </row>
    <row r="89" spans="1:1">
      <c r="A89" t="s">
        <v>125</v>
      </c>
    </row>
    <row r="90" spans="1:1">
      <c r="A90" t="s">
        <v>26</v>
      </c>
    </row>
    <row r="91" spans="1:1">
      <c r="A91" t="s">
        <v>129</v>
      </c>
    </row>
    <row r="92" spans="1:1">
      <c r="A92" t="s">
        <v>51</v>
      </c>
    </row>
    <row r="93" spans="1:1">
      <c r="A93" t="s">
        <v>41</v>
      </c>
    </row>
    <row r="94" spans="1:1">
      <c r="A94" t="s">
        <v>82</v>
      </c>
    </row>
    <row r="95" spans="1:1">
      <c r="A95" t="s">
        <v>90</v>
      </c>
    </row>
    <row r="96" spans="1:1">
      <c r="A96" t="s">
        <v>95</v>
      </c>
    </row>
    <row r="97" spans="1:1">
      <c r="A97" t="s">
        <v>62</v>
      </c>
    </row>
    <row r="98" spans="1:1">
      <c r="A98" t="s">
        <v>124</v>
      </c>
    </row>
    <row r="99" spans="1:1">
      <c r="A99" t="s">
        <v>23</v>
      </c>
    </row>
    <row r="100" spans="1:1">
      <c r="A100" t="s">
        <v>42</v>
      </c>
    </row>
    <row r="101" spans="1:1">
      <c r="A101" t="s">
        <v>93</v>
      </c>
    </row>
    <row r="102" spans="1:1">
      <c r="A102" t="s">
        <v>128</v>
      </c>
    </row>
    <row r="103" spans="1:1">
      <c r="A103" t="s">
        <v>30</v>
      </c>
    </row>
    <row r="104" spans="1:1">
      <c r="A104" t="s">
        <v>87</v>
      </c>
    </row>
    <row r="105" spans="1:1">
      <c r="A105" t="s">
        <v>67</v>
      </c>
    </row>
    <row r="106" spans="1:1">
      <c r="A106" t="s">
        <v>13</v>
      </c>
    </row>
    <row r="107" spans="1:1">
      <c r="A107" t="s">
        <v>122</v>
      </c>
    </row>
    <row r="108" spans="1:1">
      <c r="A108" t="s">
        <v>115</v>
      </c>
    </row>
    <row r="109" spans="1:1">
      <c r="A109" t="s">
        <v>74</v>
      </c>
    </row>
    <row r="110" spans="1:1">
      <c r="A110" t="s">
        <v>137</v>
      </c>
    </row>
    <row r="111" spans="1:1">
      <c r="A111" t="s">
        <v>138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F30" sqref="F30"/>
    </sheetView>
  </sheetViews>
  <sheetFormatPr defaultColWidth="9" defaultRowHeight="13.5"/>
  <cols>
    <col min="1" max="1" width="15.625" customWidth="1"/>
    <col min="6" max="6" width="15.75" customWidth="1"/>
    <col min="14" max="14" width="12.625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148</v>
      </c>
      <c r="B2">
        <v>592</v>
      </c>
      <c r="C2" t="s">
        <v>149</v>
      </c>
      <c r="D2" t="s">
        <v>150</v>
      </c>
      <c r="E2" t="s">
        <v>32</v>
      </c>
      <c r="F2" t="s">
        <v>151</v>
      </c>
      <c r="G2" t="s">
        <v>152</v>
      </c>
      <c r="H2" t="s">
        <v>153</v>
      </c>
      <c r="I2" t="s">
        <v>154</v>
      </c>
      <c r="J2">
        <v>19960327</v>
      </c>
    </row>
    <row r="3" spans="1:14">
      <c r="A3" t="s">
        <v>155</v>
      </c>
      <c r="B3">
        <v>663</v>
      </c>
      <c r="C3" t="s">
        <v>156</v>
      </c>
      <c r="D3" t="s">
        <v>150</v>
      </c>
      <c r="E3" t="s">
        <v>32</v>
      </c>
      <c r="F3" t="s">
        <v>157</v>
      </c>
      <c r="G3" t="s">
        <v>152</v>
      </c>
      <c r="H3" t="s">
        <v>153</v>
      </c>
      <c r="I3" t="s">
        <v>154</v>
      </c>
      <c r="J3">
        <v>19961206</v>
      </c>
      <c r="N3" s="5">
        <f ca="1">RAND()*45</f>
        <v>16.8490059950486</v>
      </c>
    </row>
    <row r="4" spans="1:10">
      <c r="A4" t="s">
        <v>158</v>
      </c>
      <c r="B4">
        <v>713</v>
      </c>
      <c r="C4" t="s">
        <v>159</v>
      </c>
      <c r="D4" t="s">
        <v>160</v>
      </c>
      <c r="E4" t="s">
        <v>13</v>
      </c>
      <c r="F4" t="s">
        <v>161</v>
      </c>
      <c r="G4" t="s">
        <v>152</v>
      </c>
      <c r="H4" t="s">
        <v>153</v>
      </c>
      <c r="I4" t="s">
        <v>154</v>
      </c>
      <c r="J4">
        <v>19970422</v>
      </c>
    </row>
    <row r="5" spans="1:10">
      <c r="A5" t="s">
        <v>162</v>
      </c>
      <c r="B5">
        <v>798</v>
      </c>
      <c r="C5" t="s">
        <v>163</v>
      </c>
      <c r="D5" t="s">
        <v>164</v>
      </c>
      <c r="E5" t="s">
        <v>23</v>
      </c>
      <c r="F5" t="s">
        <v>165</v>
      </c>
      <c r="G5" t="s">
        <v>152</v>
      </c>
      <c r="H5" t="s">
        <v>153</v>
      </c>
      <c r="I5" t="s">
        <v>154</v>
      </c>
      <c r="J5">
        <v>19980212</v>
      </c>
    </row>
    <row r="6" spans="1:10">
      <c r="A6" t="s">
        <v>166</v>
      </c>
      <c r="B6">
        <v>998</v>
      </c>
      <c r="C6" t="s">
        <v>167</v>
      </c>
      <c r="D6" t="s">
        <v>168</v>
      </c>
      <c r="E6" t="s">
        <v>13</v>
      </c>
      <c r="F6" t="s">
        <v>169</v>
      </c>
      <c r="G6" t="s">
        <v>152</v>
      </c>
      <c r="H6" t="s">
        <v>153</v>
      </c>
      <c r="I6" t="s">
        <v>154</v>
      </c>
      <c r="J6">
        <v>20001211</v>
      </c>
    </row>
    <row r="7" spans="1:10">
      <c r="A7" t="s">
        <v>170</v>
      </c>
      <c r="B7">
        <v>600097</v>
      </c>
      <c r="C7" t="s">
        <v>171</v>
      </c>
      <c r="D7" t="s">
        <v>172</v>
      </c>
      <c r="E7" t="s">
        <v>23</v>
      </c>
      <c r="F7" t="s">
        <v>173</v>
      </c>
      <c r="G7" t="s">
        <v>152</v>
      </c>
      <c r="H7" t="s">
        <v>174</v>
      </c>
      <c r="I7" t="s">
        <v>154</v>
      </c>
      <c r="J7">
        <v>19970619</v>
      </c>
    </row>
    <row r="8" spans="1:10">
      <c r="A8" t="s">
        <v>175</v>
      </c>
      <c r="B8">
        <v>600108</v>
      </c>
      <c r="C8" t="s">
        <v>176</v>
      </c>
      <c r="D8" t="s">
        <v>177</v>
      </c>
      <c r="E8" t="s">
        <v>13</v>
      </c>
      <c r="F8" t="s">
        <v>178</v>
      </c>
      <c r="G8" t="s">
        <v>152</v>
      </c>
      <c r="H8" t="s">
        <v>174</v>
      </c>
      <c r="I8" t="s">
        <v>154</v>
      </c>
      <c r="J8">
        <v>19970818</v>
      </c>
    </row>
    <row r="9" spans="1:10">
      <c r="A9" s="1" t="s">
        <v>179</v>
      </c>
      <c r="B9" s="1">
        <v>600257</v>
      </c>
      <c r="C9" s="1" t="s">
        <v>180</v>
      </c>
      <c r="D9" s="1" t="s">
        <v>168</v>
      </c>
      <c r="E9" s="1" t="s">
        <v>23</v>
      </c>
      <c r="F9" s="1" t="s">
        <v>181</v>
      </c>
      <c r="G9" s="1" t="s">
        <v>152</v>
      </c>
      <c r="H9" s="1" t="s">
        <v>174</v>
      </c>
      <c r="I9" s="1" t="s">
        <v>154</v>
      </c>
      <c r="J9" s="1">
        <v>20000612</v>
      </c>
    </row>
    <row r="10" spans="1:10">
      <c r="A10" t="s">
        <v>182</v>
      </c>
      <c r="B10">
        <v>600265</v>
      </c>
      <c r="C10" t="s">
        <v>183</v>
      </c>
      <c r="D10" t="s">
        <v>184</v>
      </c>
      <c r="E10" t="s">
        <v>32</v>
      </c>
      <c r="F10" t="s">
        <v>185</v>
      </c>
      <c r="G10" t="s">
        <v>152</v>
      </c>
      <c r="H10" t="s">
        <v>174</v>
      </c>
      <c r="I10" t="s">
        <v>154</v>
      </c>
      <c r="J10">
        <v>20000825</v>
      </c>
    </row>
    <row r="11" spans="1:10">
      <c r="A11" t="s">
        <v>186</v>
      </c>
      <c r="B11">
        <v>600313</v>
      </c>
      <c r="C11" t="s">
        <v>187</v>
      </c>
      <c r="D11" t="s">
        <v>164</v>
      </c>
      <c r="E11" t="s">
        <v>13</v>
      </c>
      <c r="F11" t="s">
        <v>188</v>
      </c>
      <c r="G11" t="s">
        <v>152</v>
      </c>
      <c r="H11" t="s">
        <v>174</v>
      </c>
      <c r="I11" t="s">
        <v>154</v>
      </c>
      <c r="J11">
        <v>20010119</v>
      </c>
    </row>
    <row r="12" spans="1:10">
      <c r="A12" t="s">
        <v>189</v>
      </c>
      <c r="B12">
        <v>600354</v>
      </c>
      <c r="C12" t="s">
        <v>190</v>
      </c>
      <c r="D12" t="s">
        <v>177</v>
      </c>
      <c r="E12" t="s">
        <v>13</v>
      </c>
      <c r="F12" t="s">
        <v>191</v>
      </c>
      <c r="G12" t="s">
        <v>152</v>
      </c>
      <c r="H12" t="s">
        <v>174</v>
      </c>
      <c r="I12" t="s">
        <v>154</v>
      </c>
      <c r="J12">
        <v>20040115</v>
      </c>
    </row>
    <row r="13" spans="1:10">
      <c r="A13" t="s">
        <v>192</v>
      </c>
      <c r="B13">
        <v>600371</v>
      </c>
      <c r="C13" t="s">
        <v>193</v>
      </c>
      <c r="D13" t="s">
        <v>194</v>
      </c>
      <c r="E13" t="s">
        <v>13</v>
      </c>
      <c r="F13" t="s">
        <v>195</v>
      </c>
      <c r="G13" t="s">
        <v>152</v>
      </c>
      <c r="H13" t="s">
        <v>174</v>
      </c>
      <c r="I13" t="s">
        <v>154</v>
      </c>
      <c r="J13">
        <v>20020916</v>
      </c>
    </row>
    <row r="14" spans="1:10">
      <c r="A14" t="s">
        <v>196</v>
      </c>
      <c r="B14">
        <v>600467</v>
      </c>
      <c r="C14" t="s">
        <v>197</v>
      </c>
      <c r="D14" t="s">
        <v>198</v>
      </c>
      <c r="E14" t="s">
        <v>23</v>
      </c>
      <c r="F14" t="s">
        <v>199</v>
      </c>
      <c r="G14" t="s">
        <v>152</v>
      </c>
      <c r="H14" t="s">
        <v>174</v>
      </c>
      <c r="I14" t="s">
        <v>154</v>
      </c>
      <c r="J14">
        <v>20040405</v>
      </c>
    </row>
    <row r="15" spans="1:10">
      <c r="A15" t="s">
        <v>200</v>
      </c>
      <c r="B15">
        <v>600540</v>
      </c>
      <c r="C15" t="s">
        <v>201</v>
      </c>
      <c r="D15" t="s">
        <v>202</v>
      </c>
      <c r="E15" t="s">
        <v>13</v>
      </c>
      <c r="F15" t="s">
        <v>203</v>
      </c>
      <c r="G15" t="s">
        <v>152</v>
      </c>
      <c r="H15" t="s">
        <v>174</v>
      </c>
      <c r="I15" t="s">
        <v>154</v>
      </c>
      <c r="J15">
        <v>20040107</v>
      </c>
    </row>
    <row r="16" spans="1:10">
      <c r="A16" t="s">
        <v>204</v>
      </c>
      <c r="B16">
        <v>600598</v>
      </c>
      <c r="C16" t="s">
        <v>205</v>
      </c>
      <c r="D16" t="s">
        <v>194</v>
      </c>
      <c r="E16" t="s">
        <v>13</v>
      </c>
      <c r="F16" t="s">
        <v>206</v>
      </c>
      <c r="G16" t="s">
        <v>152</v>
      </c>
      <c r="H16" t="s">
        <v>174</v>
      </c>
      <c r="I16" t="s">
        <v>154</v>
      </c>
      <c r="J16">
        <v>20020329</v>
      </c>
    </row>
    <row r="17" spans="1:10">
      <c r="A17" t="s">
        <v>207</v>
      </c>
      <c r="B17">
        <v>600883</v>
      </c>
      <c r="C17" t="s">
        <v>208</v>
      </c>
      <c r="D17" t="s">
        <v>184</v>
      </c>
      <c r="E17" t="s">
        <v>13</v>
      </c>
      <c r="F17" t="s">
        <v>209</v>
      </c>
      <c r="G17" t="s">
        <v>152</v>
      </c>
      <c r="H17" t="s">
        <v>174</v>
      </c>
      <c r="I17" t="s">
        <v>154</v>
      </c>
      <c r="J17">
        <v>19951208</v>
      </c>
    </row>
    <row r="18" spans="1:10">
      <c r="A18" t="s">
        <v>210</v>
      </c>
      <c r="B18">
        <v>601952</v>
      </c>
      <c r="C18" t="s">
        <v>211</v>
      </c>
      <c r="D18" t="s">
        <v>212</v>
      </c>
      <c r="E18" t="s">
        <v>13</v>
      </c>
      <c r="F18" t="s">
        <v>213</v>
      </c>
      <c r="G18" t="s">
        <v>152</v>
      </c>
      <c r="H18" t="s">
        <v>174</v>
      </c>
      <c r="I18" t="s">
        <v>154</v>
      </c>
      <c r="J18">
        <v>20170515</v>
      </c>
    </row>
    <row r="19" spans="1:10">
      <c r="A19" t="s">
        <v>214</v>
      </c>
      <c r="B19">
        <v>702</v>
      </c>
      <c r="C19" t="s">
        <v>215</v>
      </c>
      <c r="D19" t="s">
        <v>168</v>
      </c>
      <c r="E19" t="s">
        <v>39</v>
      </c>
      <c r="F19" t="s">
        <v>216</v>
      </c>
      <c r="G19" t="s">
        <v>152</v>
      </c>
      <c r="H19" t="s">
        <v>153</v>
      </c>
      <c r="I19" t="s">
        <v>154</v>
      </c>
      <c r="J19">
        <v>19970318</v>
      </c>
    </row>
    <row r="20" spans="1:10">
      <c r="A20" t="s">
        <v>217</v>
      </c>
      <c r="B20">
        <v>876</v>
      </c>
      <c r="C20" t="s">
        <v>218</v>
      </c>
      <c r="D20" t="s">
        <v>219</v>
      </c>
      <c r="E20" t="s">
        <v>39</v>
      </c>
      <c r="F20" t="s">
        <v>220</v>
      </c>
      <c r="G20" t="s">
        <v>152</v>
      </c>
      <c r="H20" t="s">
        <v>153</v>
      </c>
      <c r="I20" t="s">
        <v>154</v>
      </c>
      <c r="J20">
        <v>19980311</v>
      </c>
    </row>
    <row r="21" spans="1:10">
      <c r="A21" t="s">
        <v>221</v>
      </c>
      <c r="B21">
        <v>1313</v>
      </c>
      <c r="C21" t="s">
        <v>222</v>
      </c>
      <c r="D21" t="s">
        <v>223</v>
      </c>
      <c r="E21" t="s">
        <v>39</v>
      </c>
      <c r="F21" t="s">
        <v>224</v>
      </c>
      <c r="G21" t="s">
        <v>152</v>
      </c>
      <c r="H21" t="s">
        <v>153</v>
      </c>
      <c r="I21" t="s">
        <v>154</v>
      </c>
      <c r="J21">
        <v>20220216</v>
      </c>
    </row>
    <row r="22" spans="1:10">
      <c r="A22" s="3" t="s">
        <v>225</v>
      </c>
      <c r="B22" s="3">
        <v>600299</v>
      </c>
      <c r="C22" s="3" t="s">
        <v>226</v>
      </c>
      <c r="D22" s="3" t="s">
        <v>164</v>
      </c>
      <c r="E22" s="3" t="s">
        <v>39</v>
      </c>
      <c r="F22" s="3" t="s">
        <v>227</v>
      </c>
      <c r="G22" s="3" t="s">
        <v>152</v>
      </c>
      <c r="H22" s="3" t="s">
        <v>174</v>
      </c>
      <c r="I22" s="3" t="s">
        <v>154</v>
      </c>
      <c r="J22" s="3">
        <v>20000420</v>
      </c>
    </row>
    <row r="23" spans="1:10">
      <c r="A23" t="s">
        <v>228</v>
      </c>
      <c r="B23">
        <v>603151</v>
      </c>
      <c r="C23" t="s">
        <v>229</v>
      </c>
      <c r="D23" t="s">
        <v>198</v>
      </c>
      <c r="E23" t="s">
        <v>39</v>
      </c>
      <c r="F23" t="s">
        <v>230</v>
      </c>
      <c r="G23" t="s">
        <v>152</v>
      </c>
      <c r="H23" t="s">
        <v>174</v>
      </c>
      <c r="I23" t="s">
        <v>154</v>
      </c>
      <c r="J23">
        <v>20221019</v>
      </c>
    </row>
    <row r="24" spans="1:10">
      <c r="A24" t="s">
        <v>231</v>
      </c>
      <c r="B24">
        <v>603363</v>
      </c>
      <c r="C24" t="s">
        <v>232</v>
      </c>
      <c r="D24" t="s">
        <v>150</v>
      </c>
      <c r="E24" t="s">
        <v>39</v>
      </c>
      <c r="F24" t="s">
        <v>233</v>
      </c>
      <c r="G24" t="s">
        <v>152</v>
      </c>
      <c r="H24" t="s">
        <v>174</v>
      </c>
      <c r="I24" t="s">
        <v>154</v>
      </c>
      <c r="J24">
        <v>20170926</v>
      </c>
    </row>
    <row r="25" spans="1:10">
      <c r="A25" t="s">
        <v>234</v>
      </c>
      <c r="B25">
        <v>603609</v>
      </c>
      <c r="C25" t="s">
        <v>235</v>
      </c>
      <c r="D25" t="s">
        <v>236</v>
      </c>
      <c r="E25" t="s">
        <v>39</v>
      </c>
      <c r="F25" t="s">
        <v>237</v>
      </c>
      <c r="G25" t="s">
        <v>152</v>
      </c>
      <c r="H25" t="s">
        <v>174</v>
      </c>
      <c r="I25" t="s">
        <v>154</v>
      </c>
      <c r="J25">
        <v>20140808</v>
      </c>
    </row>
    <row r="26" spans="1:10">
      <c r="A26" t="s">
        <v>238</v>
      </c>
      <c r="B26">
        <v>603668</v>
      </c>
      <c r="C26" t="s">
        <v>239</v>
      </c>
      <c r="D26" t="s">
        <v>150</v>
      </c>
      <c r="E26" t="s">
        <v>39</v>
      </c>
      <c r="F26" t="s">
        <v>240</v>
      </c>
      <c r="G26" t="s">
        <v>152</v>
      </c>
      <c r="H26" t="s">
        <v>174</v>
      </c>
      <c r="I26" t="s">
        <v>154</v>
      </c>
      <c r="J26">
        <v>20170117</v>
      </c>
    </row>
    <row r="27" spans="1:10">
      <c r="A27" t="s">
        <v>241</v>
      </c>
      <c r="B27">
        <v>19</v>
      </c>
      <c r="C27" t="s">
        <v>242</v>
      </c>
      <c r="D27" t="s">
        <v>243</v>
      </c>
      <c r="E27" t="s">
        <v>46</v>
      </c>
      <c r="F27" t="s">
        <v>244</v>
      </c>
      <c r="G27" t="s">
        <v>152</v>
      </c>
      <c r="H27" t="s">
        <v>153</v>
      </c>
      <c r="I27" t="s">
        <v>154</v>
      </c>
      <c r="J27">
        <v>19921012</v>
      </c>
    </row>
    <row r="28" spans="1:10">
      <c r="A28" t="s">
        <v>245</v>
      </c>
      <c r="B28">
        <v>61</v>
      </c>
      <c r="C28" t="s">
        <v>246</v>
      </c>
      <c r="D28" t="s">
        <v>243</v>
      </c>
      <c r="E28" t="s">
        <v>46</v>
      </c>
      <c r="F28" t="s">
        <v>247</v>
      </c>
      <c r="G28" t="s">
        <v>152</v>
      </c>
      <c r="H28" t="s">
        <v>153</v>
      </c>
      <c r="I28" t="s">
        <v>154</v>
      </c>
      <c r="J28">
        <v>19970110</v>
      </c>
    </row>
    <row r="29" spans="1:10">
      <c r="A29" t="s">
        <v>248</v>
      </c>
      <c r="B29">
        <v>735</v>
      </c>
      <c r="C29" t="s">
        <v>249</v>
      </c>
      <c r="D29" t="s">
        <v>250</v>
      </c>
      <c r="E29" t="s">
        <v>46</v>
      </c>
      <c r="F29" t="s">
        <v>251</v>
      </c>
      <c r="G29" t="s">
        <v>152</v>
      </c>
      <c r="H29" t="s">
        <v>153</v>
      </c>
      <c r="I29" t="s">
        <v>154</v>
      </c>
      <c r="J29">
        <v>19970611</v>
      </c>
    </row>
    <row r="30" spans="1:10">
      <c r="A30" t="s">
        <v>252</v>
      </c>
      <c r="B30">
        <v>930</v>
      </c>
      <c r="C30" t="s">
        <v>253</v>
      </c>
      <c r="D30" t="s">
        <v>160</v>
      </c>
      <c r="E30" t="s">
        <v>46</v>
      </c>
      <c r="F30" t="s">
        <v>254</v>
      </c>
      <c r="G30" t="s">
        <v>152</v>
      </c>
      <c r="H30" t="s">
        <v>153</v>
      </c>
      <c r="I30" t="s">
        <v>154</v>
      </c>
      <c r="J30">
        <v>19990712</v>
      </c>
    </row>
    <row r="31" spans="1:10">
      <c r="A31" t="s">
        <v>255</v>
      </c>
      <c r="B31">
        <v>1201</v>
      </c>
      <c r="C31" t="s">
        <v>256</v>
      </c>
      <c r="D31" t="s">
        <v>223</v>
      </c>
      <c r="E31" t="s">
        <v>46</v>
      </c>
      <c r="F31" t="s">
        <v>257</v>
      </c>
      <c r="G31" t="s">
        <v>152</v>
      </c>
      <c r="H31" t="s">
        <v>153</v>
      </c>
      <c r="I31" t="s">
        <v>154</v>
      </c>
      <c r="J31">
        <v>20210428</v>
      </c>
    </row>
    <row r="32" spans="1:10">
      <c r="A32" t="s">
        <v>258</v>
      </c>
      <c r="B32">
        <v>600127</v>
      </c>
      <c r="C32" t="s">
        <v>259</v>
      </c>
      <c r="D32" t="s">
        <v>168</v>
      </c>
      <c r="E32" t="s">
        <v>46</v>
      </c>
      <c r="F32" t="s">
        <v>260</v>
      </c>
      <c r="G32" t="s">
        <v>152</v>
      </c>
      <c r="H32" t="s">
        <v>174</v>
      </c>
      <c r="I32" t="s">
        <v>154</v>
      </c>
      <c r="J32">
        <v>19980506</v>
      </c>
    </row>
    <row r="33" spans="1:10">
      <c r="A33" t="s">
        <v>261</v>
      </c>
      <c r="B33">
        <v>600195</v>
      </c>
      <c r="C33" t="s">
        <v>262</v>
      </c>
      <c r="D33" t="s">
        <v>164</v>
      </c>
      <c r="E33" t="s">
        <v>46</v>
      </c>
      <c r="F33" t="s">
        <v>263</v>
      </c>
      <c r="G33" t="s">
        <v>152</v>
      </c>
      <c r="H33" t="s">
        <v>174</v>
      </c>
      <c r="I33" t="s">
        <v>154</v>
      </c>
      <c r="J33">
        <v>19990107</v>
      </c>
    </row>
    <row r="34" spans="1:10">
      <c r="A34" t="s">
        <v>264</v>
      </c>
      <c r="B34">
        <v>600201</v>
      </c>
      <c r="C34" t="s">
        <v>265</v>
      </c>
      <c r="D34" t="s">
        <v>266</v>
      </c>
      <c r="E34" t="s">
        <v>46</v>
      </c>
      <c r="F34" t="s">
        <v>267</v>
      </c>
      <c r="G34" t="s">
        <v>152</v>
      </c>
      <c r="H34" t="s">
        <v>174</v>
      </c>
      <c r="I34" t="s">
        <v>154</v>
      </c>
      <c r="J34">
        <v>19990115</v>
      </c>
    </row>
    <row r="35" spans="1:10">
      <c r="A35" t="s">
        <v>268</v>
      </c>
      <c r="B35">
        <v>600251</v>
      </c>
      <c r="C35" t="s">
        <v>269</v>
      </c>
      <c r="D35" t="s">
        <v>202</v>
      </c>
      <c r="E35" t="s">
        <v>46</v>
      </c>
      <c r="F35" t="s">
        <v>270</v>
      </c>
      <c r="G35" t="s">
        <v>152</v>
      </c>
      <c r="H35" t="s">
        <v>174</v>
      </c>
      <c r="I35" t="s">
        <v>154</v>
      </c>
      <c r="J35">
        <v>20030609</v>
      </c>
    </row>
    <row r="36" spans="1:10">
      <c r="A36" t="s">
        <v>271</v>
      </c>
      <c r="B36">
        <v>600359</v>
      </c>
      <c r="C36" t="s">
        <v>272</v>
      </c>
      <c r="D36" t="s">
        <v>202</v>
      </c>
      <c r="E36" t="s">
        <v>46</v>
      </c>
      <c r="F36" t="s">
        <v>273</v>
      </c>
      <c r="G36" t="s">
        <v>152</v>
      </c>
      <c r="H36" t="s">
        <v>174</v>
      </c>
      <c r="I36" t="s">
        <v>154</v>
      </c>
      <c r="J36">
        <v>19990429</v>
      </c>
    </row>
    <row r="37" spans="1:10">
      <c r="A37" t="s">
        <v>274</v>
      </c>
      <c r="B37">
        <v>600811</v>
      </c>
      <c r="C37" t="s">
        <v>275</v>
      </c>
      <c r="D37" t="s">
        <v>194</v>
      </c>
      <c r="E37" t="s">
        <v>46</v>
      </c>
      <c r="F37" t="s">
        <v>276</v>
      </c>
      <c r="G37" t="s">
        <v>152</v>
      </c>
      <c r="H37" t="s">
        <v>174</v>
      </c>
      <c r="I37" t="s">
        <v>154</v>
      </c>
      <c r="J37">
        <v>19940106</v>
      </c>
    </row>
    <row r="38" spans="1:10">
      <c r="A38" t="s">
        <v>277</v>
      </c>
      <c r="B38">
        <v>600965</v>
      </c>
      <c r="C38" t="s">
        <v>278</v>
      </c>
      <c r="D38" t="s">
        <v>279</v>
      </c>
      <c r="E38" t="s">
        <v>46</v>
      </c>
      <c r="F38" t="s">
        <v>280</v>
      </c>
      <c r="G38" t="s">
        <v>152</v>
      </c>
      <c r="H38" t="s">
        <v>174</v>
      </c>
      <c r="I38" t="s">
        <v>154</v>
      </c>
      <c r="J38">
        <v>20040713</v>
      </c>
    </row>
    <row r="39" spans="1:10">
      <c r="A39" t="s">
        <v>281</v>
      </c>
      <c r="B39">
        <v>600975</v>
      </c>
      <c r="C39" t="s">
        <v>282</v>
      </c>
      <c r="D39" t="s">
        <v>168</v>
      </c>
      <c r="E39" t="s">
        <v>46</v>
      </c>
      <c r="F39" t="s">
        <v>283</v>
      </c>
      <c r="G39" t="s">
        <v>152</v>
      </c>
      <c r="H39" t="s">
        <v>174</v>
      </c>
      <c r="I39" t="s">
        <v>154</v>
      </c>
      <c r="J39">
        <v>20040609</v>
      </c>
    </row>
    <row r="40" spans="1:10">
      <c r="A40" t="s">
        <v>284</v>
      </c>
      <c r="B40">
        <v>603336</v>
      </c>
      <c r="C40" t="s">
        <v>285</v>
      </c>
      <c r="D40" t="s">
        <v>223</v>
      </c>
      <c r="E40" t="s">
        <v>46</v>
      </c>
      <c r="F40" t="s">
        <v>286</v>
      </c>
      <c r="G40" t="s">
        <v>152</v>
      </c>
      <c r="H40" t="s">
        <v>174</v>
      </c>
      <c r="I40" t="s">
        <v>154</v>
      </c>
      <c r="J40">
        <v>20161124</v>
      </c>
    </row>
    <row r="41" spans="1:10">
      <c r="A41" t="s">
        <v>287</v>
      </c>
      <c r="B41">
        <v>603477</v>
      </c>
      <c r="C41" t="s">
        <v>288</v>
      </c>
      <c r="D41" t="s">
        <v>219</v>
      </c>
      <c r="E41" t="s">
        <v>46</v>
      </c>
      <c r="F41" t="s">
        <v>289</v>
      </c>
      <c r="G41" t="s">
        <v>152</v>
      </c>
      <c r="H41" t="s">
        <v>174</v>
      </c>
      <c r="I41" t="s">
        <v>154</v>
      </c>
      <c r="J41">
        <v>20171218</v>
      </c>
    </row>
    <row r="42" spans="1:10">
      <c r="A42" t="s">
        <v>290</v>
      </c>
      <c r="B42">
        <v>603566</v>
      </c>
      <c r="C42" t="s">
        <v>291</v>
      </c>
      <c r="D42" t="s">
        <v>292</v>
      </c>
      <c r="E42" t="s">
        <v>46</v>
      </c>
      <c r="F42" t="s">
        <v>293</v>
      </c>
      <c r="G42" t="s">
        <v>152</v>
      </c>
      <c r="H42" t="s">
        <v>174</v>
      </c>
      <c r="I42" t="s">
        <v>154</v>
      </c>
      <c r="J42">
        <v>20150518</v>
      </c>
    </row>
    <row r="43" spans="1:10">
      <c r="A43" t="s">
        <v>294</v>
      </c>
      <c r="B43">
        <v>603718</v>
      </c>
      <c r="C43" t="s">
        <v>295</v>
      </c>
      <c r="D43" t="s">
        <v>172</v>
      </c>
      <c r="E43" t="s">
        <v>46</v>
      </c>
      <c r="F43" t="s">
        <v>296</v>
      </c>
      <c r="G43" t="s">
        <v>152</v>
      </c>
      <c r="H43" t="s">
        <v>174</v>
      </c>
      <c r="I43" t="s">
        <v>154</v>
      </c>
      <c r="J43">
        <v>20150515</v>
      </c>
    </row>
    <row r="44" spans="1:10">
      <c r="A44" t="s">
        <v>297</v>
      </c>
      <c r="B44">
        <v>603739</v>
      </c>
      <c r="C44" t="s">
        <v>298</v>
      </c>
      <c r="D44" t="s">
        <v>198</v>
      </c>
      <c r="E44" t="s">
        <v>46</v>
      </c>
      <c r="F44" t="s">
        <v>299</v>
      </c>
      <c r="G44" t="s">
        <v>152</v>
      </c>
      <c r="H44" t="s">
        <v>174</v>
      </c>
      <c r="I44" t="s">
        <v>154</v>
      </c>
      <c r="J44">
        <v>20190116</v>
      </c>
    </row>
    <row r="45" spans="1:10">
      <c r="A45" t="s">
        <v>300</v>
      </c>
      <c r="B45">
        <v>605296</v>
      </c>
      <c r="C45" t="s">
        <v>301</v>
      </c>
      <c r="D45" t="s">
        <v>184</v>
      </c>
      <c r="E45" t="s">
        <v>46</v>
      </c>
      <c r="F45" t="s">
        <v>302</v>
      </c>
      <c r="G45" t="s">
        <v>152</v>
      </c>
      <c r="H45" t="s">
        <v>174</v>
      </c>
      <c r="I45" t="s">
        <v>154</v>
      </c>
      <c r="J45">
        <v>20210528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4"/>
  <sheetViews>
    <sheetView topLeftCell="A7" workbookViewId="0">
      <selection activeCell="F7" sqref="F7"/>
    </sheetView>
  </sheetViews>
  <sheetFormatPr defaultColWidth="9" defaultRowHeight="13.5"/>
  <cols>
    <col min="1" max="1" width="13.5" customWidth="1"/>
    <col min="2" max="2" width="8" customWidth="1"/>
    <col min="6" max="6" width="17.5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303</v>
      </c>
      <c r="B2">
        <v>301</v>
      </c>
      <c r="C2" t="s">
        <v>304</v>
      </c>
      <c r="D2" t="s">
        <v>212</v>
      </c>
      <c r="E2" t="s">
        <v>24</v>
      </c>
      <c r="F2" t="s">
        <v>305</v>
      </c>
      <c r="G2" t="s">
        <v>152</v>
      </c>
      <c r="H2" t="s">
        <v>153</v>
      </c>
      <c r="I2" t="s">
        <v>154</v>
      </c>
      <c r="J2">
        <v>20000529</v>
      </c>
    </row>
    <row r="3" spans="1:12">
      <c r="A3" t="s">
        <v>306</v>
      </c>
      <c r="B3">
        <v>408</v>
      </c>
      <c r="C3" t="s">
        <v>307</v>
      </c>
      <c r="D3" t="s">
        <v>308</v>
      </c>
      <c r="E3" t="s">
        <v>47</v>
      </c>
      <c r="F3" t="s">
        <v>309</v>
      </c>
      <c r="G3" t="s">
        <v>152</v>
      </c>
      <c r="H3" t="s">
        <v>153</v>
      </c>
      <c r="I3" t="s">
        <v>154</v>
      </c>
      <c r="J3">
        <v>19960628</v>
      </c>
      <c r="L3" s="5">
        <f ca="1">RAND()*174</f>
        <v>140.251965587884</v>
      </c>
    </row>
    <row r="4" spans="1:10">
      <c r="A4" t="s">
        <v>310</v>
      </c>
      <c r="B4">
        <v>420</v>
      </c>
      <c r="C4" t="s">
        <v>311</v>
      </c>
      <c r="D4" t="s">
        <v>312</v>
      </c>
      <c r="E4" t="s">
        <v>24</v>
      </c>
      <c r="F4" t="s">
        <v>313</v>
      </c>
      <c r="G4" t="s">
        <v>152</v>
      </c>
      <c r="H4" t="s">
        <v>153</v>
      </c>
      <c r="I4" t="s">
        <v>154</v>
      </c>
      <c r="J4">
        <v>19960802</v>
      </c>
    </row>
    <row r="5" spans="1:10">
      <c r="A5" t="s">
        <v>314</v>
      </c>
      <c r="B5">
        <v>422</v>
      </c>
      <c r="C5" t="s">
        <v>315</v>
      </c>
      <c r="D5" t="s">
        <v>316</v>
      </c>
      <c r="E5" t="s">
        <v>47</v>
      </c>
      <c r="F5" t="s">
        <v>317</v>
      </c>
      <c r="G5" t="s">
        <v>152</v>
      </c>
      <c r="H5" t="s">
        <v>153</v>
      </c>
      <c r="I5" t="s">
        <v>154</v>
      </c>
      <c r="J5">
        <v>19960815</v>
      </c>
    </row>
    <row r="6" spans="1:10">
      <c r="A6" t="s">
        <v>318</v>
      </c>
      <c r="B6">
        <v>510</v>
      </c>
      <c r="C6" t="s">
        <v>319</v>
      </c>
      <c r="D6" t="s">
        <v>219</v>
      </c>
      <c r="E6" t="s">
        <v>14</v>
      </c>
      <c r="F6" t="s">
        <v>320</v>
      </c>
      <c r="G6" t="s">
        <v>152</v>
      </c>
      <c r="H6" t="s">
        <v>153</v>
      </c>
      <c r="I6" t="s">
        <v>154</v>
      </c>
      <c r="J6">
        <v>19930507</v>
      </c>
    </row>
    <row r="7" spans="1:10">
      <c r="A7" t="s">
        <v>321</v>
      </c>
      <c r="B7">
        <v>525</v>
      </c>
      <c r="C7" t="s">
        <v>322</v>
      </c>
      <c r="D7" t="s">
        <v>212</v>
      </c>
      <c r="E7" t="s">
        <v>47</v>
      </c>
      <c r="F7" t="s">
        <v>323</v>
      </c>
      <c r="G7" t="s">
        <v>152</v>
      </c>
      <c r="H7" t="s">
        <v>153</v>
      </c>
      <c r="I7" t="s">
        <v>154</v>
      </c>
      <c r="J7">
        <v>19931028</v>
      </c>
    </row>
    <row r="8" spans="1:10">
      <c r="A8" t="s">
        <v>324</v>
      </c>
      <c r="B8">
        <v>545</v>
      </c>
      <c r="C8" t="s">
        <v>325</v>
      </c>
      <c r="D8" t="s">
        <v>312</v>
      </c>
      <c r="E8" t="s">
        <v>14</v>
      </c>
      <c r="F8" t="s">
        <v>326</v>
      </c>
      <c r="G8" t="s">
        <v>152</v>
      </c>
      <c r="H8" t="s">
        <v>153</v>
      </c>
      <c r="I8" t="s">
        <v>154</v>
      </c>
      <c r="J8">
        <v>19931215</v>
      </c>
    </row>
    <row r="9" spans="1:10">
      <c r="A9" t="s">
        <v>327</v>
      </c>
      <c r="B9">
        <v>553</v>
      </c>
      <c r="C9" t="s">
        <v>328</v>
      </c>
      <c r="D9" t="s">
        <v>316</v>
      </c>
      <c r="E9" t="s">
        <v>47</v>
      </c>
      <c r="F9" t="s">
        <v>329</v>
      </c>
      <c r="G9" t="s">
        <v>152</v>
      </c>
      <c r="H9" t="s">
        <v>153</v>
      </c>
      <c r="I9" t="s">
        <v>154</v>
      </c>
      <c r="J9">
        <v>19931203</v>
      </c>
    </row>
    <row r="10" spans="1:10">
      <c r="A10" t="s">
        <v>330</v>
      </c>
      <c r="B10">
        <v>635</v>
      </c>
      <c r="C10" t="s">
        <v>331</v>
      </c>
      <c r="D10" t="s">
        <v>332</v>
      </c>
      <c r="E10" t="s">
        <v>14</v>
      </c>
      <c r="F10" t="s">
        <v>333</v>
      </c>
      <c r="G10" t="s">
        <v>152</v>
      </c>
      <c r="H10" t="s">
        <v>153</v>
      </c>
      <c r="I10" t="s">
        <v>154</v>
      </c>
      <c r="J10">
        <v>19961120</v>
      </c>
    </row>
    <row r="11" spans="1:10">
      <c r="A11" t="s">
        <v>334</v>
      </c>
      <c r="B11">
        <v>677</v>
      </c>
      <c r="C11" t="s">
        <v>335</v>
      </c>
      <c r="D11" t="s">
        <v>198</v>
      </c>
      <c r="E11" t="s">
        <v>24</v>
      </c>
      <c r="F11" t="s">
        <v>336</v>
      </c>
      <c r="G11" t="s">
        <v>152</v>
      </c>
      <c r="H11" t="s">
        <v>153</v>
      </c>
      <c r="I11" t="s">
        <v>154</v>
      </c>
      <c r="J11">
        <v>19961226</v>
      </c>
    </row>
    <row r="12" spans="1:10">
      <c r="A12" t="s">
        <v>337</v>
      </c>
      <c r="B12">
        <v>683</v>
      </c>
      <c r="C12" t="s">
        <v>338</v>
      </c>
      <c r="D12" t="s">
        <v>266</v>
      </c>
      <c r="E12" t="s">
        <v>14</v>
      </c>
      <c r="F12" t="s">
        <v>339</v>
      </c>
      <c r="G12" t="s">
        <v>152</v>
      </c>
      <c r="H12" t="s">
        <v>153</v>
      </c>
      <c r="I12" t="s">
        <v>154</v>
      </c>
      <c r="J12">
        <v>19970131</v>
      </c>
    </row>
    <row r="13" spans="1:10">
      <c r="A13" t="s">
        <v>340</v>
      </c>
      <c r="B13">
        <v>691</v>
      </c>
      <c r="C13" t="s">
        <v>341</v>
      </c>
      <c r="D13" t="s">
        <v>177</v>
      </c>
      <c r="E13" t="s">
        <v>14</v>
      </c>
      <c r="F13" t="s">
        <v>342</v>
      </c>
      <c r="G13" t="s">
        <v>152</v>
      </c>
      <c r="H13" t="s">
        <v>153</v>
      </c>
      <c r="I13" t="s">
        <v>154</v>
      </c>
      <c r="J13">
        <v>19970228</v>
      </c>
    </row>
    <row r="14" spans="1:10">
      <c r="A14" t="s">
        <v>343</v>
      </c>
      <c r="B14">
        <v>703</v>
      </c>
      <c r="C14" t="s">
        <v>344</v>
      </c>
      <c r="D14" t="s">
        <v>345</v>
      </c>
      <c r="E14" t="s">
        <v>24</v>
      </c>
      <c r="F14" t="s">
        <v>346</v>
      </c>
      <c r="G14" t="s">
        <v>152</v>
      </c>
      <c r="H14" t="s">
        <v>153</v>
      </c>
      <c r="I14" t="s">
        <v>154</v>
      </c>
      <c r="J14">
        <v>19970328</v>
      </c>
    </row>
    <row r="15" spans="1:10">
      <c r="A15" t="s">
        <v>347</v>
      </c>
      <c r="B15">
        <v>707</v>
      </c>
      <c r="C15" t="s">
        <v>348</v>
      </c>
      <c r="D15" t="s">
        <v>316</v>
      </c>
      <c r="E15" t="s">
        <v>14</v>
      </c>
      <c r="F15" t="s">
        <v>349</v>
      </c>
      <c r="G15" t="s">
        <v>152</v>
      </c>
      <c r="H15" t="s">
        <v>153</v>
      </c>
      <c r="I15" t="s">
        <v>154</v>
      </c>
      <c r="J15">
        <v>19970415</v>
      </c>
    </row>
    <row r="16" spans="1:10">
      <c r="A16" t="s">
        <v>350</v>
      </c>
      <c r="B16">
        <v>726</v>
      </c>
      <c r="C16" t="s">
        <v>351</v>
      </c>
      <c r="D16" t="s">
        <v>198</v>
      </c>
      <c r="E16" t="s">
        <v>33</v>
      </c>
      <c r="F16" t="s">
        <v>352</v>
      </c>
      <c r="G16" t="s">
        <v>152</v>
      </c>
      <c r="H16" t="s">
        <v>153</v>
      </c>
      <c r="I16" t="s">
        <v>154</v>
      </c>
      <c r="J16">
        <v>20001225</v>
      </c>
    </row>
    <row r="17" spans="1:10">
      <c r="A17" t="s">
        <v>353</v>
      </c>
      <c r="B17">
        <v>731</v>
      </c>
      <c r="C17" t="s">
        <v>354</v>
      </c>
      <c r="D17" t="s">
        <v>219</v>
      </c>
      <c r="E17" t="s">
        <v>47</v>
      </c>
      <c r="F17" t="s">
        <v>355</v>
      </c>
      <c r="G17" t="s">
        <v>152</v>
      </c>
      <c r="H17" t="s">
        <v>153</v>
      </c>
      <c r="I17" t="s">
        <v>154</v>
      </c>
      <c r="J17">
        <v>19970617</v>
      </c>
    </row>
    <row r="18" spans="1:10">
      <c r="A18" t="s">
        <v>356</v>
      </c>
      <c r="B18">
        <v>782</v>
      </c>
      <c r="C18" t="s">
        <v>357</v>
      </c>
      <c r="D18" t="s">
        <v>223</v>
      </c>
      <c r="E18" t="s">
        <v>24</v>
      </c>
      <c r="F18" t="s">
        <v>358</v>
      </c>
      <c r="G18" t="s">
        <v>152</v>
      </c>
      <c r="H18" t="s">
        <v>153</v>
      </c>
      <c r="I18" t="s">
        <v>154</v>
      </c>
      <c r="J18">
        <v>19970619</v>
      </c>
    </row>
    <row r="19" spans="1:10">
      <c r="A19" t="s">
        <v>359</v>
      </c>
      <c r="B19">
        <v>792</v>
      </c>
      <c r="C19" t="s">
        <v>360</v>
      </c>
      <c r="D19" t="s">
        <v>308</v>
      </c>
      <c r="E19" t="s">
        <v>47</v>
      </c>
      <c r="F19" t="s">
        <v>361</v>
      </c>
      <c r="G19" t="s">
        <v>152</v>
      </c>
      <c r="H19" t="s">
        <v>153</v>
      </c>
      <c r="I19" t="s">
        <v>154</v>
      </c>
      <c r="J19">
        <v>19970904</v>
      </c>
    </row>
    <row r="20" spans="1:10">
      <c r="A20" t="s">
        <v>362</v>
      </c>
      <c r="B20">
        <v>818</v>
      </c>
      <c r="C20" t="s">
        <v>363</v>
      </c>
      <c r="D20" t="s">
        <v>236</v>
      </c>
      <c r="E20" t="s">
        <v>14</v>
      </c>
      <c r="F20" t="s">
        <v>364</v>
      </c>
      <c r="G20" t="s">
        <v>152</v>
      </c>
      <c r="H20" t="s">
        <v>153</v>
      </c>
      <c r="I20" t="s">
        <v>154</v>
      </c>
      <c r="J20">
        <v>19971017</v>
      </c>
    </row>
    <row r="21" spans="1:10">
      <c r="A21" t="s">
        <v>365</v>
      </c>
      <c r="B21">
        <v>822</v>
      </c>
      <c r="C21" t="s">
        <v>366</v>
      </c>
      <c r="D21" t="s">
        <v>198</v>
      </c>
      <c r="E21" t="s">
        <v>14</v>
      </c>
      <c r="F21" t="s">
        <v>367</v>
      </c>
      <c r="G21" t="s">
        <v>152</v>
      </c>
      <c r="H21" t="s">
        <v>153</v>
      </c>
      <c r="I21" t="s">
        <v>154</v>
      </c>
      <c r="J21">
        <v>19980703</v>
      </c>
    </row>
    <row r="22" spans="1:10">
      <c r="A22" t="s">
        <v>368</v>
      </c>
      <c r="B22">
        <v>830</v>
      </c>
      <c r="C22" t="s">
        <v>369</v>
      </c>
      <c r="D22" t="s">
        <v>198</v>
      </c>
      <c r="E22" t="s">
        <v>47</v>
      </c>
      <c r="F22" t="s">
        <v>370</v>
      </c>
      <c r="G22" t="s">
        <v>152</v>
      </c>
      <c r="H22" t="s">
        <v>153</v>
      </c>
      <c r="I22" t="s">
        <v>154</v>
      </c>
      <c r="J22">
        <v>19980807</v>
      </c>
    </row>
    <row r="23" spans="1:10">
      <c r="A23" t="s">
        <v>371</v>
      </c>
      <c r="B23">
        <v>850</v>
      </c>
      <c r="C23" t="s">
        <v>372</v>
      </c>
      <c r="D23" t="s">
        <v>160</v>
      </c>
      <c r="E23" t="s">
        <v>33</v>
      </c>
      <c r="F23" t="s">
        <v>373</v>
      </c>
      <c r="G23" t="s">
        <v>152</v>
      </c>
      <c r="H23" t="s">
        <v>153</v>
      </c>
      <c r="I23" t="s">
        <v>154</v>
      </c>
      <c r="J23">
        <v>19981007</v>
      </c>
    </row>
    <row r="24" spans="1:10">
      <c r="A24" t="s">
        <v>374</v>
      </c>
      <c r="B24">
        <v>859</v>
      </c>
      <c r="C24" t="s">
        <v>375</v>
      </c>
      <c r="D24" t="s">
        <v>160</v>
      </c>
      <c r="E24" t="s">
        <v>40</v>
      </c>
      <c r="F24" t="s">
        <v>376</v>
      </c>
      <c r="G24" t="s">
        <v>152</v>
      </c>
      <c r="H24" t="s">
        <v>153</v>
      </c>
      <c r="I24" t="s">
        <v>154</v>
      </c>
      <c r="J24">
        <v>19981119</v>
      </c>
    </row>
    <row r="25" spans="1:10">
      <c r="A25" t="s">
        <v>377</v>
      </c>
      <c r="B25">
        <v>893</v>
      </c>
      <c r="C25" t="s">
        <v>378</v>
      </c>
      <c r="D25" t="s">
        <v>223</v>
      </c>
      <c r="E25" t="s">
        <v>47</v>
      </c>
      <c r="F25" t="s">
        <v>379</v>
      </c>
      <c r="G25" t="s">
        <v>152</v>
      </c>
      <c r="H25" t="s">
        <v>153</v>
      </c>
      <c r="I25" t="s">
        <v>154</v>
      </c>
      <c r="J25">
        <v>19981224</v>
      </c>
    </row>
    <row r="26" spans="1:10">
      <c r="A26" t="s">
        <v>380</v>
      </c>
      <c r="B26">
        <v>902</v>
      </c>
      <c r="C26" t="s">
        <v>381</v>
      </c>
      <c r="D26" t="s">
        <v>316</v>
      </c>
      <c r="E26" t="s">
        <v>47</v>
      </c>
      <c r="F26" t="s">
        <v>382</v>
      </c>
      <c r="G26" t="s">
        <v>152</v>
      </c>
      <c r="H26" t="s">
        <v>153</v>
      </c>
      <c r="I26" t="s">
        <v>154</v>
      </c>
      <c r="J26">
        <v>19990408</v>
      </c>
    </row>
    <row r="27" spans="1:10">
      <c r="A27" t="s">
        <v>383</v>
      </c>
      <c r="B27">
        <v>912</v>
      </c>
      <c r="C27" t="s">
        <v>384</v>
      </c>
      <c r="D27" t="s">
        <v>219</v>
      </c>
      <c r="E27" t="s">
        <v>47</v>
      </c>
      <c r="F27" t="s">
        <v>385</v>
      </c>
      <c r="G27" t="s">
        <v>152</v>
      </c>
      <c r="H27" t="s">
        <v>153</v>
      </c>
      <c r="I27" t="s">
        <v>154</v>
      </c>
      <c r="J27">
        <v>19990603</v>
      </c>
    </row>
    <row r="28" spans="1:10">
      <c r="A28" t="s">
        <v>386</v>
      </c>
      <c r="B28">
        <v>936</v>
      </c>
      <c r="C28" t="s">
        <v>387</v>
      </c>
      <c r="D28" t="s">
        <v>212</v>
      </c>
      <c r="E28" t="s">
        <v>24</v>
      </c>
      <c r="F28" t="s">
        <v>388</v>
      </c>
      <c r="G28" t="s">
        <v>152</v>
      </c>
      <c r="H28" t="s">
        <v>153</v>
      </c>
      <c r="I28" t="s">
        <v>154</v>
      </c>
      <c r="J28">
        <v>19990810</v>
      </c>
    </row>
    <row r="29" spans="1:10">
      <c r="A29" t="s">
        <v>389</v>
      </c>
      <c r="B29">
        <v>949</v>
      </c>
      <c r="C29" t="s">
        <v>390</v>
      </c>
      <c r="D29" t="s">
        <v>292</v>
      </c>
      <c r="E29" t="s">
        <v>24</v>
      </c>
      <c r="F29" t="s">
        <v>391</v>
      </c>
      <c r="G29" t="s">
        <v>152</v>
      </c>
      <c r="H29" t="s">
        <v>153</v>
      </c>
      <c r="I29" t="s">
        <v>154</v>
      </c>
      <c r="J29">
        <v>19991021</v>
      </c>
    </row>
    <row r="30" spans="1:10">
      <c r="A30" t="s">
        <v>392</v>
      </c>
      <c r="B30">
        <v>955</v>
      </c>
      <c r="C30" t="s">
        <v>393</v>
      </c>
      <c r="D30" t="s">
        <v>250</v>
      </c>
      <c r="E30" t="s">
        <v>33</v>
      </c>
      <c r="F30" t="s">
        <v>394</v>
      </c>
      <c r="G30" t="s">
        <v>152</v>
      </c>
      <c r="H30" t="s">
        <v>153</v>
      </c>
      <c r="I30" t="s">
        <v>154</v>
      </c>
      <c r="J30">
        <v>19991209</v>
      </c>
    </row>
    <row r="31" spans="1:10">
      <c r="A31" t="s">
        <v>395</v>
      </c>
      <c r="B31">
        <v>973</v>
      </c>
      <c r="C31" t="s">
        <v>396</v>
      </c>
      <c r="D31" t="s">
        <v>223</v>
      </c>
      <c r="E31" t="s">
        <v>40</v>
      </c>
      <c r="F31" t="s">
        <v>397</v>
      </c>
      <c r="G31" t="s">
        <v>152</v>
      </c>
      <c r="H31" t="s">
        <v>153</v>
      </c>
      <c r="I31" t="s">
        <v>154</v>
      </c>
      <c r="J31">
        <v>20000525</v>
      </c>
    </row>
    <row r="32" spans="1:10">
      <c r="A32" t="s">
        <v>398</v>
      </c>
      <c r="B32">
        <v>982</v>
      </c>
      <c r="C32" t="s">
        <v>399</v>
      </c>
      <c r="D32" t="s">
        <v>332</v>
      </c>
      <c r="E32" t="s">
        <v>33</v>
      </c>
      <c r="F32" t="s">
        <v>400</v>
      </c>
      <c r="G32" t="s">
        <v>152</v>
      </c>
      <c r="H32" t="s">
        <v>153</v>
      </c>
      <c r="I32" t="s">
        <v>154</v>
      </c>
      <c r="J32">
        <v>20000706</v>
      </c>
    </row>
    <row r="33" spans="1:10">
      <c r="A33" t="s">
        <v>401</v>
      </c>
      <c r="B33">
        <v>985</v>
      </c>
      <c r="C33" t="s">
        <v>402</v>
      </c>
      <c r="D33" t="s">
        <v>194</v>
      </c>
      <c r="E33" t="s">
        <v>14</v>
      </c>
      <c r="F33" t="s">
        <v>403</v>
      </c>
      <c r="G33" t="s">
        <v>152</v>
      </c>
      <c r="H33" t="s">
        <v>153</v>
      </c>
      <c r="I33" t="s">
        <v>154</v>
      </c>
      <c r="J33">
        <v>20000726</v>
      </c>
    </row>
    <row r="34" spans="1:10">
      <c r="A34" t="s">
        <v>404</v>
      </c>
      <c r="B34">
        <v>990</v>
      </c>
      <c r="C34" t="s">
        <v>405</v>
      </c>
      <c r="D34" t="s">
        <v>406</v>
      </c>
      <c r="E34" t="s">
        <v>14</v>
      </c>
      <c r="F34" t="s">
        <v>407</v>
      </c>
      <c r="G34" t="s">
        <v>152</v>
      </c>
      <c r="H34" t="s">
        <v>153</v>
      </c>
      <c r="I34" t="s">
        <v>154</v>
      </c>
      <c r="J34">
        <v>20000706</v>
      </c>
    </row>
    <row r="35" spans="1:10">
      <c r="A35" t="s">
        <v>408</v>
      </c>
      <c r="B35">
        <v>1207</v>
      </c>
      <c r="C35" t="s">
        <v>409</v>
      </c>
      <c r="D35" t="s">
        <v>198</v>
      </c>
      <c r="E35" t="s">
        <v>14</v>
      </c>
      <c r="F35" t="s">
        <v>410</v>
      </c>
      <c r="G35" t="s">
        <v>152</v>
      </c>
      <c r="H35" t="s">
        <v>153</v>
      </c>
      <c r="I35" t="s">
        <v>154</v>
      </c>
      <c r="J35">
        <v>20210623</v>
      </c>
    </row>
    <row r="36" spans="1:10">
      <c r="A36" t="s">
        <v>411</v>
      </c>
      <c r="B36">
        <v>1217</v>
      </c>
      <c r="C36" t="s">
        <v>412</v>
      </c>
      <c r="D36" t="s">
        <v>160</v>
      </c>
      <c r="E36" t="s">
        <v>14</v>
      </c>
      <c r="F36" t="s">
        <v>413</v>
      </c>
      <c r="G36" t="s">
        <v>152</v>
      </c>
      <c r="H36" t="s">
        <v>153</v>
      </c>
      <c r="I36" t="s">
        <v>154</v>
      </c>
      <c r="J36">
        <v>20210929</v>
      </c>
    </row>
    <row r="37" spans="1:10">
      <c r="A37" t="s">
        <v>414</v>
      </c>
      <c r="B37">
        <v>1218</v>
      </c>
      <c r="C37" t="s">
        <v>415</v>
      </c>
      <c r="D37" t="s">
        <v>168</v>
      </c>
      <c r="E37" t="s">
        <v>14</v>
      </c>
      <c r="F37" t="s">
        <v>416</v>
      </c>
      <c r="G37" t="s">
        <v>152</v>
      </c>
      <c r="H37" t="s">
        <v>153</v>
      </c>
      <c r="I37" t="s">
        <v>154</v>
      </c>
      <c r="J37">
        <v>20211015</v>
      </c>
    </row>
    <row r="38" spans="1:10">
      <c r="A38" t="s">
        <v>417</v>
      </c>
      <c r="B38">
        <v>1231</v>
      </c>
      <c r="C38" t="s">
        <v>418</v>
      </c>
      <c r="D38" t="s">
        <v>419</v>
      </c>
      <c r="E38" t="s">
        <v>47</v>
      </c>
      <c r="F38" t="s">
        <v>420</v>
      </c>
      <c r="G38" t="s">
        <v>152</v>
      </c>
      <c r="H38" t="s">
        <v>153</v>
      </c>
      <c r="I38" t="s">
        <v>154</v>
      </c>
      <c r="J38">
        <v>20220819</v>
      </c>
    </row>
    <row r="39" spans="1:10">
      <c r="A39" t="s">
        <v>421</v>
      </c>
      <c r="B39">
        <v>1255</v>
      </c>
      <c r="C39" t="s">
        <v>422</v>
      </c>
      <c r="D39" t="s">
        <v>423</v>
      </c>
      <c r="E39" t="s">
        <v>14</v>
      </c>
      <c r="F39" t="s">
        <v>424</v>
      </c>
      <c r="G39" t="s">
        <v>152</v>
      </c>
      <c r="H39" t="s">
        <v>153</v>
      </c>
      <c r="I39" t="s">
        <v>154</v>
      </c>
      <c r="J39">
        <v>20220930</v>
      </c>
    </row>
    <row r="40" spans="1:10">
      <c r="A40" t="s">
        <v>425</v>
      </c>
      <c r="B40">
        <v>1333</v>
      </c>
      <c r="C40" t="s">
        <v>426</v>
      </c>
      <c r="D40" t="s">
        <v>423</v>
      </c>
      <c r="E40" t="s">
        <v>14</v>
      </c>
      <c r="F40" t="s">
        <v>427</v>
      </c>
      <c r="G40" t="s">
        <v>152</v>
      </c>
      <c r="H40" t="s">
        <v>153</v>
      </c>
      <c r="I40" t="s">
        <v>154</v>
      </c>
      <c r="J40">
        <v>20221208</v>
      </c>
    </row>
    <row r="41" spans="1:10">
      <c r="A41" t="s">
        <v>428</v>
      </c>
      <c r="B41">
        <v>600063</v>
      </c>
      <c r="C41" t="s">
        <v>429</v>
      </c>
      <c r="D41" t="s">
        <v>160</v>
      </c>
      <c r="E41" t="s">
        <v>24</v>
      </c>
      <c r="F41" t="s">
        <v>430</v>
      </c>
      <c r="G41" t="s">
        <v>152</v>
      </c>
      <c r="H41" t="s">
        <v>174</v>
      </c>
      <c r="I41" t="s">
        <v>154</v>
      </c>
      <c r="J41">
        <v>19970528</v>
      </c>
    </row>
    <row r="42" spans="1:10">
      <c r="A42" t="s">
        <v>431</v>
      </c>
      <c r="B42">
        <v>600075</v>
      </c>
      <c r="C42" t="s">
        <v>432</v>
      </c>
      <c r="D42" t="s">
        <v>202</v>
      </c>
      <c r="E42" t="s">
        <v>14</v>
      </c>
      <c r="F42" t="s">
        <v>433</v>
      </c>
      <c r="G42" t="s">
        <v>152</v>
      </c>
      <c r="H42" t="s">
        <v>174</v>
      </c>
      <c r="I42" t="s">
        <v>154</v>
      </c>
      <c r="J42">
        <v>19970617</v>
      </c>
    </row>
    <row r="43" spans="1:10">
      <c r="A43" t="s">
        <v>434</v>
      </c>
      <c r="B43">
        <v>600078</v>
      </c>
      <c r="C43" t="s">
        <v>435</v>
      </c>
      <c r="D43" t="s">
        <v>212</v>
      </c>
      <c r="E43" t="s">
        <v>14</v>
      </c>
      <c r="F43" t="s">
        <v>436</v>
      </c>
      <c r="G43" t="s">
        <v>152</v>
      </c>
      <c r="H43" t="s">
        <v>174</v>
      </c>
      <c r="I43" t="s">
        <v>154</v>
      </c>
      <c r="J43">
        <v>19970627</v>
      </c>
    </row>
    <row r="44" spans="1:10">
      <c r="A44" t="s">
        <v>437</v>
      </c>
      <c r="B44">
        <v>600096</v>
      </c>
      <c r="C44" t="s">
        <v>438</v>
      </c>
      <c r="D44" t="s">
        <v>184</v>
      </c>
      <c r="E44" t="s">
        <v>47</v>
      </c>
      <c r="F44" t="s">
        <v>439</v>
      </c>
      <c r="G44" t="s">
        <v>152</v>
      </c>
      <c r="H44" t="s">
        <v>174</v>
      </c>
      <c r="I44" t="s">
        <v>154</v>
      </c>
      <c r="J44">
        <v>19970709</v>
      </c>
    </row>
    <row r="45" spans="1:10">
      <c r="A45" t="s">
        <v>440</v>
      </c>
      <c r="B45">
        <v>600135</v>
      </c>
      <c r="C45" t="s">
        <v>441</v>
      </c>
      <c r="D45" t="s">
        <v>279</v>
      </c>
      <c r="E45" t="s">
        <v>14</v>
      </c>
      <c r="F45" t="s">
        <v>442</v>
      </c>
      <c r="G45" t="s">
        <v>152</v>
      </c>
      <c r="H45" t="s">
        <v>174</v>
      </c>
      <c r="I45" t="s">
        <v>154</v>
      </c>
      <c r="J45">
        <v>19980122</v>
      </c>
    </row>
    <row r="46" spans="1:10">
      <c r="A46" t="s">
        <v>443</v>
      </c>
      <c r="B46">
        <v>600141</v>
      </c>
      <c r="C46" t="s">
        <v>444</v>
      </c>
      <c r="D46" t="s">
        <v>316</v>
      </c>
      <c r="E46" t="s">
        <v>47</v>
      </c>
      <c r="F46" t="s">
        <v>445</v>
      </c>
      <c r="G46" t="s">
        <v>152</v>
      </c>
      <c r="H46" t="s">
        <v>174</v>
      </c>
      <c r="I46" t="s">
        <v>154</v>
      </c>
      <c r="J46">
        <v>19990616</v>
      </c>
    </row>
    <row r="47" spans="1:10">
      <c r="A47" t="s">
        <v>446</v>
      </c>
      <c r="B47">
        <v>600143</v>
      </c>
      <c r="C47" t="s">
        <v>447</v>
      </c>
      <c r="D47" t="s">
        <v>223</v>
      </c>
      <c r="E47" t="s">
        <v>40</v>
      </c>
      <c r="F47" t="s">
        <v>448</v>
      </c>
      <c r="G47" t="s">
        <v>152</v>
      </c>
      <c r="H47" t="s">
        <v>174</v>
      </c>
      <c r="I47" t="s">
        <v>154</v>
      </c>
      <c r="J47">
        <v>20040623</v>
      </c>
    </row>
    <row r="48" spans="1:10">
      <c r="A48" t="s">
        <v>449</v>
      </c>
      <c r="B48">
        <v>600156</v>
      </c>
      <c r="C48" t="s">
        <v>450</v>
      </c>
      <c r="D48" t="s">
        <v>168</v>
      </c>
      <c r="E48" t="s">
        <v>33</v>
      </c>
      <c r="F48" t="s">
        <v>451</v>
      </c>
      <c r="G48" t="s">
        <v>152</v>
      </c>
      <c r="H48" t="s">
        <v>174</v>
      </c>
      <c r="I48" t="s">
        <v>154</v>
      </c>
      <c r="J48">
        <v>19980527</v>
      </c>
    </row>
    <row r="49" spans="1:10">
      <c r="A49" t="s">
        <v>452</v>
      </c>
      <c r="B49">
        <v>600160</v>
      </c>
      <c r="C49" t="s">
        <v>453</v>
      </c>
      <c r="D49" t="s">
        <v>423</v>
      </c>
      <c r="E49" t="s">
        <v>14</v>
      </c>
      <c r="F49" t="s">
        <v>454</v>
      </c>
      <c r="G49" t="s">
        <v>152</v>
      </c>
      <c r="H49" t="s">
        <v>174</v>
      </c>
      <c r="I49" t="s">
        <v>154</v>
      </c>
      <c r="J49">
        <v>19980626</v>
      </c>
    </row>
    <row r="50" spans="1:10">
      <c r="A50" t="s">
        <v>455</v>
      </c>
      <c r="B50">
        <v>600165</v>
      </c>
      <c r="C50" t="s">
        <v>456</v>
      </c>
      <c r="D50" t="s">
        <v>332</v>
      </c>
      <c r="E50" t="s">
        <v>14</v>
      </c>
      <c r="F50" t="s">
        <v>457</v>
      </c>
      <c r="G50" t="s">
        <v>152</v>
      </c>
      <c r="H50" t="s">
        <v>174</v>
      </c>
      <c r="I50" t="s">
        <v>154</v>
      </c>
      <c r="J50">
        <v>19980529</v>
      </c>
    </row>
    <row r="51" spans="1:10">
      <c r="A51" t="s">
        <v>458</v>
      </c>
      <c r="B51">
        <v>600220</v>
      </c>
      <c r="C51" t="s">
        <v>459</v>
      </c>
      <c r="D51" t="s">
        <v>212</v>
      </c>
      <c r="E51" t="s">
        <v>33</v>
      </c>
      <c r="F51" t="s">
        <v>460</v>
      </c>
      <c r="G51" t="s">
        <v>152</v>
      </c>
      <c r="H51" t="s">
        <v>174</v>
      </c>
      <c r="I51" t="s">
        <v>154</v>
      </c>
      <c r="J51">
        <v>19990927</v>
      </c>
    </row>
    <row r="52" spans="1:10">
      <c r="A52" t="s">
        <v>461</v>
      </c>
      <c r="B52">
        <v>600227</v>
      </c>
      <c r="C52" t="s">
        <v>462</v>
      </c>
      <c r="D52" t="s">
        <v>463</v>
      </c>
      <c r="E52" t="s">
        <v>47</v>
      </c>
      <c r="F52" t="s">
        <v>464</v>
      </c>
      <c r="G52" t="s">
        <v>152</v>
      </c>
      <c r="H52" t="s">
        <v>174</v>
      </c>
      <c r="I52" t="s">
        <v>154</v>
      </c>
      <c r="J52">
        <v>20000221</v>
      </c>
    </row>
    <row r="53" spans="1:10">
      <c r="A53" t="s">
        <v>465</v>
      </c>
      <c r="B53">
        <v>600230</v>
      </c>
      <c r="C53" t="s">
        <v>466</v>
      </c>
      <c r="D53" t="s">
        <v>279</v>
      </c>
      <c r="E53" t="s">
        <v>14</v>
      </c>
      <c r="F53" t="s">
        <v>467</v>
      </c>
      <c r="G53" t="s">
        <v>152</v>
      </c>
      <c r="H53" t="s">
        <v>174</v>
      </c>
      <c r="I53" t="s">
        <v>154</v>
      </c>
      <c r="J53">
        <v>20000406</v>
      </c>
    </row>
    <row r="54" spans="1:10">
      <c r="A54" t="s">
        <v>468</v>
      </c>
      <c r="B54">
        <v>600232</v>
      </c>
      <c r="C54" t="s">
        <v>469</v>
      </c>
      <c r="D54" t="s">
        <v>423</v>
      </c>
      <c r="E54" t="s">
        <v>33</v>
      </c>
      <c r="F54" t="s">
        <v>470</v>
      </c>
      <c r="G54" t="s">
        <v>152</v>
      </c>
      <c r="H54" t="s">
        <v>174</v>
      </c>
      <c r="I54" t="s">
        <v>154</v>
      </c>
      <c r="J54">
        <v>20000602</v>
      </c>
    </row>
    <row r="55" spans="1:10">
      <c r="A55" t="s">
        <v>471</v>
      </c>
      <c r="B55">
        <v>600273</v>
      </c>
      <c r="C55" t="s">
        <v>472</v>
      </c>
      <c r="D55" t="s">
        <v>423</v>
      </c>
      <c r="E55" t="s">
        <v>14</v>
      </c>
      <c r="F55" t="s">
        <v>473</v>
      </c>
      <c r="G55" t="s">
        <v>152</v>
      </c>
      <c r="H55" t="s">
        <v>174</v>
      </c>
      <c r="I55" t="s">
        <v>154</v>
      </c>
      <c r="J55">
        <v>20030627</v>
      </c>
    </row>
    <row r="56" spans="1:10">
      <c r="A56" t="s">
        <v>474</v>
      </c>
      <c r="B56">
        <v>600277</v>
      </c>
      <c r="C56" t="s">
        <v>475</v>
      </c>
      <c r="D56" t="s">
        <v>266</v>
      </c>
      <c r="E56" t="s">
        <v>14</v>
      </c>
      <c r="F56" t="s">
        <v>476</v>
      </c>
      <c r="G56" t="s">
        <v>152</v>
      </c>
      <c r="H56" t="s">
        <v>174</v>
      </c>
      <c r="I56" t="s">
        <v>154</v>
      </c>
      <c r="J56">
        <v>20000725</v>
      </c>
    </row>
    <row r="57" spans="1:10">
      <c r="A57" t="s">
        <v>477</v>
      </c>
      <c r="B57">
        <v>600309</v>
      </c>
      <c r="C57" t="s">
        <v>478</v>
      </c>
      <c r="D57" t="s">
        <v>198</v>
      </c>
      <c r="E57" t="s">
        <v>14</v>
      </c>
      <c r="F57" t="s">
        <v>479</v>
      </c>
      <c r="G57" t="s">
        <v>152</v>
      </c>
      <c r="H57" t="s">
        <v>174</v>
      </c>
      <c r="I57" t="s">
        <v>154</v>
      </c>
      <c r="J57">
        <v>20010105</v>
      </c>
    </row>
    <row r="58" spans="1:10">
      <c r="A58" t="s">
        <v>480</v>
      </c>
      <c r="B58">
        <v>600319</v>
      </c>
      <c r="C58" t="s">
        <v>481</v>
      </c>
      <c r="D58" t="s">
        <v>198</v>
      </c>
      <c r="E58" t="s">
        <v>14</v>
      </c>
      <c r="F58" t="s">
        <v>482</v>
      </c>
      <c r="G58" t="s">
        <v>152</v>
      </c>
      <c r="H58" t="s">
        <v>174</v>
      </c>
      <c r="I58" t="s">
        <v>154</v>
      </c>
      <c r="J58">
        <v>20010326</v>
      </c>
    </row>
    <row r="59" spans="1:10">
      <c r="A59" s="3" t="s">
        <v>483</v>
      </c>
      <c r="B59" s="3">
        <v>600328</v>
      </c>
      <c r="C59" s="3" t="s">
        <v>484</v>
      </c>
      <c r="D59" s="3" t="s">
        <v>266</v>
      </c>
      <c r="E59" s="3" t="s">
        <v>14</v>
      </c>
      <c r="F59" s="3" t="s">
        <v>485</v>
      </c>
      <c r="G59" s="3" t="s">
        <v>152</v>
      </c>
      <c r="H59" s="3" t="s">
        <v>174</v>
      </c>
      <c r="I59" s="3" t="s">
        <v>154</v>
      </c>
      <c r="J59" s="3">
        <v>20001222</v>
      </c>
    </row>
    <row r="60" spans="1:10">
      <c r="A60" t="s">
        <v>486</v>
      </c>
      <c r="B60">
        <v>600367</v>
      </c>
      <c r="C60" t="s">
        <v>487</v>
      </c>
      <c r="D60" t="s">
        <v>463</v>
      </c>
      <c r="E60" t="s">
        <v>14</v>
      </c>
      <c r="F60" t="s">
        <v>488</v>
      </c>
      <c r="G60" t="s">
        <v>152</v>
      </c>
      <c r="H60" t="s">
        <v>174</v>
      </c>
      <c r="I60" t="s">
        <v>154</v>
      </c>
      <c r="J60">
        <v>20010320</v>
      </c>
    </row>
    <row r="61" spans="1:10">
      <c r="A61" t="s">
        <v>489</v>
      </c>
      <c r="B61">
        <v>600370</v>
      </c>
      <c r="C61" t="s">
        <v>490</v>
      </c>
      <c r="D61" t="s">
        <v>212</v>
      </c>
      <c r="E61" t="s">
        <v>14</v>
      </c>
      <c r="F61" t="s">
        <v>491</v>
      </c>
      <c r="G61" t="s">
        <v>152</v>
      </c>
      <c r="H61" t="s">
        <v>174</v>
      </c>
      <c r="I61" t="s">
        <v>154</v>
      </c>
      <c r="J61">
        <v>20030306</v>
      </c>
    </row>
    <row r="62" spans="1:10">
      <c r="A62" t="s">
        <v>492</v>
      </c>
      <c r="B62">
        <v>600378</v>
      </c>
      <c r="C62" t="s">
        <v>493</v>
      </c>
      <c r="D62" t="s">
        <v>219</v>
      </c>
      <c r="E62" t="s">
        <v>14</v>
      </c>
      <c r="F62" t="s">
        <v>494</v>
      </c>
      <c r="G62" t="s">
        <v>152</v>
      </c>
      <c r="H62" t="s">
        <v>174</v>
      </c>
      <c r="I62" t="s">
        <v>154</v>
      </c>
      <c r="J62">
        <v>20010111</v>
      </c>
    </row>
    <row r="63" spans="1:10">
      <c r="A63" t="s">
        <v>495</v>
      </c>
      <c r="B63">
        <v>600389</v>
      </c>
      <c r="C63" t="s">
        <v>496</v>
      </c>
      <c r="D63" t="s">
        <v>212</v>
      </c>
      <c r="E63" t="s">
        <v>47</v>
      </c>
      <c r="F63" t="s">
        <v>497</v>
      </c>
      <c r="G63" t="s">
        <v>152</v>
      </c>
      <c r="H63" t="s">
        <v>174</v>
      </c>
      <c r="I63" t="s">
        <v>154</v>
      </c>
      <c r="J63">
        <v>20010110</v>
      </c>
    </row>
    <row r="64" spans="1:10">
      <c r="A64" t="s">
        <v>498</v>
      </c>
      <c r="B64">
        <v>600409</v>
      </c>
      <c r="C64" t="s">
        <v>499</v>
      </c>
      <c r="D64" t="s">
        <v>279</v>
      </c>
      <c r="E64" t="s">
        <v>24</v>
      </c>
      <c r="F64" t="s">
        <v>500</v>
      </c>
      <c r="G64" t="s">
        <v>152</v>
      </c>
      <c r="H64" t="s">
        <v>174</v>
      </c>
      <c r="I64" t="s">
        <v>154</v>
      </c>
      <c r="J64">
        <v>20030618</v>
      </c>
    </row>
    <row r="65" spans="1:10">
      <c r="A65" t="s">
        <v>501</v>
      </c>
      <c r="B65">
        <v>600423</v>
      </c>
      <c r="C65" t="s">
        <v>502</v>
      </c>
      <c r="D65" t="s">
        <v>345</v>
      </c>
      <c r="E65" t="s">
        <v>47</v>
      </c>
      <c r="F65" t="s">
        <v>503</v>
      </c>
      <c r="G65" t="s">
        <v>152</v>
      </c>
      <c r="H65" t="s">
        <v>174</v>
      </c>
      <c r="I65" t="s">
        <v>154</v>
      </c>
      <c r="J65">
        <v>20030717</v>
      </c>
    </row>
    <row r="66" spans="1:10">
      <c r="A66" t="s">
        <v>504</v>
      </c>
      <c r="B66">
        <v>600426</v>
      </c>
      <c r="C66" t="s">
        <v>505</v>
      </c>
      <c r="D66" t="s">
        <v>198</v>
      </c>
      <c r="E66" t="s">
        <v>47</v>
      </c>
      <c r="F66" t="s">
        <v>506</v>
      </c>
      <c r="G66" t="s">
        <v>152</v>
      </c>
      <c r="H66" t="s">
        <v>174</v>
      </c>
      <c r="I66" t="s">
        <v>154</v>
      </c>
      <c r="J66">
        <v>20020620</v>
      </c>
    </row>
    <row r="67" spans="1:10">
      <c r="A67" t="s">
        <v>507</v>
      </c>
      <c r="B67">
        <v>600448</v>
      </c>
      <c r="C67" t="s">
        <v>508</v>
      </c>
      <c r="D67" t="s">
        <v>198</v>
      </c>
      <c r="E67" t="s">
        <v>33</v>
      </c>
      <c r="F67" t="s">
        <v>509</v>
      </c>
      <c r="G67" t="s">
        <v>152</v>
      </c>
      <c r="H67" t="s">
        <v>174</v>
      </c>
      <c r="I67" t="s">
        <v>154</v>
      </c>
      <c r="J67">
        <v>20010903</v>
      </c>
    </row>
    <row r="68" spans="1:10">
      <c r="A68" t="s">
        <v>510</v>
      </c>
      <c r="B68">
        <v>600458</v>
      </c>
      <c r="C68" t="s">
        <v>511</v>
      </c>
      <c r="D68" t="s">
        <v>168</v>
      </c>
      <c r="E68" t="s">
        <v>40</v>
      </c>
      <c r="F68" t="s">
        <v>512</v>
      </c>
      <c r="G68" t="s">
        <v>152</v>
      </c>
      <c r="H68" t="s">
        <v>174</v>
      </c>
      <c r="I68" t="s">
        <v>154</v>
      </c>
      <c r="J68">
        <v>20021219</v>
      </c>
    </row>
    <row r="69" spans="1:10">
      <c r="A69" t="s">
        <v>513</v>
      </c>
      <c r="B69">
        <v>600470</v>
      </c>
      <c r="C69" t="s">
        <v>514</v>
      </c>
      <c r="D69" t="s">
        <v>160</v>
      </c>
      <c r="E69" t="s">
        <v>47</v>
      </c>
      <c r="F69" t="s">
        <v>515</v>
      </c>
      <c r="G69" t="s">
        <v>152</v>
      </c>
      <c r="H69" t="s">
        <v>174</v>
      </c>
      <c r="I69" t="s">
        <v>154</v>
      </c>
      <c r="J69">
        <v>20040305</v>
      </c>
    </row>
    <row r="70" spans="1:10">
      <c r="A70" t="s">
        <v>516</v>
      </c>
      <c r="B70">
        <v>600486</v>
      </c>
      <c r="C70" t="s">
        <v>517</v>
      </c>
      <c r="D70" t="s">
        <v>212</v>
      </c>
      <c r="E70" t="s">
        <v>47</v>
      </c>
      <c r="F70" t="s">
        <v>518</v>
      </c>
      <c r="G70" t="s">
        <v>152</v>
      </c>
      <c r="H70" t="s">
        <v>174</v>
      </c>
      <c r="I70" t="s">
        <v>154</v>
      </c>
      <c r="J70">
        <v>20020425</v>
      </c>
    </row>
    <row r="71" spans="1:10">
      <c r="A71" t="s">
        <v>519</v>
      </c>
      <c r="B71">
        <v>600493</v>
      </c>
      <c r="C71" t="s">
        <v>520</v>
      </c>
      <c r="D71" t="s">
        <v>150</v>
      </c>
      <c r="E71" t="s">
        <v>33</v>
      </c>
      <c r="F71" t="s">
        <v>521</v>
      </c>
      <c r="G71" t="s">
        <v>152</v>
      </c>
      <c r="H71" t="s">
        <v>174</v>
      </c>
      <c r="I71" t="s">
        <v>154</v>
      </c>
      <c r="J71">
        <v>20040421</v>
      </c>
    </row>
    <row r="72" spans="1:10">
      <c r="A72" t="s">
        <v>522</v>
      </c>
      <c r="B72">
        <v>600500</v>
      </c>
      <c r="C72" t="s">
        <v>523</v>
      </c>
      <c r="D72" t="s">
        <v>172</v>
      </c>
      <c r="E72" t="s">
        <v>40</v>
      </c>
      <c r="F72" t="s">
        <v>524</v>
      </c>
      <c r="G72" t="s">
        <v>152</v>
      </c>
      <c r="H72" t="s">
        <v>174</v>
      </c>
      <c r="I72" t="s">
        <v>154</v>
      </c>
      <c r="J72">
        <v>20000301</v>
      </c>
    </row>
    <row r="73" spans="1:10">
      <c r="A73" t="s">
        <v>525</v>
      </c>
      <c r="B73">
        <v>600506</v>
      </c>
      <c r="C73" t="s">
        <v>526</v>
      </c>
      <c r="D73" t="s">
        <v>202</v>
      </c>
      <c r="E73" t="s">
        <v>14</v>
      </c>
      <c r="F73" t="s">
        <v>527</v>
      </c>
      <c r="G73" t="s">
        <v>152</v>
      </c>
      <c r="H73" t="s">
        <v>174</v>
      </c>
      <c r="I73" t="s">
        <v>154</v>
      </c>
      <c r="J73">
        <v>20011226</v>
      </c>
    </row>
    <row r="74" spans="1:10">
      <c r="A74" t="s">
        <v>528</v>
      </c>
      <c r="B74">
        <v>600527</v>
      </c>
      <c r="C74" t="s">
        <v>529</v>
      </c>
      <c r="D74" t="s">
        <v>212</v>
      </c>
      <c r="E74" t="s">
        <v>24</v>
      </c>
      <c r="F74" t="s">
        <v>530</v>
      </c>
      <c r="G74" t="s">
        <v>152</v>
      </c>
      <c r="H74" t="s">
        <v>174</v>
      </c>
      <c r="I74" t="s">
        <v>154</v>
      </c>
      <c r="J74">
        <v>20031127</v>
      </c>
    </row>
    <row r="75" spans="1:10">
      <c r="A75" t="s">
        <v>531</v>
      </c>
      <c r="B75">
        <v>600589</v>
      </c>
      <c r="C75" t="s">
        <v>532</v>
      </c>
      <c r="D75" t="s">
        <v>223</v>
      </c>
      <c r="E75" t="s">
        <v>40</v>
      </c>
      <c r="F75" t="s">
        <v>533</v>
      </c>
      <c r="G75" t="s">
        <v>152</v>
      </c>
      <c r="H75" t="s">
        <v>174</v>
      </c>
      <c r="I75" t="s">
        <v>154</v>
      </c>
      <c r="J75">
        <v>20010612</v>
      </c>
    </row>
    <row r="76" spans="1:10">
      <c r="A76" t="s">
        <v>534</v>
      </c>
      <c r="B76">
        <v>600596</v>
      </c>
      <c r="C76" t="s">
        <v>535</v>
      </c>
      <c r="D76" t="s">
        <v>423</v>
      </c>
      <c r="E76" t="s">
        <v>14</v>
      </c>
      <c r="F76" t="s">
        <v>536</v>
      </c>
      <c r="G76" t="s">
        <v>152</v>
      </c>
      <c r="H76" t="s">
        <v>174</v>
      </c>
      <c r="I76" t="s">
        <v>154</v>
      </c>
      <c r="J76">
        <v>20010906</v>
      </c>
    </row>
    <row r="77" spans="1:10">
      <c r="A77" t="s">
        <v>537</v>
      </c>
      <c r="B77">
        <v>600599</v>
      </c>
      <c r="C77" t="s">
        <v>538</v>
      </c>
      <c r="D77" t="s">
        <v>168</v>
      </c>
      <c r="E77" t="s">
        <v>14</v>
      </c>
      <c r="F77" t="s">
        <v>539</v>
      </c>
      <c r="G77" t="s">
        <v>152</v>
      </c>
      <c r="H77" t="s">
        <v>174</v>
      </c>
      <c r="I77" t="s">
        <v>154</v>
      </c>
      <c r="J77">
        <v>20010828</v>
      </c>
    </row>
    <row r="78" spans="1:10">
      <c r="A78" t="s">
        <v>540</v>
      </c>
      <c r="B78">
        <v>600610</v>
      </c>
      <c r="C78" t="s">
        <v>541</v>
      </c>
      <c r="D78" t="s">
        <v>463</v>
      </c>
      <c r="E78" t="s">
        <v>14</v>
      </c>
      <c r="F78" t="s">
        <v>542</v>
      </c>
      <c r="G78" t="s">
        <v>152</v>
      </c>
      <c r="H78" t="s">
        <v>174</v>
      </c>
      <c r="I78" t="s">
        <v>154</v>
      </c>
      <c r="J78">
        <v>19920805</v>
      </c>
    </row>
    <row r="79" spans="1:10">
      <c r="A79" t="s">
        <v>543</v>
      </c>
      <c r="B79">
        <v>600618</v>
      </c>
      <c r="C79" t="s">
        <v>544</v>
      </c>
      <c r="D79" t="s">
        <v>172</v>
      </c>
      <c r="E79" t="s">
        <v>14</v>
      </c>
      <c r="F79" t="s">
        <v>545</v>
      </c>
      <c r="G79" t="s">
        <v>152</v>
      </c>
      <c r="H79" t="s">
        <v>174</v>
      </c>
      <c r="I79" t="s">
        <v>154</v>
      </c>
      <c r="J79">
        <v>19921113</v>
      </c>
    </row>
    <row r="80" spans="1:10">
      <c r="A80" t="s">
        <v>546</v>
      </c>
      <c r="B80">
        <v>600623</v>
      </c>
      <c r="C80" t="s">
        <v>547</v>
      </c>
      <c r="D80" t="s">
        <v>172</v>
      </c>
      <c r="E80" t="s">
        <v>14</v>
      </c>
      <c r="F80" t="s">
        <v>548</v>
      </c>
      <c r="G80" t="s">
        <v>152</v>
      </c>
      <c r="H80" t="s">
        <v>174</v>
      </c>
      <c r="I80" t="s">
        <v>154</v>
      </c>
      <c r="J80">
        <v>19921204</v>
      </c>
    </row>
    <row r="81" spans="1:10">
      <c r="A81" t="s">
        <v>549</v>
      </c>
      <c r="B81">
        <v>600630</v>
      </c>
      <c r="C81" t="s">
        <v>550</v>
      </c>
      <c r="D81" t="s">
        <v>172</v>
      </c>
      <c r="E81" t="s">
        <v>33</v>
      </c>
      <c r="F81" t="s">
        <v>551</v>
      </c>
      <c r="G81" t="s">
        <v>152</v>
      </c>
      <c r="H81" t="s">
        <v>174</v>
      </c>
      <c r="I81" t="s">
        <v>154</v>
      </c>
      <c r="J81">
        <v>19930209</v>
      </c>
    </row>
    <row r="82" spans="1:10">
      <c r="A82" t="s">
        <v>552</v>
      </c>
      <c r="B82">
        <v>600689</v>
      </c>
      <c r="C82" t="s">
        <v>553</v>
      </c>
      <c r="D82" t="s">
        <v>172</v>
      </c>
      <c r="E82" t="s">
        <v>33</v>
      </c>
      <c r="F82" t="s">
        <v>554</v>
      </c>
      <c r="G82" t="s">
        <v>152</v>
      </c>
      <c r="H82" t="s">
        <v>174</v>
      </c>
      <c r="I82" t="s">
        <v>154</v>
      </c>
      <c r="J82">
        <v>19931108</v>
      </c>
    </row>
    <row r="83" spans="1:10">
      <c r="A83" t="s">
        <v>555</v>
      </c>
      <c r="B83">
        <v>600691</v>
      </c>
      <c r="C83" t="s">
        <v>556</v>
      </c>
      <c r="D83" t="s">
        <v>557</v>
      </c>
      <c r="E83" t="s">
        <v>47</v>
      </c>
      <c r="F83" t="s">
        <v>558</v>
      </c>
      <c r="G83" t="s">
        <v>152</v>
      </c>
      <c r="H83" t="s">
        <v>174</v>
      </c>
      <c r="I83" t="s">
        <v>154</v>
      </c>
      <c r="J83">
        <v>19931119</v>
      </c>
    </row>
    <row r="84" spans="1:10">
      <c r="A84" t="s">
        <v>559</v>
      </c>
      <c r="B84">
        <v>600714</v>
      </c>
      <c r="C84" t="s">
        <v>560</v>
      </c>
      <c r="D84" t="s">
        <v>308</v>
      </c>
      <c r="E84" t="s">
        <v>14</v>
      </c>
      <c r="F84" t="s">
        <v>561</v>
      </c>
      <c r="G84" t="s">
        <v>152</v>
      </c>
      <c r="H84" t="s">
        <v>174</v>
      </c>
      <c r="I84" t="s">
        <v>154</v>
      </c>
      <c r="J84">
        <v>19960606</v>
      </c>
    </row>
    <row r="85" spans="1:10">
      <c r="A85" t="s">
        <v>562</v>
      </c>
      <c r="B85">
        <v>600722</v>
      </c>
      <c r="C85" t="s">
        <v>563</v>
      </c>
      <c r="D85" t="s">
        <v>279</v>
      </c>
      <c r="E85" t="s">
        <v>14</v>
      </c>
      <c r="F85" t="s">
        <v>564</v>
      </c>
      <c r="G85" t="s">
        <v>152</v>
      </c>
      <c r="H85" t="s">
        <v>174</v>
      </c>
      <c r="I85" t="s">
        <v>154</v>
      </c>
      <c r="J85">
        <v>19960626</v>
      </c>
    </row>
    <row r="86" spans="1:10">
      <c r="A86" t="s">
        <v>565</v>
      </c>
      <c r="B86">
        <v>600727</v>
      </c>
      <c r="C86" t="s">
        <v>566</v>
      </c>
      <c r="D86" t="s">
        <v>198</v>
      </c>
      <c r="E86" t="s">
        <v>14</v>
      </c>
      <c r="F86" t="s">
        <v>567</v>
      </c>
      <c r="G86" t="s">
        <v>152</v>
      </c>
      <c r="H86" t="s">
        <v>174</v>
      </c>
      <c r="I86" t="s">
        <v>154</v>
      </c>
      <c r="J86">
        <v>19960702</v>
      </c>
    </row>
    <row r="87" spans="1:10">
      <c r="A87" t="s">
        <v>568</v>
      </c>
      <c r="B87">
        <v>600731</v>
      </c>
      <c r="C87" t="s">
        <v>569</v>
      </c>
      <c r="D87" t="s">
        <v>168</v>
      </c>
      <c r="E87" t="s">
        <v>47</v>
      </c>
      <c r="F87" t="s">
        <v>570</v>
      </c>
      <c r="G87" t="s">
        <v>152</v>
      </c>
      <c r="H87" t="s">
        <v>174</v>
      </c>
      <c r="I87" t="s">
        <v>154</v>
      </c>
      <c r="J87">
        <v>19960802</v>
      </c>
    </row>
    <row r="88" spans="1:10">
      <c r="A88" t="s">
        <v>571</v>
      </c>
      <c r="B88">
        <v>600746</v>
      </c>
      <c r="C88" t="s">
        <v>572</v>
      </c>
      <c r="D88" t="s">
        <v>212</v>
      </c>
      <c r="E88" t="s">
        <v>14</v>
      </c>
      <c r="F88" t="s">
        <v>573</v>
      </c>
      <c r="G88" t="s">
        <v>152</v>
      </c>
      <c r="H88" t="s">
        <v>174</v>
      </c>
      <c r="I88" t="s">
        <v>154</v>
      </c>
      <c r="J88">
        <v>19960918</v>
      </c>
    </row>
    <row r="89" spans="1:10">
      <c r="A89" t="s">
        <v>574</v>
      </c>
      <c r="B89">
        <v>600800</v>
      </c>
      <c r="C89" t="s">
        <v>575</v>
      </c>
      <c r="D89" t="s">
        <v>576</v>
      </c>
      <c r="E89" t="s">
        <v>14</v>
      </c>
      <c r="F89" t="s">
        <v>577</v>
      </c>
      <c r="G89" t="s">
        <v>152</v>
      </c>
      <c r="H89" t="s">
        <v>174</v>
      </c>
      <c r="I89" t="s">
        <v>154</v>
      </c>
      <c r="J89">
        <v>19931206</v>
      </c>
    </row>
    <row r="90" spans="1:10">
      <c r="A90" t="s">
        <v>578</v>
      </c>
      <c r="B90">
        <v>600810</v>
      </c>
      <c r="C90" t="s">
        <v>579</v>
      </c>
      <c r="D90" t="s">
        <v>292</v>
      </c>
      <c r="E90" t="s">
        <v>24</v>
      </c>
      <c r="F90" t="s">
        <v>580</v>
      </c>
      <c r="G90" t="s">
        <v>152</v>
      </c>
      <c r="H90" t="s">
        <v>174</v>
      </c>
      <c r="I90" t="s">
        <v>154</v>
      </c>
      <c r="J90">
        <v>19940106</v>
      </c>
    </row>
    <row r="91" spans="1:10">
      <c r="A91" t="s">
        <v>581</v>
      </c>
      <c r="B91">
        <v>600844</v>
      </c>
      <c r="C91" t="s">
        <v>582</v>
      </c>
      <c r="D91" t="s">
        <v>212</v>
      </c>
      <c r="E91" t="s">
        <v>14</v>
      </c>
      <c r="F91" t="s">
        <v>583</v>
      </c>
      <c r="G91" t="s">
        <v>152</v>
      </c>
      <c r="H91" t="s">
        <v>174</v>
      </c>
      <c r="I91" t="s">
        <v>154</v>
      </c>
      <c r="J91">
        <v>19940311</v>
      </c>
    </row>
    <row r="92" spans="1:10">
      <c r="A92" s="1" t="s">
        <v>584</v>
      </c>
      <c r="B92" s="1">
        <v>600889</v>
      </c>
      <c r="C92" s="1" t="s">
        <v>585</v>
      </c>
      <c r="D92" s="1" t="s">
        <v>212</v>
      </c>
      <c r="E92" s="1" t="s">
        <v>24</v>
      </c>
      <c r="F92" s="1" t="s">
        <v>586</v>
      </c>
      <c r="G92" s="1" t="s">
        <v>152</v>
      </c>
      <c r="H92" s="1" t="s">
        <v>174</v>
      </c>
      <c r="I92" s="1" t="s">
        <v>154</v>
      </c>
      <c r="J92" s="1">
        <v>19960308</v>
      </c>
    </row>
    <row r="93" spans="1:10">
      <c r="A93" t="s">
        <v>587</v>
      </c>
      <c r="B93">
        <v>600935</v>
      </c>
      <c r="C93" t="s">
        <v>588</v>
      </c>
      <c r="D93" t="s">
        <v>160</v>
      </c>
      <c r="E93" t="s">
        <v>14</v>
      </c>
      <c r="F93" t="s">
        <v>589</v>
      </c>
      <c r="G93" t="s">
        <v>152</v>
      </c>
      <c r="H93" t="s">
        <v>174</v>
      </c>
      <c r="I93" t="s">
        <v>154</v>
      </c>
      <c r="J93">
        <v>20211126</v>
      </c>
    </row>
    <row r="94" spans="1:10">
      <c r="A94" t="s">
        <v>590</v>
      </c>
      <c r="B94">
        <v>600955</v>
      </c>
      <c r="C94" t="s">
        <v>591</v>
      </c>
      <c r="D94" t="s">
        <v>198</v>
      </c>
      <c r="E94" t="s">
        <v>14</v>
      </c>
      <c r="F94" t="s">
        <v>592</v>
      </c>
      <c r="G94" t="s">
        <v>152</v>
      </c>
      <c r="H94" t="s">
        <v>174</v>
      </c>
      <c r="I94" t="s">
        <v>154</v>
      </c>
      <c r="J94">
        <v>20210915</v>
      </c>
    </row>
    <row r="95" spans="1:10">
      <c r="A95" t="s">
        <v>593</v>
      </c>
      <c r="B95">
        <v>600987</v>
      </c>
      <c r="C95" t="s">
        <v>594</v>
      </c>
      <c r="D95" t="s">
        <v>423</v>
      </c>
      <c r="E95" t="s">
        <v>33</v>
      </c>
      <c r="F95" t="s">
        <v>595</v>
      </c>
      <c r="G95" t="s">
        <v>152</v>
      </c>
      <c r="H95" t="s">
        <v>174</v>
      </c>
      <c r="I95" t="s">
        <v>154</v>
      </c>
      <c r="J95">
        <v>20040809</v>
      </c>
    </row>
    <row r="96" spans="1:10">
      <c r="A96" t="s">
        <v>596</v>
      </c>
      <c r="B96">
        <v>600989</v>
      </c>
      <c r="C96" t="s">
        <v>597</v>
      </c>
      <c r="D96" t="s">
        <v>332</v>
      </c>
      <c r="E96" t="s">
        <v>14</v>
      </c>
      <c r="F96" t="s">
        <v>598</v>
      </c>
      <c r="G96" t="s">
        <v>152</v>
      </c>
      <c r="H96" t="s">
        <v>174</v>
      </c>
      <c r="I96" t="s">
        <v>154</v>
      </c>
      <c r="J96">
        <v>20190516</v>
      </c>
    </row>
    <row r="97" spans="1:10">
      <c r="A97" t="s">
        <v>599</v>
      </c>
      <c r="B97">
        <v>601208</v>
      </c>
      <c r="C97" t="s">
        <v>600</v>
      </c>
      <c r="D97" t="s">
        <v>219</v>
      </c>
      <c r="E97" t="s">
        <v>14</v>
      </c>
      <c r="F97" t="s">
        <v>601</v>
      </c>
      <c r="G97" t="s">
        <v>152</v>
      </c>
      <c r="H97" t="s">
        <v>174</v>
      </c>
      <c r="I97" t="s">
        <v>154</v>
      </c>
      <c r="J97">
        <v>20110520</v>
      </c>
    </row>
    <row r="98" spans="1:10">
      <c r="A98" t="s">
        <v>602</v>
      </c>
      <c r="B98">
        <v>601216</v>
      </c>
      <c r="C98" t="s">
        <v>603</v>
      </c>
      <c r="D98" t="s">
        <v>266</v>
      </c>
      <c r="E98" t="s">
        <v>14</v>
      </c>
      <c r="F98" t="s">
        <v>604</v>
      </c>
      <c r="G98" t="s">
        <v>152</v>
      </c>
      <c r="H98" t="s">
        <v>174</v>
      </c>
      <c r="I98" t="s">
        <v>154</v>
      </c>
      <c r="J98">
        <v>20110222</v>
      </c>
    </row>
    <row r="99" spans="1:10">
      <c r="A99" t="s">
        <v>605</v>
      </c>
      <c r="B99">
        <v>601233</v>
      </c>
      <c r="C99" t="s">
        <v>606</v>
      </c>
      <c r="D99" t="s">
        <v>423</v>
      </c>
      <c r="E99" t="s">
        <v>24</v>
      </c>
      <c r="F99" t="s">
        <v>607</v>
      </c>
      <c r="G99" t="s">
        <v>152</v>
      </c>
      <c r="H99" t="s">
        <v>174</v>
      </c>
      <c r="I99" t="s">
        <v>154</v>
      </c>
      <c r="J99">
        <v>20110518</v>
      </c>
    </row>
    <row r="100" spans="1:10">
      <c r="A100" t="s">
        <v>608</v>
      </c>
      <c r="B100">
        <v>601339</v>
      </c>
      <c r="C100" t="s">
        <v>609</v>
      </c>
      <c r="D100" t="s">
        <v>423</v>
      </c>
      <c r="E100" t="s">
        <v>33</v>
      </c>
      <c r="F100" t="s">
        <v>610</v>
      </c>
      <c r="G100" t="s">
        <v>152</v>
      </c>
      <c r="H100" t="s">
        <v>174</v>
      </c>
      <c r="I100" t="s">
        <v>154</v>
      </c>
      <c r="J100">
        <v>20120612</v>
      </c>
    </row>
    <row r="101" spans="1:10">
      <c r="A101" t="s">
        <v>611</v>
      </c>
      <c r="B101">
        <v>601568</v>
      </c>
      <c r="C101" t="s">
        <v>612</v>
      </c>
      <c r="D101" t="s">
        <v>419</v>
      </c>
      <c r="E101" t="s">
        <v>14</v>
      </c>
      <c r="F101" t="s">
        <v>613</v>
      </c>
      <c r="G101" t="s">
        <v>152</v>
      </c>
      <c r="H101" t="s">
        <v>174</v>
      </c>
      <c r="I101" t="s">
        <v>154</v>
      </c>
      <c r="J101">
        <v>20201020</v>
      </c>
    </row>
    <row r="102" spans="1:10">
      <c r="A102" t="s">
        <v>614</v>
      </c>
      <c r="B102">
        <v>601599</v>
      </c>
      <c r="C102" t="s">
        <v>615</v>
      </c>
      <c r="D102" t="s">
        <v>423</v>
      </c>
      <c r="E102" t="s">
        <v>33</v>
      </c>
      <c r="F102" t="s">
        <v>616</v>
      </c>
      <c r="G102" t="s">
        <v>152</v>
      </c>
      <c r="H102" t="s">
        <v>174</v>
      </c>
      <c r="I102" t="s">
        <v>154</v>
      </c>
      <c r="J102">
        <v>20110527</v>
      </c>
    </row>
    <row r="103" spans="1:10">
      <c r="A103" t="s">
        <v>617</v>
      </c>
      <c r="B103">
        <v>601678</v>
      </c>
      <c r="C103" t="s">
        <v>618</v>
      </c>
      <c r="D103" t="s">
        <v>198</v>
      </c>
      <c r="E103" t="s">
        <v>14</v>
      </c>
      <c r="F103" t="s">
        <v>619</v>
      </c>
      <c r="G103" t="s">
        <v>152</v>
      </c>
      <c r="H103" t="s">
        <v>174</v>
      </c>
      <c r="I103" t="s">
        <v>154</v>
      </c>
      <c r="J103">
        <v>20100223</v>
      </c>
    </row>
    <row r="104" spans="1:10">
      <c r="A104" t="s">
        <v>620</v>
      </c>
      <c r="B104">
        <v>603002</v>
      </c>
      <c r="C104" t="s">
        <v>621</v>
      </c>
      <c r="D104" t="s">
        <v>223</v>
      </c>
      <c r="E104" t="s">
        <v>14</v>
      </c>
      <c r="F104" t="s">
        <v>622</v>
      </c>
      <c r="G104" t="s">
        <v>152</v>
      </c>
      <c r="H104" t="s">
        <v>174</v>
      </c>
      <c r="I104" t="s">
        <v>154</v>
      </c>
      <c r="J104">
        <v>20120518</v>
      </c>
    </row>
    <row r="105" spans="1:10">
      <c r="A105" t="s">
        <v>623</v>
      </c>
      <c r="B105">
        <v>603010</v>
      </c>
      <c r="C105" t="s">
        <v>624</v>
      </c>
      <c r="D105" t="s">
        <v>423</v>
      </c>
      <c r="E105" t="s">
        <v>14</v>
      </c>
      <c r="F105" t="s">
        <v>625</v>
      </c>
      <c r="G105" t="s">
        <v>152</v>
      </c>
      <c r="H105" t="s">
        <v>174</v>
      </c>
      <c r="I105" t="s">
        <v>154</v>
      </c>
      <c r="J105">
        <v>20141010</v>
      </c>
    </row>
    <row r="106" spans="1:10">
      <c r="A106" t="s">
        <v>626</v>
      </c>
      <c r="B106">
        <v>603026</v>
      </c>
      <c r="C106" t="s">
        <v>627</v>
      </c>
      <c r="D106" t="s">
        <v>198</v>
      </c>
      <c r="E106" t="s">
        <v>14</v>
      </c>
      <c r="F106" t="s">
        <v>628</v>
      </c>
      <c r="G106" t="s">
        <v>152</v>
      </c>
      <c r="H106" t="s">
        <v>174</v>
      </c>
      <c r="I106" t="s">
        <v>154</v>
      </c>
      <c r="J106">
        <v>20150529</v>
      </c>
    </row>
    <row r="107" spans="1:10">
      <c r="A107" t="s">
        <v>629</v>
      </c>
      <c r="B107">
        <v>603041</v>
      </c>
      <c r="C107" t="s">
        <v>630</v>
      </c>
      <c r="D107" t="s">
        <v>212</v>
      </c>
      <c r="E107" t="s">
        <v>14</v>
      </c>
      <c r="F107" t="s">
        <v>631</v>
      </c>
      <c r="G107" t="s">
        <v>152</v>
      </c>
      <c r="H107" t="s">
        <v>174</v>
      </c>
      <c r="I107" t="s">
        <v>154</v>
      </c>
      <c r="J107">
        <v>20170330</v>
      </c>
    </row>
    <row r="108" spans="1:10">
      <c r="A108" t="s">
        <v>632</v>
      </c>
      <c r="B108">
        <v>603051</v>
      </c>
      <c r="C108" t="s">
        <v>633</v>
      </c>
      <c r="D108" t="s">
        <v>223</v>
      </c>
      <c r="E108" t="s">
        <v>40</v>
      </c>
      <c r="F108" t="s">
        <v>634</v>
      </c>
      <c r="G108" t="s">
        <v>152</v>
      </c>
      <c r="H108" t="s">
        <v>174</v>
      </c>
      <c r="I108" t="s">
        <v>154</v>
      </c>
      <c r="J108">
        <v>20220325</v>
      </c>
    </row>
    <row r="109" spans="1:10">
      <c r="A109" t="s">
        <v>635</v>
      </c>
      <c r="B109">
        <v>603055</v>
      </c>
      <c r="C109" t="s">
        <v>636</v>
      </c>
      <c r="D109" t="s">
        <v>423</v>
      </c>
      <c r="E109" t="s">
        <v>33</v>
      </c>
      <c r="F109" t="s">
        <v>637</v>
      </c>
      <c r="G109" t="s">
        <v>152</v>
      </c>
      <c r="H109" t="s">
        <v>174</v>
      </c>
      <c r="I109" t="s">
        <v>154</v>
      </c>
      <c r="J109">
        <v>20170921</v>
      </c>
    </row>
    <row r="110" spans="1:10">
      <c r="A110" t="s">
        <v>638</v>
      </c>
      <c r="B110">
        <v>603067</v>
      </c>
      <c r="C110" t="s">
        <v>639</v>
      </c>
      <c r="D110" t="s">
        <v>316</v>
      </c>
      <c r="E110" t="s">
        <v>14</v>
      </c>
      <c r="F110" t="s">
        <v>640</v>
      </c>
      <c r="G110" t="s">
        <v>152</v>
      </c>
      <c r="H110" t="s">
        <v>174</v>
      </c>
      <c r="I110" t="s">
        <v>154</v>
      </c>
      <c r="J110">
        <v>20160913</v>
      </c>
    </row>
    <row r="111" spans="1:10">
      <c r="A111" t="s">
        <v>641</v>
      </c>
      <c r="B111">
        <v>603077</v>
      </c>
      <c r="C111" t="s">
        <v>642</v>
      </c>
      <c r="D111" t="s">
        <v>219</v>
      </c>
      <c r="E111" t="s">
        <v>14</v>
      </c>
      <c r="F111" t="s">
        <v>643</v>
      </c>
      <c r="G111" t="s">
        <v>152</v>
      </c>
      <c r="H111" t="s">
        <v>174</v>
      </c>
      <c r="I111" t="s">
        <v>154</v>
      </c>
      <c r="J111">
        <v>20120731</v>
      </c>
    </row>
    <row r="112" spans="1:10">
      <c r="A112" t="s">
        <v>644</v>
      </c>
      <c r="B112">
        <v>603086</v>
      </c>
      <c r="C112" t="s">
        <v>645</v>
      </c>
      <c r="D112" t="s">
        <v>198</v>
      </c>
      <c r="E112" t="s">
        <v>47</v>
      </c>
      <c r="F112" t="s">
        <v>646</v>
      </c>
      <c r="G112" t="s">
        <v>152</v>
      </c>
      <c r="H112" t="s">
        <v>174</v>
      </c>
      <c r="I112" t="s">
        <v>154</v>
      </c>
      <c r="J112">
        <v>20170511</v>
      </c>
    </row>
    <row r="113" spans="1:10">
      <c r="A113" t="s">
        <v>647</v>
      </c>
      <c r="B113">
        <v>603130</v>
      </c>
      <c r="C113" t="s">
        <v>648</v>
      </c>
      <c r="D113" t="s">
        <v>423</v>
      </c>
      <c r="E113" t="s">
        <v>33</v>
      </c>
      <c r="F113" t="s">
        <v>649</v>
      </c>
      <c r="G113" t="s">
        <v>152</v>
      </c>
      <c r="H113" t="s">
        <v>174</v>
      </c>
      <c r="I113" t="s">
        <v>154</v>
      </c>
      <c r="J113">
        <v>20221118</v>
      </c>
    </row>
    <row r="114" spans="1:10">
      <c r="A114" t="s">
        <v>650</v>
      </c>
      <c r="B114">
        <v>603150</v>
      </c>
      <c r="C114" t="s">
        <v>651</v>
      </c>
      <c r="D114" t="s">
        <v>160</v>
      </c>
      <c r="E114" t="s">
        <v>40</v>
      </c>
      <c r="F114" t="s">
        <v>652</v>
      </c>
      <c r="G114" t="s">
        <v>152</v>
      </c>
      <c r="H114" t="s">
        <v>174</v>
      </c>
      <c r="I114" t="s">
        <v>154</v>
      </c>
      <c r="J114">
        <v>20220124</v>
      </c>
    </row>
    <row r="115" spans="1:10">
      <c r="A115" t="s">
        <v>653</v>
      </c>
      <c r="B115">
        <v>603155</v>
      </c>
      <c r="C115" t="s">
        <v>654</v>
      </c>
      <c r="D115" t="s">
        <v>212</v>
      </c>
      <c r="E115" t="s">
        <v>14</v>
      </c>
      <c r="F115" t="s">
        <v>655</v>
      </c>
      <c r="G115" t="s">
        <v>152</v>
      </c>
      <c r="H115" t="s">
        <v>174</v>
      </c>
      <c r="I115" t="s">
        <v>154</v>
      </c>
      <c r="J115">
        <v>20200901</v>
      </c>
    </row>
    <row r="116" spans="1:10">
      <c r="A116" t="s">
        <v>656</v>
      </c>
      <c r="B116">
        <v>603181</v>
      </c>
      <c r="C116" t="s">
        <v>657</v>
      </c>
      <c r="D116" t="s">
        <v>423</v>
      </c>
      <c r="E116" t="s">
        <v>14</v>
      </c>
      <c r="F116" t="s">
        <v>658</v>
      </c>
      <c r="G116" t="s">
        <v>152</v>
      </c>
      <c r="H116" t="s">
        <v>174</v>
      </c>
      <c r="I116" t="s">
        <v>154</v>
      </c>
      <c r="J116">
        <v>20170824</v>
      </c>
    </row>
    <row r="117" spans="1:10">
      <c r="A117" t="s">
        <v>659</v>
      </c>
      <c r="B117">
        <v>603192</v>
      </c>
      <c r="C117" t="s">
        <v>660</v>
      </c>
      <c r="D117" t="s">
        <v>172</v>
      </c>
      <c r="E117" t="s">
        <v>14</v>
      </c>
      <c r="F117" t="s">
        <v>661</v>
      </c>
      <c r="G117" t="s">
        <v>152</v>
      </c>
      <c r="H117" t="s">
        <v>174</v>
      </c>
      <c r="I117" t="s">
        <v>154</v>
      </c>
      <c r="J117">
        <v>20180828</v>
      </c>
    </row>
    <row r="118" spans="1:10">
      <c r="A118" t="s">
        <v>662</v>
      </c>
      <c r="B118">
        <v>603212</v>
      </c>
      <c r="C118" t="s">
        <v>663</v>
      </c>
      <c r="D118" t="s">
        <v>212</v>
      </c>
      <c r="E118" t="s">
        <v>40</v>
      </c>
      <c r="F118" t="s">
        <v>664</v>
      </c>
      <c r="G118" t="s">
        <v>152</v>
      </c>
      <c r="H118" t="s">
        <v>174</v>
      </c>
      <c r="I118" t="s">
        <v>154</v>
      </c>
      <c r="J118">
        <v>20200430</v>
      </c>
    </row>
    <row r="119" spans="1:10">
      <c r="A119" t="s">
        <v>665</v>
      </c>
      <c r="B119">
        <v>603213</v>
      </c>
      <c r="C119" t="s">
        <v>666</v>
      </c>
      <c r="D119" t="s">
        <v>423</v>
      </c>
      <c r="E119" t="s">
        <v>14</v>
      </c>
      <c r="F119" t="s">
        <v>667</v>
      </c>
      <c r="G119" t="s">
        <v>152</v>
      </c>
      <c r="H119" t="s">
        <v>174</v>
      </c>
      <c r="I119" t="s">
        <v>154</v>
      </c>
      <c r="J119">
        <v>20211111</v>
      </c>
    </row>
    <row r="120" spans="1:10">
      <c r="A120" t="s">
        <v>668</v>
      </c>
      <c r="B120">
        <v>603217</v>
      </c>
      <c r="C120" t="s">
        <v>669</v>
      </c>
      <c r="D120" t="s">
        <v>198</v>
      </c>
      <c r="E120" t="s">
        <v>14</v>
      </c>
      <c r="F120" t="s">
        <v>670</v>
      </c>
      <c r="G120" t="s">
        <v>152</v>
      </c>
      <c r="H120" t="s">
        <v>174</v>
      </c>
      <c r="I120" t="s">
        <v>154</v>
      </c>
      <c r="J120">
        <v>20190620</v>
      </c>
    </row>
    <row r="121" spans="1:10">
      <c r="A121" t="s">
        <v>671</v>
      </c>
      <c r="B121">
        <v>603225</v>
      </c>
      <c r="C121" t="s">
        <v>672</v>
      </c>
      <c r="D121" t="s">
        <v>423</v>
      </c>
      <c r="E121" t="s">
        <v>24</v>
      </c>
      <c r="F121" t="s">
        <v>673</v>
      </c>
      <c r="G121" t="s">
        <v>152</v>
      </c>
      <c r="H121" t="s">
        <v>174</v>
      </c>
      <c r="I121" t="s">
        <v>154</v>
      </c>
      <c r="J121">
        <v>20170418</v>
      </c>
    </row>
    <row r="122" spans="1:10">
      <c r="A122" t="s">
        <v>674</v>
      </c>
      <c r="B122">
        <v>603227</v>
      </c>
      <c r="C122" t="s">
        <v>675</v>
      </c>
      <c r="D122" t="s">
        <v>202</v>
      </c>
      <c r="E122" t="s">
        <v>14</v>
      </c>
      <c r="F122" t="s">
        <v>676</v>
      </c>
      <c r="G122" t="s">
        <v>152</v>
      </c>
      <c r="H122" t="s">
        <v>174</v>
      </c>
      <c r="I122" t="s">
        <v>154</v>
      </c>
      <c r="J122">
        <v>20150515</v>
      </c>
    </row>
    <row r="123" spans="1:10">
      <c r="A123" t="s">
        <v>677</v>
      </c>
      <c r="B123">
        <v>603238</v>
      </c>
      <c r="C123" t="s">
        <v>678</v>
      </c>
      <c r="D123" t="s">
        <v>423</v>
      </c>
      <c r="E123" t="s">
        <v>33</v>
      </c>
      <c r="F123" t="s">
        <v>679</v>
      </c>
      <c r="G123" t="s">
        <v>152</v>
      </c>
      <c r="H123" t="s">
        <v>174</v>
      </c>
      <c r="I123" t="s">
        <v>154</v>
      </c>
      <c r="J123">
        <v>20170222</v>
      </c>
    </row>
    <row r="124" spans="1:10">
      <c r="A124" t="s">
        <v>680</v>
      </c>
      <c r="B124">
        <v>603255</v>
      </c>
      <c r="C124" t="s">
        <v>681</v>
      </c>
      <c r="D124" t="s">
        <v>236</v>
      </c>
      <c r="E124" t="s">
        <v>14</v>
      </c>
      <c r="F124" t="s">
        <v>682</v>
      </c>
      <c r="G124" t="s">
        <v>152</v>
      </c>
      <c r="H124" t="s">
        <v>174</v>
      </c>
      <c r="I124" t="s">
        <v>154</v>
      </c>
      <c r="J124">
        <v>20220818</v>
      </c>
    </row>
    <row r="125" spans="1:10">
      <c r="A125" t="s">
        <v>683</v>
      </c>
      <c r="B125">
        <v>603260</v>
      </c>
      <c r="C125" t="s">
        <v>684</v>
      </c>
      <c r="D125" t="s">
        <v>423</v>
      </c>
      <c r="E125" t="s">
        <v>14</v>
      </c>
      <c r="F125" t="s">
        <v>685</v>
      </c>
      <c r="G125" t="s">
        <v>152</v>
      </c>
      <c r="H125" t="s">
        <v>174</v>
      </c>
      <c r="I125" t="s">
        <v>154</v>
      </c>
      <c r="J125">
        <v>20171030</v>
      </c>
    </row>
    <row r="126" spans="1:10">
      <c r="A126" t="s">
        <v>686</v>
      </c>
      <c r="B126">
        <v>603330</v>
      </c>
      <c r="C126" t="s">
        <v>687</v>
      </c>
      <c r="D126" t="s">
        <v>172</v>
      </c>
      <c r="E126" t="s">
        <v>40</v>
      </c>
      <c r="F126" t="s">
        <v>688</v>
      </c>
      <c r="G126" t="s">
        <v>152</v>
      </c>
      <c r="H126" t="s">
        <v>174</v>
      </c>
      <c r="I126" t="s">
        <v>154</v>
      </c>
      <c r="J126">
        <v>20170213</v>
      </c>
    </row>
    <row r="127" spans="1:10">
      <c r="A127" t="s">
        <v>689</v>
      </c>
      <c r="B127">
        <v>603332</v>
      </c>
      <c r="C127" t="s">
        <v>690</v>
      </c>
      <c r="D127" t="s">
        <v>212</v>
      </c>
      <c r="E127" t="s">
        <v>24</v>
      </c>
      <c r="F127" t="s">
        <v>691</v>
      </c>
      <c r="G127" t="s">
        <v>152</v>
      </c>
      <c r="H127" t="s">
        <v>174</v>
      </c>
      <c r="I127" t="s">
        <v>154</v>
      </c>
      <c r="J127">
        <v>20190117</v>
      </c>
    </row>
    <row r="128" spans="1:10">
      <c r="A128" t="s">
        <v>692</v>
      </c>
      <c r="B128">
        <v>603360</v>
      </c>
      <c r="C128" t="s">
        <v>693</v>
      </c>
      <c r="D128" t="s">
        <v>236</v>
      </c>
      <c r="E128" t="s">
        <v>47</v>
      </c>
      <c r="F128" t="s">
        <v>694</v>
      </c>
      <c r="G128" t="s">
        <v>152</v>
      </c>
      <c r="H128" t="s">
        <v>174</v>
      </c>
      <c r="I128" t="s">
        <v>154</v>
      </c>
      <c r="J128">
        <v>20170206</v>
      </c>
    </row>
    <row r="129" spans="1:10">
      <c r="A129" t="s">
        <v>695</v>
      </c>
      <c r="B129">
        <v>603365</v>
      </c>
      <c r="C129" t="s">
        <v>696</v>
      </c>
      <c r="D129" t="s">
        <v>172</v>
      </c>
      <c r="E129" t="s">
        <v>33</v>
      </c>
      <c r="F129" t="s">
        <v>697</v>
      </c>
      <c r="G129" t="s">
        <v>152</v>
      </c>
      <c r="H129" t="s">
        <v>174</v>
      </c>
      <c r="I129" t="s">
        <v>154</v>
      </c>
      <c r="J129">
        <v>20171120</v>
      </c>
    </row>
    <row r="130" spans="1:10">
      <c r="A130" t="s">
        <v>698</v>
      </c>
      <c r="B130">
        <v>603379</v>
      </c>
      <c r="C130" t="s">
        <v>699</v>
      </c>
      <c r="D130" t="s">
        <v>423</v>
      </c>
      <c r="E130" t="s">
        <v>14</v>
      </c>
      <c r="F130" t="s">
        <v>700</v>
      </c>
      <c r="G130" t="s">
        <v>152</v>
      </c>
      <c r="H130" t="s">
        <v>174</v>
      </c>
      <c r="I130" t="s">
        <v>154</v>
      </c>
      <c r="J130">
        <v>20190402</v>
      </c>
    </row>
    <row r="131" spans="1:10">
      <c r="A131" t="s">
        <v>701</v>
      </c>
      <c r="B131">
        <v>603505</v>
      </c>
      <c r="C131" t="s">
        <v>702</v>
      </c>
      <c r="D131" t="s">
        <v>423</v>
      </c>
      <c r="E131" t="s">
        <v>14</v>
      </c>
      <c r="F131" t="s">
        <v>703</v>
      </c>
      <c r="G131" t="s">
        <v>152</v>
      </c>
      <c r="H131" t="s">
        <v>174</v>
      </c>
      <c r="I131" t="s">
        <v>154</v>
      </c>
      <c r="J131">
        <v>20170503</v>
      </c>
    </row>
    <row r="132" spans="1:10">
      <c r="A132" t="s">
        <v>704</v>
      </c>
      <c r="B132">
        <v>603558</v>
      </c>
      <c r="C132" t="s">
        <v>705</v>
      </c>
      <c r="D132" t="s">
        <v>423</v>
      </c>
      <c r="E132" t="s">
        <v>33</v>
      </c>
      <c r="F132" t="s">
        <v>706</v>
      </c>
      <c r="G132" t="s">
        <v>152</v>
      </c>
      <c r="H132" t="s">
        <v>174</v>
      </c>
      <c r="I132" t="s">
        <v>154</v>
      </c>
      <c r="J132">
        <v>20150127</v>
      </c>
    </row>
    <row r="133" spans="1:10">
      <c r="A133" t="s">
        <v>707</v>
      </c>
      <c r="B133">
        <v>603580</v>
      </c>
      <c r="C133" t="s">
        <v>708</v>
      </c>
      <c r="D133" t="s">
        <v>172</v>
      </c>
      <c r="E133" t="s">
        <v>40</v>
      </c>
      <c r="F133" t="s">
        <v>709</v>
      </c>
      <c r="G133" t="s">
        <v>152</v>
      </c>
      <c r="H133" t="s">
        <v>174</v>
      </c>
      <c r="I133" t="s">
        <v>154</v>
      </c>
      <c r="J133">
        <v>20170525</v>
      </c>
    </row>
    <row r="134" spans="1:10">
      <c r="A134" t="s">
        <v>710</v>
      </c>
      <c r="B134">
        <v>603585</v>
      </c>
      <c r="C134" t="s">
        <v>711</v>
      </c>
      <c r="D134" t="s">
        <v>212</v>
      </c>
      <c r="E134" t="s">
        <v>47</v>
      </c>
      <c r="F134" t="s">
        <v>712</v>
      </c>
      <c r="G134" t="s">
        <v>152</v>
      </c>
      <c r="H134" t="s">
        <v>174</v>
      </c>
      <c r="I134" t="s">
        <v>154</v>
      </c>
      <c r="J134">
        <v>20161214</v>
      </c>
    </row>
    <row r="135" spans="1:10">
      <c r="A135" t="s">
        <v>713</v>
      </c>
      <c r="B135">
        <v>603599</v>
      </c>
      <c r="C135" t="s">
        <v>714</v>
      </c>
      <c r="D135" t="s">
        <v>160</v>
      </c>
      <c r="E135" t="s">
        <v>47</v>
      </c>
      <c r="F135" t="s">
        <v>715</v>
      </c>
      <c r="G135" t="s">
        <v>152</v>
      </c>
      <c r="H135" t="s">
        <v>174</v>
      </c>
      <c r="I135" t="s">
        <v>154</v>
      </c>
      <c r="J135">
        <v>20150513</v>
      </c>
    </row>
    <row r="136" spans="1:10">
      <c r="A136" t="s">
        <v>716</v>
      </c>
      <c r="B136">
        <v>603639</v>
      </c>
      <c r="C136" t="s">
        <v>717</v>
      </c>
      <c r="D136" t="s">
        <v>198</v>
      </c>
      <c r="E136" t="s">
        <v>47</v>
      </c>
      <c r="F136" t="s">
        <v>718</v>
      </c>
      <c r="G136" t="s">
        <v>152</v>
      </c>
      <c r="H136" t="s">
        <v>174</v>
      </c>
      <c r="I136" t="s">
        <v>154</v>
      </c>
      <c r="J136">
        <v>20170112</v>
      </c>
    </row>
    <row r="137" spans="1:10">
      <c r="A137" t="s">
        <v>719</v>
      </c>
      <c r="B137">
        <v>603650</v>
      </c>
      <c r="C137" t="s">
        <v>720</v>
      </c>
      <c r="D137" t="s">
        <v>172</v>
      </c>
      <c r="E137" t="s">
        <v>14</v>
      </c>
      <c r="F137" t="s">
        <v>721</v>
      </c>
      <c r="G137" t="s">
        <v>152</v>
      </c>
      <c r="H137" t="s">
        <v>174</v>
      </c>
      <c r="I137" t="s">
        <v>154</v>
      </c>
      <c r="J137">
        <v>20180627</v>
      </c>
    </row>
    <row r="138" spans="1:10">
      <c r="A138" t="s">
        <v>722</v>
      </c>
      <c r="B138">
        <v>603659</v>
      </c>
      <c r="C138" t="s">
        <v>723</v>
      </c>
      <c r="D138" t="s">
        <v>172</v>
      </c>
      <c r="E138" t="s">
        <v>14</v>
      </c>
      <c r="F138" t="s">
        <v>724</v>
      </c>
      <c r="G138" t="s">
        <v>152</v>
      </c>
      <c r="H138" t="s">
        <v>174</v>
      </c>
      <c r="I138" t="s">
        <v>154</v>
      </c>
      <c r="J138">
        <v>20171103</v>
      </c>
    </row>
    <row r="139" spans="1:10">
      <c r="A139" t="s">
        <v>725</v>
      </c>
      <c r="B139">
        <v>603665</v>
      </c>
      <c r="C139" t="s">
        <v>726</v>
      </c>
      <c r="D139" t="s">
        <v>423</v>
      </c>
      <c r="E139" t="s">
        <v>33</v>
      </c>
      <c r="F139" t="s">
        <v>727</v>
      </c>
      <c r="G139" t="s">
        <v>152</v>
      </c>
      <c r="H139" t="s">
        <v>174</v>
      </c>
      <c r="I139" t="s">
        <v>154</v>
      </c>
      <c r="J139">
        <v>20170313</v>
      </c>
    </row>
    <row r="140" spans="1:10">
      <c r="A140" t="s">
        <v>728</v>
      </c>
      <c r="B140">
        <v>603681</v>
      </c>
      <c r="C140" t="s">
        <v>729</v>
      </c>
      <c r="D140" t="s">
        <v>172</v>
      </c>
      <c r="E140" t="s">
        <v>14</v>
      </c>
      <c r="F140" t="s">
        <v>730</v>
      </c>
      <c r="G140" t="s">
        <v>152</v>
      </c>
      <c r="H140" t="s">
        <v>174</v>
      </c>
      <c r="I140" t="s">
        <v>154</v>
      </c>
      <c r="J140">
        <v>20190326</v>
      </c>
    </row>
    <row r="141" spans="1:10">
      <c r="A141" t="s">
        <v>731</v>
      </c>
      <c r="B141">
        <v>603683</v>
      </c>
      <c r="C141" t="s">
        <v>732</v>
      </c>
      <c r="D141" t="s">
        <v>172</v>
      </c>
      <c r="E141" t="s">
        <v>14</v>
      </c>
      <c r="F141" t="s">
        <v>733</v>
      </c>
      <c r="G141" t="s">
        <v>152</v>
      </c>
      <c r="H141" t="s">
        <v>174</v>
      </c>
      <c r="I141" t="s">
        <v>154</v>
      </c>
      <c r="J141">
        <v>20171020</v>
      </c>
    </row>
    <row r="142" spans="1:10">
      <c r="A142" t="s">
        <v>734</v>
      </c>
      <c r="B142">
        <v>603722</v>
      </c>
      <c r="C142" t="s">
        <v>735</v>
      </c>
      <c r="D142" t="s">
        <v>212</v>
      </c>
      <c r="E142" t="s">
        <v>14</v>
      </c>
      <c r="F142" t="s">
        <v>736</v>
      </c>
      <c r="G142" t="s">
        <v>152</v>
      </c>
      <c r="H142" t="s">
        <v>174</v>
      </c>
      <c r="I142" t="s">
        <v>154</v>
      </c>
      <c r="J142">
        <v>20171025</v>
      </c>
    </row>
    <row r="143" spans="1:10">
      <c r="A143" t="s">
        <v>737</v>
      </c>
      <c r="B143">
        <v>603725</v>
      </c>
      <c r="C143" t="s">
        <v>738</v>
      </c>
      <c r="D143" t="s">
        <v>223</v>
      </c>
      <c r="E143" t="s">
        <v>40</v>
      </c>
      <c r="F143" t="s">
        <v>739</v>
      </c>
      <c r="G143" t="s">
        <v>152</v>
      </c>
      <c r="H143" t="s">
        <v>174</v>
      </c>
      <c r="I143" t="s">
        <v>154</v>
      </c>
      <c r="J143">
        <v>20170906</v>
      </c>
    </row>
    <row r="144" spans="1:10">
      <c r="A144" t="s">
        <v>740</v>
      </c>
      <c r="B144">
        <v>603806</v>
      </c>
      <c r="C144" t="s">
        <v>741</v>
      </c>
      <c r="D144" t="s">
        <v>423</v>
      </c>
      <c r="E144" t="s">
        <v>40</v>
      </c>
      <c r="F144" t="s">
        <v>742</v>
      </c>
      <c r="G144" t="s">
        <v>152</v>
      </c>
      <c r="H144" t="s">
        <v>174</v>
      </c>
      <c r="I144" t="s">
        <v>154</v>
      </c>
      <c r="J144">
        <v>20140905</v>
      </c>
    </row>
    <row r="145" spans="1:10">
      <c r="A145" t="s">
        <v>743</v>
      </c>
      <c r="B145">
        <v>603810</v>
      </c>
      <c r="C145" t="s">
        <v>744</v>
      </c>
      <c r="D145" t="s">
        <v>212</v>
      </c>
      <c r="E145" t="s">
        <v>47</v>
      </c>
      <c r="F145" t="s">
        <v>745</v>
      </c>
      <c r="G145" t="s">
        <v>152</v>
      </c>
      <c r="H145" t="s">
        <v>174</v>
      </c>
      <c r="I145" t="s">
        <v>154</v>
      </c>
      <c r="J145">
        <v>20180917</v>
      </c>
    </row>
    <row r="146" spans="1:10">
      <c r="A146" t="s">
        <v>746</v>
      </c>
      <c r="B146">
        <v>603822</v>
      </c>
      <c r="C146" t="s">
        <v>747</v>
      </c>
      <c r="D146" t="s">
        <v>423</v>
      </c>
      <c r="E146" t="s">
        <v>14</v>
      </c>
      <c r="F146" t="s">
        <v>748</v>
      </c>
      <c r="G146" t="s">
        <v>152</v>
      </c>
      <c r="H146" t="s">
        <v>174</v>
      </c>
      <c r="I146" t="s">
        <v>154</v>
      </c>
      <c r="J146">
        <v>20160428</v>
      </c>
    </row>
    <row r="147" spans="1:10">
      <c r="A147" t="s">
        <v>749</v>
      </c>
      <c r="B147">
        <v>603856</v>
      </c>
      <c r="C147" t="s">
        <v>750</v>
      </c>
      <c r="D147" t="s">
        <v>198</v>
      </c>
      <c r="E147" t="s">
        <v>40</v>
      </c>
      <c r="F147" t="s">
        <v>751</v>
      </c>
      <c r="G147" t="s">
        <v>152</v>
      </c>
      <c r="H147" t="s">
        <v>174</v>
      </c>
      <c r="I147" t="s">
        <v>154</v>
      </c>
      <c r="J147">
        <v>20171106</v>
      </c>
    </row>
    <row r="148" spans="1:10">
      <c r="A148" t="s">
        <v>752</v>
      </c>
      <c r="B148">
        <v>603867</v>
      </c>
      <c r="C148" t="s">
        <v>753</v>
      </c>
      <c r="D148" t="s">
        <v>423</v>
      </c>
      <c r="E148" t="s">
        <v>14</v>
      </c>
      <c r="F148" t="s">
        <v>754</v>
      </c>
      <c r="G148" t="s">
        <v>152</v>
      </c>
      <c r="H148" t="s">
        <v>174</v>
      </c>
      <c r="I148" t="s">
        <v>154</v>
      </c>
      <c r="J148">
        <v>20190627</v>
      </c>
    </row>
    <row r="149" spans="1:10">
      <c r="A149" t="s">
        <v>755</v>
      </c>
      <c r="B149">
        <v>603879</v>
      </c>
      <c r="C149" t="s">
        <v>756</v>
      </c>
      <c r="D149" t="s">
        <v>212</v>
      </c>
      <c r="E149" t="s">
        <v>14</v>
      </c>
      <c r="F149" t="s">
        <v>757</v>
      </c>
      <c r="G149" t="s">
        <v>152</v>
      </c>
      <c r="H149" t="s">
        <v>174</v>
      </c>
      <c r="I149" t="s">
        <v>154</v>
      </c>
      <c r="J149">
        <v>20170614</v>
      </c>
    </row>
    <row r="150" spans="1:10">
      <c r="A150" t="s">
        <v>758</v>
      </c>
      <c r="B150">
        <v>603889</v>
      </c>
      <c r="C150" t="s">
        <v>759</v>
      </c>
      <c r="D150" t="s">
        <v>423</v>
      </c>
      <c r="E150" t="s">
        <v>33</v>
      </c>
      <c r="F150" t="s">
        <v>760</v>
      </c>
      <c r="G150" t="s">
        <v>152</v>
      </c>
      <c r="H150" t="s">
        <v>174</v>
      </c>
      <c r="I150" t="s">
        <v>154</v>
      </c>
      <c r="J150">
        <v>20141231</v>
      </c>
    </row>
    <row r="151" spans="1:10">
      <c r="A151" t="s">
        <v>761</v>
      </c>
      <c r="B151">
        <v>603906</v>
      </c>
      <c r="C151" t="s">
        <v>762</v>
      </c>
      <c r="D151" t="s">
        <v>212</v>
      </c>
      <c r="E151" t="s">
        <v>14</v>
      </c>
      <c r="F151" t="s">
        <v>763</v>
      </c>
      <c r="G151" t="s">
        <v>152</v>
      </c>
      <c r="H151" t="s">
        <v>174</v>
      </c>
      <c r="I151" t="s">
        <v>154</v>
      </c>
      <c r="J151">
        <v>20170410</v>
      </c>
    </row>
    <row r="152" spans="1:10">
      <c r="A152" t="s">
        <v>764</v>
      </c>
      <c r="B152">
        <v>603908</v>
      </c>
      <c r="C152" t="s">
        <v>765</v>
      </c>
      <c r="D152" t="s">
        <v>423</v>
      </c>
      <c r="E152" t="s">
        <v>33</v>
      </c>
      <c r="F152" t="s">
        <v>766</v>
      </c>
      <c r="G152" t="s">
        <v>152</v>
      </c>
      <c r="H152" t="s">
        <v>174</v>
      </c>
      <c r="I152" t="s">
        <v>154</v>
      </c>
      <c r="J152">
        <v>20170307</v>
      </c>
    </row>
    <row r="153" spans="1:10">
      <c r="A153" t="s">
        <v>767</v>
      </c>
      <c r="B153">
        <v>603916</v>
      </c>
      <c r="C153" t="s">
        <v>768</v>
      </c>
      <c r="D153" t="s">
        <v>212</v>
      </c>
      <c r="E153" t="s">
        <v>14</v>
      </c>
      <c r="F153" t="s">
        <v>769</v>
      </c>
      <c r="G153" t="s">
        <v>152</v>
      </c>
      <c r="H153" t="s">
        <v>174</v>
      </c>
      <c r="I153" t="s">
        <v>154</v>
      </c>
      <c r="J153">
        <v>20171110</v>
      </c>
    </row>
    <row r="154" spans="1:10">
      <c r="A154" t="s">
        <v>770</v>
      </c>
      <c r="B154">
        <v>603928</v>
      </c>
      <c r="C154" t="s">
        <v>771</v>
      </c>
      <c r="D154" t="s">
        <v>212</v>
      </c>
      <c r="E154" t="s">
        <v>14</v>
      </c>
      <c r="F154" t="s">
        <v>772</v>
      </c>
      <c r="G154" t="s">
        <v>152</v>
      </c>
      <c r="H154" t="s">
        <v>174</v>
      </c>
      <c r="I154" t="s">
        <v>154</v>
      </c>
      <c r="J154">
        <v>20161212</v>
      </c>
    </row>
    <row r="155" spans="1:10">
      <c r="A155" t="s">
        <v>773</v>
      </c>
      <c r="B155">
        <v>603931</v>
      </c>
      <c r="C155" t="s">
        <v>774</v>
      </c>
      <c r="D155" t="s">
        <v>423</v>
      </c>
      <c r="E155" t="s">
        <v>14</v>
      </c>
      <c r="F155" t="s">
        <v>775</v>
      </c>
      <c r="G155" t="s">
        <v>152</v>
      </c>
      <c r="H155" t="s">
        <v>174</v>
      </c>
      <c r="I155" t="s">
        <v>154</v>
      </c>
      <c r="J155">
        <v>20200819</v>
      </c>
    </row>
    <row r="156" spans="1:10">
      <c r="A156" t="s">
        <v>776</v>
      </c>
      <c r="B156">
        <v>603938</v>
      </c>
      <c r="C156" t="s">
        <v>777</v>
      </c>
      <c r="D156" t="s">
        <v>279</v>
      </c>
      <c r="E156" t="s">
        <v>14</v>
      </c>
      <c r="F156" t="s">
        <v>778</v>
      </c>
      <c r="G156" t="s">
        <v>152</v>
      </c>
      <c r="H156" t="s">
        <v>174</v>
      </c>
      <c r="I156" t="s">
        <v>154</v>
      </c>
      <c r="J156">
        <v>20170628</v>
      </c>
    </row>
    <row r="157" spans="1:10">
      <c r="A157" t="s">
        <v>779</v>
      </c>
      <c r="B157">
        <v>603948</v>
      </c>
      <c r="C157" t="s">
        <v>780</v>
      </c>
      <c r="D157" t="s">
        <v>423</v>
      </c>
      <c r="E157" t="s">
        <v>14</v>
      </c>
      <c r="F157" t="s">
        <v>781</v>
      </c>
      <c r="G157" t="s">
        <v>152</v>
      </c>
      <c r="H157" t="s">
        <v>174</v>
      </c>
      <c r="I157" t="s">
        <v>154</v>
      </c>
      <c r="J157">
        <v>20200302</v>
      </c>
    </row>
    <row r="158" spans="1:10">
      <c r="A158" t="s">
        <v>782</v>
      </c>
      <c r="B158">
        <v>603968</v>
      </c>
      <c r="C158" t="s">
        <v>783</v>
      </c>
      <c r="D158" t="s">
        <v>212</v>
      </c>
      <c r="E158" t="s">
        <v>14</v>
      </c>
      <c r="F158" t="s">
        <v>784</v>
      </c>
      <c r="G158" t="s">
        <v>152</v>
      </c>
      <c r="H158" t="s">
        <v>174</v>
      </c>
      <c r="I158" t="s">
        <v>154</v>
      </c>
      <c r="J158">
        <v>20150518</v>
      </c>
    </row>
    <row r="159" spans="1:10">
      <c r="A159" t="s">
        <v>785</v>
      </c>
      <c r="B159">
        <v>603970</v>
      </c>
      <c r="C159" t="s">
        <v>786</v>
      </c>
      <c r="D159" t="s">
        <v>164</v>
      </c>
      <c r="E159" t="s">
        <v>47</v>
      </c>
      <c r="F159" t="s">
        <v>787</v>
      </c>
      <c r="G159" t="s">
        <v>152</v>
      </c>
      <c r="H159" t="s">
        <v>174</v>
      </c>
      <c r="I159" t="s">
        <v>154</v>
      </c>
      <c r="J159">
        <v>20171116</v>
      </c>
    </row>
    <row r="160" spans="1:10">
      <c r="A160" t="s">
        <v>788</v>
      </c>
      <c r="B160">
        <v>603977</v>
      </c>
      <c r="C160" t="s">
        <v>789</v>
      </c>
      <c r="D160" t="s">
        <v>406</v>
      </c>
      <c r="E160" t="s">
        <v>14</v>
      </c>
      <c r="F160" t="s">
        <v>790</v>
      </c>
      <c r="G160" t="s">
        <v>152</v>
      </c>
      <c r="H160" t="s">
        <v>174</v>
      </c>
      <c r="I160" t="s">
        <v>154</v>
      </c>
      <c r="J160">
        <v>20161111</v>
      </c>
    </row>
    <row r="161" spans="1:10">
      <c r="A161" s="1" t="s">
        <v>791</v>
      </c>
      <c r="B161" s="1">
        <v>603991</v>
      </c>
      <c r="C161" s="1" t="s">
        <v>792</v>
      </c>
      <c r="D161" s="1" t="s">
        <v>243</v>
      </c>
      <c r="E161" s="1" t="s">
        <v>40</v>
      </c>
      <c r="F161" s="1" t="s">
        <v>793</v>
      </c>
      <c r="G161" s="1" t="s">
        <v>152</v>
      </c>
      <c r="H161" s="1" t="s">
        <v>174</v>
      </c>
      <c r="I161" s="1" t="s">
        <v>154</v>
      </c>
      <c r="J161" s="1">
        <v>20170308</v>
      </c>
    </row>
    <row r="162" spans="1:10">
      <c r="A162" t="s">
        <v>794</v>
      </c>
      <c r="B162">
        <v>605003</v>
      </c>
      <c r="C162" t="s">
        <v>795</v>
      </c>
      <c r="D162" t="s">
        <v>423</v>
      </c>
      <c r="E162" t="s">
        <v>33</v>
      </c>
      <c r="F162" t="s">
        <v>796</v>
      </c>
      <c r="G162" t="s">
        <v>152</v>
      </c>
      <c r="H162" t="s">
        <v>174</v>
      </c>
      <c r="I162" t="s">
        <v>154</v>
      </c>
      <c r="J162">
        <v>20200908</v>
      </c>
    </row>
    <row r="163" spans="1:10">
      <c r="A163" t="s">
        <v>797</v>
      </c>
      <c r="B163">
        <v>605020</v>
      </c>
      <c r="C163" t="s">
        <v>798</v>
      </c>
      <c r="D163" t="s">
        <v>423</v>
      </c>
      <c r="E163" t="s">
        <v>14</v>
      </c>
      <c r="F163" t="s">
        <v>799</v>
      </c>
      <c r="G163" t="s">
        <v>152</v>
      </c>
      <c r="H163" t="s">
        <v>174</v>
      </c>
      <c r="I163" t="s">
        <v>154</v>
      </c>
      <c r="J163">
        <v>20210709</v>
      </c>
    </row>
    <row r="164" spans="1:10">
      <c r="A164" t="s">
        <v>800</v>
      </c>
      <c r="B164">
        <v>605033</v>
      </c>
      <c r="C164" t="s">
        <v>801</v>
      </c>
      <c r="D164" t="s">
        <v>419</v>
      </c>
      <c r="E164" t="s">
        <v>47</v>
      </c>
      <c r="F164" t="s">
        <v>802</v>
      </c>
      <c r="G164" t="s">
        <v>152</v>
      </c>
      <c r="H164" t="s">
        <v>174</v>
      </c>
      <c r="I164" t="s">
        <v>154</v>
      </c>
      <c r="J164">
        <v>20210916</v>
      </c>
    </row>
    <row r="165" spans="1:10">
      <c r="A165" t="s">
        <v>803</v>
      </c>
      <c r="B165">
        <v>605055</v>
      </c>
      <c r="C165" t="s">
        <v>804</v>
      </c>
      <c r="D165" t="s">
        <v>423</v>
      </c>
      <c r="E165" t="s">
        <v>33</v>
      </c>
      <c r="F165" t="s">
        <v>805</v>
      </c>
      <c r="G165" t="s">
        <v>152</v>
      </c>
      <c r="H165" t="s">
        <v>174</v>
      </c>
      <c r="I165" t="s">
        <v>154</v>
      </c>
      <c r="J165">
        <v>20210129</v>
      </c>
    </row>
    <row r="166" spans="1:10">
      <c r="A166" t="s">
        <v>806</v>
      </c>
      <c r="B166">
        <v>605080</v>
      </c>
      <c r="C166" t="s">
        <v>807</v>
      </c>
      <c r="D166" t="s">
        <v>423</v>
      </c>
      <c r="E166" t="s">
        <v>33</v>
      </c>
      <c r="F166" t="s">
        <v>808</v>
      </c>
      <c r="G166" t="s">
        <v>152</v>
      </c>
      <c r="H166" t="s">
        <v>174</v>
      </c>
      <c r="I166" t="s">
        <v>154</v>
      </c>
      <c r="J166">
        <v>20210506</v>
      </c>
    </row>
    <row r="167" spans="1:10">
      <c r="A167" t="s">
        <v>809</v>
      </c>
      <c r="B167">
        <v>605166</v>
      </c>
      <c r="C167" t="s">
        <v>810</v>
      </c>
      <c r="D167" t="s">
        <v>423</v>
      </c>
      <c r="E167" t="s">
        <v>24</v>
      </c>
      <c r="F167" t="s">
        <v>811</v>
      </c>
      <c r="G167" t="s">
        <v>152</v>
      </c>
      <c r="H167" t="s">
        <v>174</v>
      </c>
      <c r="I167" t="s">
        <v>154</v>
      </c>
      <c r="J167">
        <v>20200618</v>
      </c>
    </row>
    <row r="168" spans="1:10">
      <c r="A168" t="s">
        <v>812</v>
      </c>
      <c r="B168">
        <v>605180</v>
      </c>
      <c r="C168" t="s">
        <v>813</v>
      </c>
      <c r="D168" t="s">
        <v>423</v>
      </c>
      <c r="E168" t="s">
        <v>33</v>
      </c>
      <c r="F168" t="s">
        <v>814</v>
      </c>
      <c r="G168" t="s">
        <v>152</v>
      </c>
      <c r="H168" t="s">
        <v>174</v>
      </c>
      <c r="I168" t="s">
        <v>154</v>
      </c>
      <c r="J168">
        <v>20210430</v>
      </c>
    </row>
    <row r="169" spans="1:10">
      <c r="A169" t="s">
        <v>815</v>
      </c>
      <c r="B169">
        <v>605183</v>
      </c>
      <c r="C169" t="s">
        <v>816</v>
      </c>
      <c r="D169" t="s">
        <v>212</v>
      </c>
      <c r="E169" t="s">
        <v>14</v>
      </c>
      <c r="F169" t="s">
        <v>817</v>
      </c>
      <c r="G169" t="s">
        <v>152</v>
      </c>
      <c r="H169" t="s">
        <v>174</v>
      </c>
      <c r="I169" t="s">
        <v>154</v>
      </c>
      <c r="J169">
        <v>20201207</v>
      </c>
    </row>
    <row r="170" spans="1:10">
      <c r="A170" t="s">
        <v>818</v>
      </c>
      <c r="B170">
        <v>605189</v>
      </c>
      <c r="C170" t="s">
        <v>819</v>
      </c>
      <c r="D170" t="s">
        <v>160</v>
      </c>
      <c r="E170" t="s">
        <v>33</v>
      </c>
      <c r="F170" t="s">
        <v>820</v>
      </c>
      <c r="G170" t="s">
        <v>152</v>
      </c>
      <c r="H170" t="s">
        <v>174</v>
      </c>
      <c r="I170" t="s">
        <v>154</v>
      </c>
      <c r="J170">
        <v>20210528</v>
      </c>
    </row>
    <row r="171" spans="1:10">
      <c r="A171" t="s">
        <v>821</v>
      </c>
      <c r="B171">
        <v>605366</v>
      </c>
      <c r="C171" t="s">
        <v>822</v>
      </c>
      <c r="D171" t="s">
        <v>406</v>
      </c>
      <c r="E171" t="s">
        <v>14</v>
      </c>
      <c r="F171" t="s">
        <v>823</v>
      </c>
      <c r="G171" t="s">
        <v>152</v>
      </c>
      <c r="H171" t="s">
        <v>174</v>
      </c>
      <c r="I171" t="s">
        <v>154</v>
      </c>
      <c r="J171">
        <v>20200812</v>
      </c>
    </row>
    <row r="172" spans="1:10">
      <c r="A172" t="s">
        <v>824</v>
      </c>
      <c r="B172">
        <v>605399</v>
      </c>
      <c r="C172" t="s">
        <v>825</v>
      </c>
      <c r="D172" t="s">
        <v>406</v>
      </c>
      <c r="E172" t="s">
        <v>14</v>
      </c>
      <c r="F172" t="s">
        <v>826</v>
      </c>
      <c r="G172" t="s">
        <v>152</v>
      </c>
      <c r="H172" t="s">
        <v>174</v>
      </c>
      <c r="I172" t="s">
        <v>154</v>
      </c>
      <c r="J172">
        <v>20200804</v>
      </c>
    </row>
    <row r="173" spans="1:10">
      <c r="A173" t="s">
        <v>827</v>
      </c>
      <c r="B173">
        <v>605488</v>
      </c>
      <c r="C173" t="s">
        <v>828</v>
      </c>
      <c r="D173" t="s">
        <v>423</v>
      </c>
      <c r="E173" t="s">
        <v>40</v>
      </c>
      <c r="F173" t="s">
        <v>829</v>
      </c>
      <c r="G173" t="s">
        <v>152</v>
      </c>
      <c r="H173" t="s">
        <v>174</v>
      </c>
      <c r="I173" t="s">
        <v>154</v>
      </c>
      <c r="J173">
        <v>20210513</v>
      </c>
    </row>
    <row r="174" spans="1:10">
      <c r="A174" t="s">
        <v>830</v>
      </c>
      <c r="B174">
        <v>605589</v>
      </c>
      <c r="C174" t="s">
        <v>831</v>
      </c>
      <c r="D174" t="s">
        <v>198</v>
      </c>
      <c r="E174" t="s">
        <v>14</v>
      </c>
      <c r="F174" t="s">
        <v>832</v>
      </c>
      <c r="G174" t="s">
        <v>152</v>
      </c>
      <c r="H174" t="s">
        <v>174</v>
      </c>
      <c r="I174" t="s">
        <v>154</v>
      </c>
      <c r="J174">
        <v>20210810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F25" sqref="F25"/>
    </sheetView>
  </sheetViews>
  <sheetFormatPr defaultColWidth="9" defaultRowHeight="13.5"/>
  <cols>
    <col min="1" max="1" width="17.375" customWidth="1"/>
    <col min="6" max="6" width="22.25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833</v>
      </c>
      <c r="B2">
        <v>655</v>
      </c>
      <c r="C2" t="s">
        <v>834</v>
      </c>
      <c r="D2" t="s">
        <v>198</v>
      </c>
      <c r="E2" t="s">
        <v>25</v>
      </c>
      <c r="F2" t="s">
        <v>835</v>
      </c>
      <c r="G2" t="s">
        <v>152</v>
      </c>
      <c r="H2" t="s">
        <v>153</v>
      </c>
      <c r="I2" t="s">
        <v>154</v>
      </c>
      <c r="J2">
        <v>19961128</v>
      </c>
    </row>
    <row r="3" spans="1:12">
      <c r="A3" s="3" t="s">
        <v>836</v>
      </c>
      <c r="B3" s="3">
        <v>708</v>
      </c>
      <c r="C3" s="3" t="s">
        <v>837</v>
      </c>
      <c r="D3" s="3" t="s">
        <v>316</v>
      </c>
      <c r="E3" s="3" t="s">
        <v>15</v>
      </c>
      <c r="F3" s="3" t="s">
        <v>838</v>
      </c>
      <c r="G3" s="3" t="s">
        <v>152</v>
      </c>
      <c r="H3" s="3" t="s">
        <v>153</v>
      </c>
      <c r="I3" s="3" t="s">
        <v>154</v>
      </c>
      <c r="J3" s="3">
        <v>19970326</v>
      </c>
      <c r="L3" s="5">
        <f ca="1">RAND()*43</f>
        <v>20.915704550305</v>
      </c>
    </row>
    <row r="4" spans="1:10">
      <c r="A4" t="s">
        <v>839</v>
      </c>
      <c r="B4">
        <v>709</v>
      </c>
      <c r="C4" t="s">
        <v>840</v>
      </c>
      <c r="D4" t="s">
        <v>279</v>
      </c>
      <c r="E4" t="s">
        <v>25</v>
      </c>
      <c r="F4" t="s">
        <v>841</v>
      </c>
      <c r="G4" t="s">
        <v>152</v>
      </c>
      <c r="H4" t="s">
        <v>153</v>
      </c>
      <c r="I4" t="s">
        <v>154</v>
      </c>
      <c r="J4">
        <v>19970416</v>
      </c>
    </row>
    <row r="5" spans="1:10">
      <c r="A5" t="s">
        <v>842</v>
      </c>
      <c r="B5">
        <v>717</v>
      </c>
      <c r="C5" t="s">
        <v>843</v>
      </c>
      <c r="D5" t="s">
        <v>223</v>
      </c>
      <c r="E5" t="s">
        <v>25</v>
      </c>
      <c r="F5" t="s">
        <v>844</v>
      </c>
      <c r="G5" t="s">
        <v>152</v>
      </c>
      <c r="H5" t="s">
        <v>153</v>
      </c>
      <c r="I5" t="s">
        <v>154</v>
      </c>
      <c r="J5">
        <v>19970508</v>
      </c>
    </row>
    <row r="6" spans="1:10">
      <c r="A6" t="s">
        <v>845</v>
      </c>
      <c r="B6">
        <v>761</v>
      </c>
      <c r="C6" t="s">
        <v>846</v>
      </c>
      <c r="D6" t="s">
        <v>236</v>
      </c>
      <c r="E6" t="s">
        <v>25</v>
      </c>
      <c r="F6" t="s">
        <v>847</v>
      </c>
      <c r="G6" t="s">
        <v>152</v>
      </c>
      <c r="H6" t="s">
        <v>153</v>
      </c>
      <c r="I6" t="s">
        <v>154</v>
      </c>
      <c r="J6">
        <v>19980115</v>
      </c>
    </row>
    <row r="7" spans="1:10">
      <c r="A7" t="s">
        <v>848</v>
      </c>
      <c r="B7">
        <v>778</v>
      </c>
      <c r="C7" t="s">
        <v>849</v>
      </c>
      <c r="D7" t="s">
        <v>279</v>
      </c>
      <c r="E7" t="s">
        <v>34</v>
      </c>
      <c r="F7" t="s">
        <v>850</v>
      </c>
      <c r="G7" t="s">
        <v>152</v>
      </c>
      <c r="H7" t="s">
        <v>153</v>
      </c>
      <c r="I7" t="s">
        <v>154</v>
      </c>
      <c r="J7">
        <v>19970606</v>
      </c>
    </row>
    <row r="8" spans="1:10">
      <c r="A8" t="s">
        <v>851</v>
      </c>
      <c r="B8">
        <v>825</v>
      </c>
      <c r="C8" t="s">
        <v>852</v>
      </c>
      <c r="D8" t="s">
        <v>557</v>
      </c>
      <c r="E8" t="s">
        <v>15</v>
      </c>
      <c r="F8" t="s">
        <v>853</v>
      </c>
      <c r="G8" t="s">
        <v>152</v>
      </c>
      <c r="H8" t="s">
        <v>153</v>
      </c>
      <c r="I8" t="s">
        <v>154</v>
      </c>
      <c r="J8">
        <v>19981021</v>
      </c>
    </row>
    <row r="9" spans="1:10">
      <c r="A9" t="s">
        <v>854</v>
      </c>
      <c r="B9">
        <v>890</v>
      </c>
      <c r="C9" t="s">
        <v>855</v>
      </c>
      <c r="D9" t="s">
        <v>212</v>
      </c>
      <c r="E9" t="s">
        <v>34</v>
      </c>
      <c r="F9" t="s">
        <v>856</v>
      </c>
      <c r="G9" t="s">
        <v>152</v>
      </c>
      <c r="H9" t="s">
        <v>153</v>
      </c>
      <c r="I9" t="s">
        <v>154</v>
      </c>
      <c r="J9">
        <v>19990119</v>
      </c>
    </row>
    <row r="10" spans="1:10">
      <c r="A10" t="s">
        <v>857</v>
      </c>
      <c r="B10">
        <v>898</v>
      </c>
      <c r="C10" t="s">
        <v>858</v>
      </c>
      <c r="D10" t="s">
        <v>236</v>
      </c>
      <c r="E10" t="s">
        <v>25</v>
      </c>
      <c r="F10" t="s">
        <v>859</v>
      </c>
      <c r="G10" t="s">
        <v>152</v>
      </c>
      <c r="H10" t="s">
        <v>153</v>
      </c>
      <c r="I10" t="s">
        <v>154</v>
      </c>
      <c r="J10">
        <v>19971225</v>
      </c>
    </row>
    <row r="11" spans="1:10">
      <c r="A11" t="s">
        <v>860</v>
      </c>
      <c r="B11">
        <v>923</v>
      </c>
      <c r="C11" t="s">
        <v>861</v>
      </c>
      <c r="D11" t="s">
        <v>279</v>
      </c>
      <c r="E11" t="s">
        <v>25</v>
      </c>
      <c r="F11" t="s">
        <v>862</v>
      </c>
      <c r="G11" t="s">
        <v>152</v>
      </c>
      <c r="H11" t="s">
        <v>153</v>
      </c>
      <c r="I11" t="s">
        <v>154</v>
      </c>
      <c r="J11">
        <v>19990714</v>
      </c>
    </row>
    <row r="12" spans="1:10">
      <c r="A12" t="s">
        <v>863</v>
      </c>
      <c r="B12">
        <v>932</v>
      </c>
      <c r="C12" t="s">
        <v>864</v>
      </c>
      <c r="D12" t="s">
        <v>168</v>
      </c>
      <c r="E12" t="s">
        <v>25</v>
      </c>
      <c r="F12" t="s">
        <v>865</v>
      </c>
      <c r="G12" t="s">
        <v>152</v>
      </c>
      <c r="H12" t="s">
        <v>153</v>
      </c>
      <c r="I12" t="s">
        <v>154</v>
      </c>
      <c r="J12">
        <v>19990803</v>
      </c>
    </row>
    <row r="13" spans="1:10">
      <c r="A13" t="s">
        <v>866</v>
      </c>
      <c r="B13">
        <v>959</v>
      </c>
      <c r="C13" t="s">
        <v>867</v>
      </c>
      <c r="D13" t="s">
        <v>164</v>
      </c>
      <c r="E13" t="s">
        <v>25</v>
      </c>
      <c r="F13" t="s">
        <v>868</v>
      </c>
      <c r="G13" t="s">
        <v>152</v>
      </c>
      <c r="H13" t="s">
        <v>153</v>
      </c>
      <c r="I13" t="s">
        <v>154</v>
      </c>
      <c r="J13">
        <v>19991216</v>
      </c>
    </row>
    <row r="14" spans="1:10">
      <c r="A14" t="s">
        <v>869</v>
      </c>
      <c r="B14">
        <v>1203</v>
      </c>
      <c r="C14" t="s">
        <v>870</v>
      </c>
      <c r="D14" t="s">
        <v>266</v>
      </c>
      <c r="E14" t="s">
        <v>25</v>
      </c>
      <c r="F14" t="s">
        <v>871</v>
      </c>
      <c r="G14" t="s">
        <v>152</v>
      </c>
      <c r="H14" t="s">
        <v>153</v>
      </c>
      <c r="I14" t="s">
        <v>154</v>
      </c>
      <c r="J14">
        <v>20210510</v>
      </c>
    </row>
    <row r="15" spans="1:10">
      <c r="A15" t="s">
        <v>872</v>
      </c>
      <c r="B15">
        <v>600010</v>
      </c>
      <c r="C15" t="s">
        <v>873</v>
      </c>
      <c r="D15" t="s">
        <v>266</v>
      </c>
      <c r="E15" t="s">
        <v>25</v>
      </c>
      <c r="F15" t="s">
        <v>874</v>
      </c>
      <c r="G15" t="s">
        <v>152</v>
      </c>
      <c r="H15" t="s">
        <v>174</v>
      </c>
      <c r="I15" t="s">
        <v>154</v>
      </c>
      <c r="J15">
        <v>20010309</v>
      </c>
    </row>
    <row r="16" spans="1:10">
      <c r="A16" t="s">
        <v>875</v>
      </c>
      <c r="B16">
        <v>600019</v>
      </c>
      <c r="C16" t="s">
        <v>876</v>
      </c>
      <c r="D16" t="s">
        <v>172</v>
      </c>
      <c r="E16" t="s">
        <v>25</v>
      </c>
      <c r="F16" t="s">
        <v>877</v>
      </c>
      <c r="G16" t="s">
        <v>152</v>
      </c>
      <c r="H16" t="s">
        <v>174</v>
      </c>
      <c r="I16" t="s">
        <v>154</v>
      </c>
      <c r="J16">
        <v>20001212</v>
      </c>
    </row>
    <row r="17" spans="1:10">
      <c r="A17" t="s">
        <v>878</v>
      </c>
      <c r="B17">
        <v>600022</v>
      </c>
      <c r="C17" t="s">
        <v>879</v>
      </c>
      <c r="D17" t="s">
        <v>198</v>
      </c>
      <c r="E17" t="s">
        <v>25</v>
      </c>
      <c r="F17" t="s">
        <v>880</v>
      </c>
      <c r="G17" t="s">
        <v>152</v>
      </c>
      <c r="H17" t="s">
        <v>174</v>
      </c>
      <c r="I17" t="s">
        <v>154</v>
      </c>
      <c r="J17">
        <v>20040629</v>
      </c>
    </row>
    <row r="18" spans="1:10">
      <c r="A18" s="1" t="s">
        <v>881</v>
      </c>
      <c r="B18" s="1">
        <v>600117</v>
      </c>
      <c r="C18" s="1" t="s">
        <v>882</v>
      </c>
      <c r="D18" s="1" t="s">
        <v>308</v>
      </c>
      <c r="E18" s="1" t="s">
        <v>15</v>
      </c>
      <c r="F18" s="1" t="s">
        <v>883</v>
      </c>
      <c r="G18" s="1" t="s">
        <v>152</v>
      </c>
      <c r="H18" s="1" t="s">
        <v>174</v>
      </c>
      <c r="I18" s="1" t="s">
        <v>154</v>
      </c>
      <c r="J18" s="1">
        <v>19971015</v>
      </c>
    </row>
    <row r="19" spans="1:10">
      <c r="A19" t="s">
        <v>884</v>
      </c>
      <c r="B19">
        <v>600126</v>
      </c>
      <c r="C19" t="s">
        <v>885</v>
      </c>
      <c r="D19" t="s">
        <v>423</v>
      </c>
      <c r="E19" t="s">
        <v>25</v>
      </c>
      <c r="F19" t="s">
        <v>886</v>
      </c>
      <c r="G19" t="s">
        <v>152</v>
      </c>
      <c r="H19" t="s">
        <v>174</v>
      </c>
      <c r="I19" t="s">
        <v>154</v>
      </c>
      <c r="J19">
        <v>19980311</v>
      </c>
    </row>
    <row r="20" spans="1:10">
      <c r="A20" t="s">
        <v>887</v>
      </c>
      <c r="B20">
        <v>600231</v>
      </c>
      <c r="C20" t="s">
        <v>888</v>
      </c>
      <c r="D20" t="s">
        <v>236</v>
      </c>
      <c r="E20" t="s">
        <v>25</v>
      </c>
      <c r="F20" t="s">
        <v>889</v>
      </c>
      <c r="G20" t="s">
        <v>152</v>
      </c>
      <c r="H20" t="s">
        <v>174</v>
      </c>
      <c r="I20" t="s">
        <v>154</v>
      </c>
      <c r="J20">
        <v>20000511</v>
      </c>
    </row>
    <row r="21" spans="1:10">
      <c r="A21" t="s">
        <v>890</v>
      </c>
      <c r="B21">
        <v>600282</v>
      </c>
      <c r="C21" t="s">
        <v>891</v>
      </c>
      <c r="D21" t="s">
        <v>212</v>
      </c>
      <c r="E21" t="s">
        <v>25</v>
      </c>
      <c r="F21" t="s">
        <v>892</v>
      </c>
      <c r="G21" t="s">
        <v>152</v>
      </c>
      <c r="H21" t="s">
        <v>174</v>
      </c>
      <c r="I21" t="s">
        <v>154</v>
      </c>
      <c r="J21">
        <v>20000919</v>
      </c>
    </row>
    <row r="22" spans="1:10">
      <c r="A22" t="s">
        <v>893</v>
      </c>
      <c r="B22">
        <v>600295</v>
      </c>
      <c r="C22" t="s">
        <v>894</v>
      </c>
      <c r="D22" t="s">
        <v>266</v>
      </c>
      <c r="E22" t="s">
        <v>15</v>
      </c>
      <c r="F22" t="s">
        <v>895</v>
      </c>
      <c r="G22" t="s">
        <v>152</v>
      </c>
      <c r="H22" t="s">
        <v>174</v>
      </c>
      <c r="I22" t="s">
        <v>154</v>
      </c>
      <c r="J22">
        <v>20010426</v>
      </c>
    </row>
    <row r="23" spans="1:10">
      <c r="A23" s="1" t="s">
        <v>896</v>
      </c>
      <c r="B23" s="1">
        <v>600307</v>
      </c>
      <c r="C23" s="1" t="s">
        <v>897</v>
      </c>
      <c r="D23" s="1" t="s">
        <v>177</v>
      </c>
      <c r="E23" s="1" t="s">
        <v>25</v>
      </c>
      <c r="F23" s="1" t="s">
        <v>898</v>
      </c>
      <c r="G23" s="1" t="s">
        <v>152</v>
      </c>
      <c r="H23" s="1" t="s">
        <v>174</v>
      </c>
      <c r="I23" s="1" t="s">
        <v>154</v>
      </c>
      <c r="J23" s="1">
        <v>20001220</v>
      </c>
    </row>
    <row r="24" spans="1:10">
      <c r="A24" t="s">
        <v>899</v>
      </c>
      <c r="B24">
        <v>600382</v>
      </c>
      <c r="C24" t="s">
        <v>900</v>
      </c>
      <c r="D24" t="s">
        <v>223</v>
      </c>
      <c r="E24" t="s">
        <v>25</v>
      </c>
      <c r="F24" t="s">
        <v>901</v>
      </c>
      <c r="G24" t="s">
        <v>152</v>
      </c>
      <c r="H24" t="s">
        <v>174</v>
      </c>
      <c r="I24" t="s">
        <v>154</v>
      </c>
      <c r="J24">
        <v>20010118</v>
      </c>
    </row>
    <row r="25" spans="1:10">
      <c r="A25" t="s">
        <v>902</v>
      </c>
      <c r="B25">
        <v>600399</v>
      </c>
      <c r="C25" t="s">
        <v>903</v>
      </c>
      <c r="D25" t="s">
        <v>236</v>
      </c>
      <c r="E25" t="s">
        <v>15</v>
      </c>
      <c r="F25" t="s">
        <v>904</v>
      </c>
      <c r="G25" t="s">
        <v>152</v>
      </c>
      <c r="H25" t="s">
        <v>174</v>
      </c>
      <c r="I25" t="s">
        <v>154</v>
      </c>
      <c r="J25">
        <v>20001229</v>
      </c>
    </row>
    <row r="26" spans="1:10">
      <c r="A26" t="s">
        <v>905</v>
      </c>
      <c r="B26">
        <v>600477</v>
      </c>
      <c r="C26" t="s">
        <v>906</v>
      </c>
      <c r="D26" t="s">
        <v>423</v>
      </c>
      <c r="E26" t="s">
        <v>34</v>
      </c>
      <c r="F26" t="s">
        <v>907</v>
      </c>
      <c r="G26" t="s">
        <v>152</v>
      </c>
      <c r="H26" t="s">
        <v>174</v>
      </c>
      <c r="I26" t="s">
        <v>154</v>
      </c>
      <c r="J26">
        <v>20031110</v>
      </c>
    </row>
    <row r="27" spans="1:10">
      <c r="A27" t="s">
        <v>908</v>
      </c>
      <c r="B27">
        <v>600496</v>
      </c>
      <c r="C27" t="s">
        <v>909</v>
      </c>
      <c r="D27" t="s">
        <v>160</v>
      </c>
      <c r="E27" t="s">
        <v>34</v>
      </c>
      <c r="F27" t="s">
        <v>910</v>
      </c>
      <c r="G27" t="s">
        <v>152</v>
      </c>
      <c r="H27" t="s">
        <v>174</v>
      </c>
      <c r="I27" t="s">
        <v>154</v>
      </c>
      <c r="J27">
        <v>20020605</v>
      </c>
    </row>
    <row r="28" spans="1:10">
      <c r="A28" t="s">
        <v>911</v>
      </c>
      <c r="B28">
        <v>600507</v>
      </c>
      <c r="C28" t="s">
        <v>912</v>
      </c>
      <c r="D28" t="s">
        <v>406</v>
      </c>
      <c r="E28" t="s">
        <v>15</v>
      </c>
      <c r="F28" t="s">
        <v>913</v>
      </c>
      <c r="G28" t="s">
        <v>152</v>
      </c>
      <c r="H28" t="s">
        <v>174</v>
      </c>
      <c r="I28" t="s">
        <v>154</v>
      </c>
      <c r="J28">
        <v>20030930</v>
      </c>
    </row>
    <row r="29" spans="1:10">
      <c r="A29" t="s">
        <v>914</v>
      </c>
      <c r="B29">
        <v>600558</v>
      </c>
      <c r="C29" t="s">
        <v>915</v>
      </c>
      <c r="D29" t="s">
        <v>219</v>
      </c>
      <c r="E29" t="s">
        <v>34</v>
      </c>
      <c r="F29" t="s">
        <v>916</v>
      </c>
      <c r="G29" t="s">
        <v>152</v>
      </c>
      <c r="H29" t="s">
        <v>174</v>
      </c>
      <c r="I29" t="s">
        <v>154</v>
      </c>
      <c r="J29">
        <v>20010227</v>
      </c>
    </row>
    <row r="30" spans="1:10">
      <c r="A30" t="s">
        <v>917</v>
      </c>
      <c r="B30">
        <v>600569</v>
      </c>
      <c r="C30" t="s">
        <v>918</v>
      </c>
      <c r="D30" t="s">
        <v>292</v>
      </c>
      <c r="E30" t="s">
        <v>25</v>
      </c>
      <c r="F30" t="s">
        <v>919</v>
      </c>
      <c r="G30" t="s">
        <v>152</v>
      </c>
      <c r="H30" t="s">
        <v>174</v>
      </c>
      <c r="I30" t="s">
        <v>154</v>
      </c>
      <c r="J30">
        <v>20010820</v>
      </c>
    </row>
    <row r="31" spans="1:10">
      <c r="A31" t="s">
        <v>920</v>
      </c>
      <c r="B31">
        <v>600581</v>
      </c>
      <c r="C31" t="s">
        <v>921</v>
      </c>
      <c r="D31" t="s">
        <v>202</v>
      </c>
      <c r="E31" t="s">
        <v>25</v>
      </c>
      <c r="F31" t="s">
        <v>922</v>
      </c>
      <c r="G31" t="s">
        <v>152</v>
      </c>
      <c r="H31" t="s">
        <v>174</v>
      </c>
      <c r="I31" t="s">
        <v>154</v>
      </c>
      <c r="J31">
        <v>20020816</v>
      </c>
    </row>
    <row r="32" spans="1:10">
      <c r="A32" t="s">
        <v>923</v>
      </c>
      <c r="B32">
        <v>600782</v>
      </c>
      <c r="C32" t="s">
        <v>924</v>
      </c>
      <c r="D32" t="s">
        <v>406</v>
      </c>
      <c r="E32" t="s">
        <v>25</v>
      </c>
      <c r="F32" t="s">
        <v>925</v>
      </c>
      <c r="G32" t="s">
        <v>152</v>
      </c>
      <c r="H32" t="s">
        <v>174</v>
      </c>
      <c r="I32" t="s">
        <v>154</v>
      </c>
      <c r="J32">
        <v>19961225</v>
      </c>
    </row>
    <row r="33" spans="1:10">
      <c r="A33" t="s">
        <v>926</v>
      </c>
      <c r="B33">
        <v>600808</v>
      </c>
      <c r="C33" t="s">
        <v>927</v>
      </c>
      <c r="D33" t="s">
        <v>160</v>
      </c>
      <c r="E33" t="s">
        <v>25</v>
      </c>
      <c r="F33" t="s">
        <v>928</v>
      </c>
      <c r="G33" t="s">
        <v>152</v>
      </c>
      <c r="H33" t="s">
        <v>174</v>
      </c>
      <c r="I33" t="s">
        <v>154</v>
      </c>
      <c r="J33">
        <v>19940106</v>
      </c>
    </row>
    <row r="34" spans="1:10">
      <c r="A34" t="s">
        <v>929</v>
      </c>
      <c r="B34">
        <v>600992</v>
      </c>
      <c r="C34" t="s">
        <v>930</v>
      </c>
      <c r="D34" t="s">
        <v>463</v>
      </c>
      <c r="E34" t="s">
        <v>34</v>
      </c>
      <c r="F34" t="s">
        <v>931</v>
      </c>
      <c r="G34" t="s">
        <v>152</v>
      </c>
      <c r="H34" t="s">
        <v>174</v>
      </c>
      <c r="I34" t="s">
        <v>154</v>
      </c>
      <c r="J34">
        <v>20040514</v>
      </c>
    </row>
    <row r="35" spans="1:10">
      <c r="A35" t="s">
        <v>932</v>
      </c>
      <c r="B35">
        <v>601003</v>
      </c>
      <c r="C35" t="s">
        <v>933</v>
      </c>
      <c r="D35" t="s">
        <v>345</v>
      </c>
      <c r="E35" t="s">
        <v>25</v>
      </c>
      <c r="F35" t="s">
        <v>934</v>
      </c>
      <c r="G35" t="s">
        <v>152</v>
      </c>
      <c r="H35" t="s">
        <v>174</v>
      </c>
      <c r="I35" t="s">
        <v>154</v>
      </c>
      <c r="J35">
        <v>20070227</v>
      </c>
    </row>
    <row r="36" spans="1:10">
      <c r="A36" t="s">
        <v>935</v>
      </c>
      <c r="B36">
        <v>601005</v>
      </c>
      <c r="C36" t="s">
        <v>936</v>
      </c>
      <c r="D36" t="s">
        <v>937</v>
      </c>
      <c r="E36" t="s">
        <v>25</v>
      </c>
      <c r="F36" t="s">
        <v>938</v>
      </c>
      <c r="G36" t="s">
        <v>152</v>
      </c>
      <c r="H36" t="s">
        <v>174</v>
      </c>
      <c r="I36" t="s">
        <v>154</v>
      </c>
      <c r="J36">
        <v>20070228</v>
      </c>
    </row>
    <row r="37" spans="1:10">
      <c r="A37" t="s">
        <v>939</v>
      </c>
      <c r="B37">
        <v>601686</v>
      </c>
      <c r="C37" t="s">
        <v>940</v>
      </c>
      <c r="D37" t="s">
        <v>576</v>
      </c>
      <c r="E37" t="s">
        <v>34</v>
      </c>
      <c r="F37" t="s">
        <v>941</v>
      </c>
      <c r="G37" t="s">
        <v>152</v>
      </c>
      <c r="H37" t="s">
        <v>174</v>
      </c>
      <c r="I37" t="s">
        <v>154</v>
      </c>
      <c r="J37">
        <v>20201204</v>
      </c>
    </row>
    <row r="38" spans="1:10">
      <c r="A38" t="s">
        <v>942</v>
      </c>
      <c r="B38">
        <v>601969</v>
      </c>
      <c r="C38" t="s">
        <v>943</v>
      </c>
      <c r="D38" t="s">
        <v>250</v>
      </c>
      <c r="E38" t="s">
        <v>25</v>
      </c>
      <c r="F38" t="s">
        <v>944</v>
      </c>
      <c r="G38" t="s">
        <v>152</v>
      </c>
      <c r="H38" t="s">
        <v>174</v>
      </c>
      <c r="I38" t="s">
        <v>154</v>
      </c>
      <c r="J38">
        <v>20141209</v>
      </c>
    </row>
    <row r="39" spans="1:10">
      <c r="A39" t="s">
        <v>945</v>
      </c>
      <c r="B39">
        <v>603028</v>
      </c>
      <c r="C39" t="s">
        <v>946</v>
      </c>
      <c r="D39" t="s">
        <v>212</v>
      </c>
      <c r="E39" t="s">
        <v>34</v>
      </c>
      <c r="F39" t="s">
        <v>947</v>
      </c>
      <c r="G39" t="s">
        <v>152</v>
      </c>
      <c r="H39" t="s">
        <v>174</v>
      </c>
      <c r="I39" t="s">
        <v>154</v>
      </c>
      <c r="J39">
        <v>20160331</v>
      </c>
    </row>
    <row r="40" spans="1:10">
      <c r="A40" t="s">
        <v>948</v>
      </c>
      <c r="B40">
        <v>603278</v>
      </c>
      <c r="C40" t="s">
        <v>949</v>
      </c>
      <c r="D40" t="s">
        <v>198</v>
      </c>
      <c r="E40" t="s">
        <v>34</v>
      </c>
      <c r="F40" t="s">
        <v>950</v>
      </c>
      <c r="G40" t="s">
        <v>152</v>
      </c>
      <c r="H40" t="s">
        <v>174</v>
      </c>
      <c r="I40" t="s">
        <v>154</v>
      </c>
      <c r="J40">
        <v>20171113</v>
      </c>
    </row>
    <row r="41" spans="1:10">
      <c r="A41" t="s">
        <v>951</v>
      </c>
      <c r="B41">
        <v>603878</v>
      </c>
      <c r="C41" t="s">
        <v>952</v>
      </c>
      <c r="D41" t="s">
        <v>212</v>
      </c>
      <c r="E41" t="s">
        <v>34</v>
      </c>
      <c r="F41" t="s">
        <v>953</v>
      </c>
      <c r="G41" t="s">
        <v>152</v>
      </c>
      <c r="H41" t="s">
        <v>174</v>
      </c>
      <c r="I41" t="s">
        <v>154</v>
      </c>
      <c r="J41">
        <v>20161219</v>
      </c>
    </row>
    <row r="42" spans="1:10">
      <c r="A42" t="s">
        <v>954</v>
      </c>
      <c r="B42">
        <v>603995</v>
      </c>
      <c r="C42" t="s">
        <v>955</v>
      </c>
      <c r="D42" t="s">
        <v>423</v>
      </c>
      <c r="E42" t="s">
        <v>15</v>
      </c>
      <c r="F42" t="s">
        <v>956</v>
      </c>
      <c r="G42" t="s">
        <v>152</v>
      </c>
      <c r="H42" t="s">
        <v>174</v>
      </c>
      <c r="I42" t="s">
        <v>154</v>
      </c>
      <c r="J42">
        <v>20191224</v>
      </c>
    </row>
    <row r="43" spans="1:10">
      <c r="A43" t="s">
        <v>957</v>
      </c>
      <c r="B43">
        <v>605158</v>
      </c>
      <c r="C43" t="s">
        <v>958</v>
      </c>
      <c r="D43" t="s">
        <v>423</v>
      </c>
      <c r="E43" t="s">
        <v>34</v>
      </c>
      <c r="F43" t="s">
        <v>959</v>
      </c>
      <c r="G43" t="s">
        <v>152</v>
      </c>
      <c r="H43" t="s">
        <v>174</v>
      </c>
      <c r="I43" t="s">
        <v>154</v>
      </c>
      <c r="J43">
        <v>20200805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workbookViewId="0">
      <selection activeCell="F28" sqref="F28"/>
    </sheetView>
  </sheetViews>
  <sheetFormatPr defaultColWidth="9" defaultRowHeight="13.5"/>
  <cols>
    <col min="6" max="6" width="14.25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960</v>
      </c>
      <c r="B2">
        <v>60</v>
      </c>
      <c r="C2" t="s">
        <v>961</v>
      </c>
      <c r="D2" t="s">
        <v>243</v>
      </c>
      <c r="E2" t="s">
        <v>35</v>
      </c>
      <c r="F2" t="s">
        <v>962</v>
      </c>
      <c r="G2" t="s">
        <v>152</v>
      </c>
      <c r="H2" t="s">
        <v>153</v>
      </c>
      <c r="I2" t="s">
        <v>154</v>
      </c>
      <c r="J2">
        <v>19970123</v>
      </c>
    </row>
    <row r="3" spans="1:12">
      <c r="A3" t="s">
        <v>963</v>
      </c>
      <c r="B3">
        <v>426</v>
      </c>
      <c r="C3" t="s">
        <v>964</v>
      </c>
      <c r="D3" t="s">
        <v>266</v>
      </c>
      <c r="E3" t="s">
        <v>35</v>
      </c>
      <c r="F3" t="s">
        <v>965</v>
      </c>
      <c r="G3" t="s">
        <v>152</v>
      </c>
      <c r="H3" t="s">
        <v>153</v>
      </c>
      <c r="I3" t="s">
        <v>154</v>
      </c>
      <c r="J3">
        <v>19960828</v>
      </c>
      <c r="L3" s="5">
        <f ca="1">RAND()*87</f>
        <v>31.7498887440076</v>
      </c>
    </row>
    <row r="4" spans="1:10">
      <c r="A4" t="s">
        <v>966</v>
      </c>
      <c r="B4">
        <v>506</v>
      </c>
      <c r="C4" t="s">
        <v>967</v>
      </c>
      <c r="D4" t="s">
        <v>198</v>
      </c>
      <c r="E4" t="s">
        <v>48</v>
      </c>
      <c r="F4" t="s">
        <v>968</v>
      </c>
      <c r="G4" t="s">
        <v>152</v>
      </c>
      <c r="H4" t="s">
        <v>153</v>
      </c>
      <c r="I4" t="s">
        <v>154</v>
      </c>
      <c r="J4">
        <v>19930312</v>
      </c>
    </row>
    <row r="5" spans="1:10">
      <c r="A5" t="s">
        <v>969</v>
      </c>
      <c r="B5">
        <v>603</v>
      </c>
      <c r="C5" t="s">
        <v>970</v>
      </c>
      <c r="D5" t="s">
        <v>164</v>
      </c>
      <c r="E5" t="s">
        <v>35</v>
      </c>
      <c r="F5" t="s">
        <v>971</v>
      </c>
      <c r="G5" t="s">
        <v>152</v>
      </c>
      <c r="H5" t="s">
        <v>153</v>
      </c>
      <c r="I5" t="s">
        <v>154</v>
      </c>
      <c r="J5">
        <v>19960823</v>
      </c>
    </row>
    <row r="6" spans="1:10">
      <c r="A6" t="s">
        <v>972</v>
      </c>
      <c r="B6">
        <v>612</v>
      </c>
      <c r="C6" t="s">
        <v>973</v>
      </c>
      <c r="D6" t="s">
        <v>292</v>
      </c>
      <c r="E6" t="s">
        <v>16</v>
      </c>
      <c r="F6" t="s">
        <v>974</v>
      </c>
      <c r="G6" t="s">
        <v>152</v>
      </c>
      <c r="H6" t="s">
        <v>153</v>
      </c>
      <c r="I6" t="s">
        <v>154</v>
      </c>
      <c r="J6">
        <v>19960926</v>
      </c>
    </row>
    <row r="7" spans="1:10">
      <c r="A7" t="s">
        <v>975</v>
      </c>
      <c r="B7">
        <v>629</v>
      </c>
      <c r="C7" t="s">
        <v>976</v>
      </c>
      <c r="D7" t="s">
        <v>219</v>
      </c>
      <c r="E7" t="s">
        <v>41</v>
      </c>
      <c r="F7" t="s">
        <v>977</v>
      </c>
      <c r="G7" t="s">
        <v>152</v>
      </c>
      <c r="H7" t="s">
        <v>153</v>
      </c>
      <c r="I7" t="s">
        <v>154</v>
      </c>
      <c r="J7">
        <v>19961115</v>
      </c>
    </row>
    <row r="8" spans="1:10">
      <c r="A8" t="s">
        <v>978</v>
      </c>
      <c r="B8">
        <v>630</v>
      </c>
      <c r="C8" t="s">
        <v>979</v>
      </c>
      <c r="D8" t="s">
        <v>160</v>
      </c>
      <c r="E8" t="s">
        <v>26</v>
      </c>
      <c r="F8" t="s">
        <v>980</v>
      </c>
      <c r="G8" t="s">
        <v>152</v>
      </c>
      <c r="H8" t="s">
        <v>153</v>
      </c>
      <c r="I8" t="s">
        <v>154</v>
      </c>
      <c r="J8">
        <v>19961120</v>
      </c>
    </row>
    <row r="9" spans="1:10">
      <c r="A9" t="s">
        <v>981</v>
      </c>
      <c r="B9">
        <v>633</v>
      </c>
      <c r="C9" t="s">
        <v>982</v>
      </c>
      <c r="D9" t="s">
        <v>202</v>
      </c>
      <c r="E9" t="s">
        <v>41</v>
      </c>
      <c r="F9" t="s">
        <v>983</v>
      </c>
      <c r="G9" t="s">
        <v>152</v>
      </c>
      <c r="H9" t="s">
        <v>153</v>
      </c>
      <c r="I9" t="s">
        <v>154</v>
      </c>
      <c r="J9">
        <v>19961112</v>
      </c>
    </row>
    <row r="10" spans="1:10">
      <c r="A10" t="s">
        <v>984</v>
      </c>
      <c r="B10">
        <v>657</v>
      </c>
      <c r="C10" t="s">
        <v>985</v>
      </c>
      <c r="D10" t="s">
        <v>250</v>
      </c>
      <c r="E10" t="s">
        <v>41</v>
      </c>
      <c r="F10" t="s">
        <v>986</v>
      </c>
      <c r="G10" t="s">
        <v>152</v>
      </c>
      <c r="H10" t="s">
        <v>153</v>
      </c>
      <c r="I10" t="s">
        <v>154</v>
      </c>
      <c r="J10">
        <v>19961205</v>
      </c>
    </row>
    <row r="11" spans="1:10">
      <c r="A11" t="s">
        <v>987</v>
      </c>
      <c r="B11">
        <v>688</v>
      </c>
      <c r="C11" t="s">
        <v>988</v>
      </c>
      <c r="D11" t="s">
        <v>937</v>
      </c>
      <c r="E11" t="s">
        <v>35</v>
      </c>
      <c r="F11" t="s">
        <v>989</v>
      </c>
      <c r="G11" t="s">
        <v>152</v>
      </c>
      <c r="H11" t="s">
        <v>153</v>
      </c>
      <c r="I11" t="s">
        <v>154</v>
      </c>
      <c r="J11">
        <v>19970120</v>
      </c>
    </row>
    <row r="12" spans="1:10">
      <c r="A12" t="s">
        <v>990</v>
      </c>
      <c r="B12">
        <v>737</v>
      </c>
      <c r="C12" t="s">
        <v>991</v>
      </c>
      <c r="D12" t="s">
        <v>557</v>
      </c>
      <c r="E12" t="s">
        <v>26</v>
      </c>
      <c r="F12" t="s">
        <v>992</v>
      </c>
      <c r="G12" t="s">
        <v>152</v>
      </c>
      <c r="H12" t="s">
        <v>153</v>
      </c>
      <c r="I12" t="s">
        <v>154</v>
      </c>
      <c r="J12">
        <v>19970428</v>
      </c>
    </row>
    <row r="13" spans="1:10">
      <c r="A13" t="s">
        <v>993</v>
      </c>
      <c r="B13">
        <v>751</v>
      </c>
      <c r="C13" t="s">
        <v>994</v>
      </c>
      <c r="D13" t="s">
        <v>236</v>
      </c>
      <c r="E13" t="s">
        <v>35</v>
      </c>
      <c r="F13" t="s">
        <v>995</v>
      </c>
      <c r="G13" t="s">
        <v>152</v>
      </c>
      <c r="H13" t="s">
        <v>153</v>
      </c>
      <c r="I13" t="s">
        <v>154</v>
      </c>
      <c r="J13">
        <v>19970626</v>
      </c>
    </row>
    <row r="14" spans="1:10">
      <c r="A14" t="s">
        <v>996</v>
      </c>
      <c r="B14">
        <v>758</v>
      </c>
      <c r="C14" t="s">
        <v>997</v>
      </c>
      <c r="D14" t="s">
        <v>164</v>
      </c>
      <c r="E14" t="s">
        <v>35</v>
      </c>
      <c r="F14" t="s">
        <v>998</v>
      </c>
      <c r="G14" t="s">
        <v>152</v>
      </c>
      <c r="H14" t="s">
        <v>153</v>
      </c>
      <c r="I14" t="s">
        <v>154</v>
      </c>
      <c r="J14">
        <v>19970416</v>
      </c>
    </row>
    <row r="15" spans="1:10">
      <c r="A15" t="s">
        <v>999</v>
      </c>
      <c r="B15">
        <v>762</v>
      </c>
      <c r="C15" t="s">
        <v>1000</v>
      </c>
      <c r="D15" t="s">
        <v>1001</v>
      </c>
      <c r="E15" t="s">
        <v>41</v>
      </c>
      <c r="F15" t="s">
        <v>1002</v>
      </c>
      <c r="G15" t="s">
        <v>152</v>
      </c>
      <c r="H15" t="s">
        <v>153</v>
      </c>
      <c r="I15" t="s">
        <v>154</v>
      </c>
      <c r="J15">
        <v>19970708</v>
      </c>
    </row>
    <row r="16" spans="1:10">
      <c r="A16" t="s">
        <v>1003</v>
      </c>
      <c r="B16">
        <v>795</v>
      </c>
      <c r="C16" t="s">
        <v>1004</v>
      </c>
      <c r="D16" t="s">
        <v>423</v>
      </c>
      <c r="E16" t="s">
        <v>52</v>
      </c>
      <c r="F16" t="s">
        <v>1005</v>
      </c>
      <c r="G16" t="s">
        <v>152</v>
      </c>
      <c r="H16" t="s">
        <v>153</v>
      </c>
      <c r="I16" t="s">
        <v>154</v>
      </c>
      <c r="J16">
        <v>19970808</v>
      </c>
    </row>
    <row r="17" spans="1:10">
      <c r="A17" t="s">
        <v>1006</v>
      </c>
      <c r="B17">
        <v>807</v>
      </c>
      <c r="C17" t="s">
        <v>1007</v>
      </c>
      <c r="D17" t="s">
        <v>184</v>
      </c>
      <c r="E17" t="s">
        <v>16</v>
      </c>
      <c r="F17" t="s">
        <v>1008</v>
      </c>
      <c r="G17" t="s">
        <v>152</v>
      </c>
      <c r="H17" t="s">
        <v>153</v>
      </c>
      <c r="I17" t="s">
        <v>154</v>
      </c>
      <c r="J17">
        <v>19980408</v>
      </c>
    </row>
    <row r="18" spans="1:10">
      <c r="A18" t="s">
        <v>1009</v>
      </c>
      <c r="B18">
        <v>831</v>
      </c>
      <c r="C18" t="s">
        <v>1010</v>
      </c>
      <c r="D18" t="s">
        <v>406</v>
      </c>
      <c r="E18" t="s">
        <v>41</v>
      </c>
      <c r="F18" t="s">
        <v>1011</v>
      </c>
      <c r="G18" t="s">
        <v>152</v>
      </c>
      <c r="H18" t="s">
        <v>153</v>
      </c>
      <c r="I18" t="s">
        <v>154</v>
      </c>
      <c r="J18">
        <v>19980911</v>
      </c>
    </row>
    <row r="19" spans="1:10">
      <c r="A19" t="s">
        <v>1012</v>
      </c>
      <c r="B19">
        <v>878</v>
      </c>
      <c r="C19" t="s">
        <v>1013</v>
      </c>
      <c r="D19" t="s">
        <v>184</v>
      </c>
      <c r="E19" t="s">
        <v>26</v>
      </c>
      <c r="F19" t="s">
        <v>1014</v>
      </c>
      <c r="G19" t="s">
        <v>152</v>
      </c>
      <c r="H19" t="s">
        <v>153</v>
      </c>
      <c r="I19" t="s">
        <v>154</v>
      </c>
      <c r="J19">
        <v>19980602</v>
      </c>
    </row>
    <row r="20" spans="1:10">
      <c r="A20" t="s">
        <v>1015</v>
      </c>
      <c r="B20">
        <v>933</v>
      </c>
      <c r="C20" t="s">
        <v>1016</v>
      </c>
      <c r="D20" t="s">
        <v>292</v>
      </c>
      <c r="E20" t="s">
        <v>16</v>
      </c>
      <c r="F20" t="s">
        <v>1017</v>
      </c>
      <c r="G20" t="s">
        <v>152</v>
      </c>
      <c r="H20" t="s">
        <v>153</v>
      </c>
      <c r="I20" t="s">
        <v>154</v>
      </c>
      <c r="J20">
        <v>19990831</v>
      </c>
    </row>
    <row r="21" spans="1:10">
      <c r="A21" t="s">
        <v>1018</v>
      </c>
      <c r="B21">
        <v>960</v>
      </c>
      <c r="C21" t="s">
        <v>1019</v>
      </c>
      <c r="D21" t="s">
        <v>184</v>
      </c>
      <c r="E21" t="s">
        <v>41</v>
      </c>
      <c r="F21" t="s">
        <v>1020</v>
      </c>
      <c r="G21" t="s">
        <v>152</v>
      </c>
      <c r="H21" t="s">
        <v>153</v>
      </c>
      <c r="I21" t="s">
        <v>154</v>
      </c>
      <c r="J21">
        <v>20000221</v>
      </c>
    </row>
    <row r="22" spans="1:10">
      <c r="A22" t="s">
        <v>1021</v>
      </c>
      <c r="B22">
        <v>962</v>
      </c>
      <c r="C22" t="s">
        <v>1022</v>
      </c>
      <c r="D22" t="s">
        <v>332</v>
      </c>
      <c r="E22" t="s">
        <v>41</v>
      </c>
      <c r="F22" t="s">
        <v>1023</v>
      </c>
      <c r="G22" t="s">
        <v>152</v>
      </c>
      <c r="H22" t="s">
        <v>153</v>
      </c>
      <c r="I22" t="s">
        <v>154</v>
      </c>
      <c r="J22">
        <v>20000120</v>
      </c>
    </row>
    <row r="23" spans="1:10">
      <c r="A23" t="s">
        <v>1024</v>
      </c>
      <c r="B23">
        <v>969</v>
      </c>
      <c r="C23" t="s">
        <v>1025</v>
      </c>
      <c r="D23" t="s">
        <v>164</v>
      </c>
      <c r="E23" t="s">
        <v>41</v>
      </c>
      <c r="F23" t="s">
        <v>1026</v>
      </c>
      <c r="G23" t="s">
        <v>152</v>
      </c>
      <c r="H23" t="s">
        <v>153</v>
      </c>
      <c r="I23" t="s">
        <v>154</v>
      </c>
      <c r="J23">
        <v>20000529</v>
      </c>
    </row>
    <row r="24" spans="1:10">
      <c r="A24" t="s">
        <v>1027</v>
      </c>
      <c r="B24">
        <v>970</v>
      </c>
      <c r="C24" t="s">
        <v>1028</v>
      </c>
      <c r="D24" t="s">
        <v>164</v>
      </c>
      <c r="E24" t="s">
        <v>52</v>
      </c>
      <c r="F24" t="s">
        <v>1029</v>
      </c>
      <c r="G24" t="s">
        <v>152</v>
      </c>
      <c r="H24" t="s">
        <v>153</v>
      </c>
      <c r="I24" t="s">
        <v>154</v>
      </c>
      <c r="J24">
        <v>20000420</v>
      </c>
    </row>
    <row r="25" spans="1:10">
      <c r="A25" t="s">
        <v>1030</v>
      </c>
      <c r="B25">
        <v>975</v>
      </c>
      <c r="C25" t="s">
        <v>1031</v>
      </c>
      <c r="D25" t="s">
        <v>266</v>
      </c>
      <c r="E25" t="s">
        <v>48</v>
      </c>
      <c r="F25" t="s">
        <v>1032</v>
      </c>
      <c r="G25" t="s">
        <v>152</v>
      </c>
      <c r="H25" t="s">
        <v>153</v>
      </c>
      <c r="I25" t="s">
        <v>154</v>
      </c>
      <c r="J25">
        <v>20000608</v>
      </c>
    </row>
    <row r="26" spans="1:10">
      <c r="A26" t="s">
        <v>1033</v>
      </c>
      <c r="B26">
        <v>1269</v>
      </c>
      <c r="C26" t="s">
        <v>1034</v>
      </c>
      <c r="D26" t="s">
        <v>266</v>
      </c>
      <c r="E26" t="s">
        <v>52</v>
      </c>
      <c r="F26" t="s">
        <v>1035</v>
      </c>
      <c r="G26" t="s">
        <v>152</v>
      </c>
      <c r="H26" t="s">
        <v>153</v>
      </c>
      <c r="I26" t="s">
        <v>154</v>
      </c>
      <c r="J26">
        <v>20220930</v>
      </c>
    </row>
    <row r="27" spans="1:10">
      <c r="A27" t="s">
        <v>1036</v>
      </c>
      <c r="B27">
        <v>600110</v>
      </c>
      <c r="C27" t="s">
        <v>1037</v>
      </c>
      <c r="D27" t="s">
        <v>312</v>
      </c>
      <c r="E27" t="s">
        <v>26</v>
      </c>
      <c r="F27" t="s">
        <v>1038</v>
      </c>
      <c r="G27" t="s">
        <v>152</v>
      </c>
      <c r="H27" t="s">
        <v>174</v>
      </c>
      <c r="I27" t="s">
        <v>154</v>
      </c>
      <c r="J27">
        <v>19971007</v>
      </c>
    </row>
    <row r="28" spans="1:10">
      <c r="A28" t="s">
        <v>1039</v>
      </c>
      <c r="B28">
        <v>600111</v>
      </c>
      <c r="C28" t="s">
        <v>1040</v>
      </c>
      <c r="D28" t="s">
        <v>266</v>
      </c>
      <c r="E28" t="s">
        <v>41</v>
      </c>
      <c r="F28" t="s">
        <v>1041</v>
      </c>
      <c r="G28" t="s">
        <v>152</v>
      </c>
      <c r="H28" t="s">
        <v>174</v>
      </c>
      <c r="I28" t="s">
        <v>154</v>
      </c>
      <c r="J28">
        <v>19970924</v>
      </c>
    </row>
    <row r="29" spans="1:10">
      <c r="A29" t="s">
        <v>1042</v>
      </c>
      <c r="B29">
        <v>600172</v>
      </c>
      <c r="C29" t="s">
        <v>1043</v>
      </c>
      <c r="D29" t="s">
        <v>292</v>
      </c>
      <c r="E29" t="s">
        <v>52</v>
      </c>
      <c r="F29" t="s">
        <v>1044</v>
      </c>
      <c r="G29" t="s">
        <v>152</v>
      </c>
      <c r="H29" t="s">
        <v>174</v>
      </c>
      <c r="I29" t="s">
        <v>154</v>
      </c>
      <c r="J29">
        <v>19981126</v>
      </c>
    </row>
    <row r="30" spans="1:10">
      <c r="A30" t="s">
        <v>1045</v>
      </c>
      <c r="B30">
        <v>600219</v>
      </c>
      <c r="C30" t="s">
        <v>1046</v>
      </c>
      <c r="D30" t="s">
        <v>198</v>
      </c>
      <c r="E30" t="s">
        <v>16</v>
      </c>
      <c r="F30" t="s">
        <v>1047</v>
      </c>
      <c r="G30" t="s">
        <v>152</v>
      </c>
      <c r="H30" t="s">
        <v>174</v>
      </c>
      <c r="I30" t="s">
        <v>154</v>
      </c>
      <c r="J30">
        <v>19991223</v>
      </c>
    </row>
    <row r="31" spans="1:10">
      <c r="A31" t="s">
        <v>1048</v>
      </c>
      <c r="B31">
        <v>600255</v>
      </c>
      <c r="C31" t="s">
        <v>1049</v>
      </c>
      <c r="D31" t="s">
        <v>160</v>
      </c>
      <c r="E31" t="s">
        <v>41</v>
      </c>
      <c r="F31" t="s">
        <v>1050</v>
      </c>
      <c r="G31" t="s">
        <v>152</v>
      </c>
      <c r="H31" t="s">
        <v>174</v>
      </c>
      <c r="I31" t="s">
        <v>154</v>
      </c>
      <c r="J31">
        <v>20001122</v>
      </c>
    </row>
    <row r="32" spans="1:10">
      <c r="A32" t="s">
        <v>1051</v>
      </c>
      <c r="B32">
        <v>600259</v>
      </c>
      <c r="C32" t="s">
        <v>1052</v>
      </c>
      <c r="D32" t="s">
        <v>250</v>
      </c>
      <c r="E32" t="s">
        <v>41</v>
      </c>
      <c r="F32" t="s">
        <v>1053</v>
      </c>
      <c r="G32" t="s">
        <v>152</v>
      </c>
      <c r="H32" t="s">
        <v>174</v>
      </c>
      <c r="I32" t="s">
        <v>154</v>
      </c>
      <c r="J32">
        <v>20000525</v>
      </c>
    </row>
    <row r="33" spans="1:10">
      <c r="A33" t="s">
        <v>1054</v>
      </c>
      <c r="B33">
        <v>600281</v>
      </c>
      <c r="C33" t="s">
        <v>1055</v>
      </c>
      <c r="D33" t="s">
        <v>557</v>
      </c>
      <c r="E33" t="s">
        <v>41</v>
      </c>
      <c r="F33" t="s">
        <v>1056</v>
      </c>
      <c r="G33" t="s">
        <v>152</v>
      </c>
      <c r="H33" t="s">
        <v>174</v>
      </c>
      <c r="I33" t="s">
        <v>154</v>
      </c>
      <c r="J33">
        <v>20001109</v>
      </c>
    </row>
    <row r="34" spans="1:10">
      <c r="A34" t="s">
        <v>1057</v>
      </c>
      <c r="B34">
        <v>600311</v>
      </c>
      <c r="C34" t="s">
        <v>1058</v>
      </c>
      <c r="D34" t="s">
        <v>177</v>
      </c>
      <c r="E34" t="s">
        <v>48</v>
      </c>
      <c r="F34" t="s">
        <v>1059</v>
      </c>
      <c r="G34" t="s">
        <v>152</v>
      </c>
      <c r="H34" t="s">
        <v>174</v>
      </c>
      <c r="I34" t="s">
        <v>154</v>
      </c>
      <c r="J34">
        <v>20010626</v>
      </c>
    </row>
    <row r="35" spans="1:10">
      <c r="A35" t="s">
        <v>1060</v>
      </c>
      <c r="B35">
        <v>600331</v>
      </c>
      <c r="C35" t="s">
        <v>1061</v>
      </c>
      <c r="D35" t="s">
        <v>219</v>
      </c>
      <c r="E35" t="s">
        <v>35</v>
      </c>
      <c r="F35" t="s">
        <v>1062</v>
      </c>
      <c r="G35" t="s">
        <v>152</v>
      </c>
      <c r="H35" t="s">
        <v>174</v>
      </c>
      <c r="I35" t="s">
        <v>154</v>
      </c>
      <c r="J35">
        <v>20011220</v>
      </c>
    </row>
    <row r="36" spans="1:10">
      <c r="A36" t="s">
        <v>1063</v>
      </c>
      <c r="B36">
        <v>600338</v>
      </c>
      <c r="C36" t="s">
        <v>1064</v>
      </c>
      <c r="D36" t="s">
        <v>1001</v>
      </c>
      <c r="E36" t="s">
        <v>35</v>
      </c>
      <c r="F36" t="s">
        <v>1065</v>
      </c>
      <c r="G36" t="s">
        <v>152</v>
      </c>
      <c r="H36" t="s">
        <v>174</v>
      </c>
      <c r="I36" t="s">
        <v>154</v>
      </c>
      <c r="J36">
        <v>20001227</v>
      </c>
    </row>
    <row r="37" spans="1:10">
      <c r="A37" s="3" t="s">
        <v>1066</v>
      </c>
      <c r="B37" s="3">
        <v>600362</v>
      </c>
      <c r="C37" s="3" t="s">
        <v>1067</v>
      </c>
      <c r="D37" s="3" t="s">
        <v>406</v>
      </c>
      <c r="E37" s="3" t="s">
        <v>26</v>
      </c>
      <c r="F37" s="3" t="s">
        <v>1068</v>
      </c>
      <c r="G37" s="3" t="s">
        <v>152</v>
      </c>
      <c r="H37" s="3" t="s">
        <v>174</v>
      </c>
      <c r="I37" s="3" t="s">
        <v>154</v>
      </c>
      <c r="J37" s="3">
        <v>20020111</v>
      </c>
    </row>
    <row r="38" spans="1:10">
      <c r="A38" t="s">
        <v>1069</v>
      </c>
      <c r="B38">
        <v>600366</v>
      </c>
      <c r="C38" t="s">
        <v>1070</v>
      </c>
      <c r="D38" t="s">
        <v>423</v>
      </c>
      <c r="E38" t="s">
        <v>52</v>
      </c>
      <c r="F38" t="s">
        <v>1071</v>
      </c>
      <c r="G38" t="s">
        <v>152</v>
      </c>
      <c r="H38" t="s">
        <v>174</v>
      </c>
      <c r="I38" t="s">
        <v>154</v>
      </c>
      <c r="J38">
        <v>20001030</v>
      </c>
    </row>
    <row r="39" spans="1:10">
      <c r="A39" t="s">
        <v>1072</v>
      </c>
      <c r="B39">
        <v>600392</v>
      </c>
      <c r="C39" t="s">
        <v>1073</v>
      </c>
      <c r="D39" t="s">
        <v>219</v>
      </c>
      <c r="E39" t="s">
        <v>41</v>
      </c>
      <c r="F39" t="s">
        <v>1074</v>
      </c>
      <c r="G39" t="s">
        <v>152</v>
      </c>
      <c r="H39" t="s">
        <v>174</v>
      </c>
      <c r="I39" t="s">
        <v>154</v>
      </c>
      <c r="J39">
        <v>20030529</v>
      </c>
    </row>
    <row r="40" spans="1:10">
      <c r="A40" t="s">
        <v>1075</v>
      </c>
      <c r="B40">
        <v>600456</v>
      </c>
      <c r="C40" t="s">
        <v>1076</v>
      </c>
      <c r="D40" t="s">
        <v>419</v>
      </c>
      <c r="E40" t="s">
        <v>41</v>
      </c>
      <c r="F40" t="s">
        <v>1077</v>
      </c>
      <c r="G40" t="s">
        <v>152</v>
      </c>
      <c r="H40" t="s">
        <v>174</v>
      </c>
      <c r="I40" t="s">
        <v>154</v>
      </c>
      <c r="J40">
        <v>20020412</v>
      </c>
    </row>
    <row r="41" spans="1:10">
      <c r="A41" t="s">
        <v>1078</v>
      </c>
      <c r="B41">
        <v>600459</v>
      </c>
      <c r="C41" t="s">
        <v>1079</v>
      </c>
      <c r="D41" t="s">
        <v>184</v>
      </c>
      <c r="E41" t="s">
        <v>41</v>
      </c>
      <c r="F41" t="s">
        <v>1080</v>
      </c>
      <c r="G41" t="s">
        <v>152</v>
      </c>
      <c r="H41" t="s">
        <v>174</v>
      </c>
      <c r="I41" t="s">
        <v>154</v>
      </c>
      <c r="J41">
        <v>20030516</v>
      </c>
    </row>
    <row r="42" spans="1:10">
      <c r="A42" t="s">
        <v>1081</v>
      </c>
      <c r="B42">
        <v>600489</v>
      </c>
      <c r="C42" t="s">
        <v>1082</v>
      </c>
      <c r="D42" t="s">
        <v>164</v>
      </c>
      <c r="E42" t="s">
        <v>48</v>
      </c>
      <c r="F42" t="s">
        <v>1083</v>
      </c>
      <c r="G42" t="s">
        <v>152</v>
      </c>
      <c r="H42" t="s">
        <v>174</v>
      </c>
      <c r="I42" t="s">
        <v>154</v>
      </c>
      <c r="J42">
        <v>20030814</v>
      </c>
    </row>
    <row r="43" spans="1:10">
      <c r="A43" t="s">
        <v>1084</v>
      </c>
      <c r="B43">
        <v>600490</v>
      </c>
      <c r="C43" t="s">
        <v>1085</v>
      </c>
      <c r="D43" t="s">
        <v>172</v>
      </c>
      <c r="E43" t="s">
        <v>26</v>
      </c>
      <c r="F43" t="s">
        <v>1086</v>
      </c>
      <c r="G43" t="s">
        <v>152</v>
      </c>
      <c r="H43" t="s">
        <v>174</v>
      </c>
      <c r="I43" t="s">
        <v>154</v>
      </c>
      <c r="J43">
        <v>20030626</v>
      </c>
    </row>
    <row r="44" spans="1:10">
      <c r="A44" t="s">
        <v>1087</v>
      </c>
      <c r="B44">
        <v>600497</v>
      </c>
      <c r="C44" t="s">
        <v>1088</v>
      </c>
      <c r="D44" t="s">
        <v>184</v>
      </c>
      <c r="E44" t="s">
        <v>35</v>
      </c>
      <c r="F44" t="s">
        <v>1089</v>
      </c>
      <c r="G44" t="s">
        <v>152</v>
      </c>
      <c r="H44" t="s">
        <v>174</v>
      </c>
      <c r="I44" t="s">
        <v>154</v>
      </c>
      <c r="J44">
        <v>20040420</v>
      </c>
    </row>
    <row r="45" spans="1:10">
      <c r="A45" t="s">
        <v>1090</v>
      </c>
      <c r="B45">
        <v>600516</v>
      </c>
      <c r="C45" t="s">
        <v>1091</v>
      </c>
      <c r="D45" t="s">
        <v>177</v>
      </c>
      <c r="E45" t="s">
        <v>52</v>
      </c>
      <c r="F45" t="s">
        <v>1092</v>
      </c>
      <c r="G45" t="s">
        <v>152</v>
      </c>
      <c r="H45" t="s">
        <v>174</v>
      </c>
      <c r="I45" t="s">
        <v>154</v>
      </c>
      <c r="J45">
        <v>20020830</v>
      </c>
    </row>
    <row r="46" spans="1:10">
      <c r="A46" t="s">
        <v>1093</v>
      </c>
      <c r="B46">
        <v>600531</v>
      </c>
      <c r="C46" t="s">
        <v>1094</v>
      </c>
      <c r="D46" t="s">
        <v>292</v>
      </c>
      <c r="E46" t="s">
        <v>35</v>
      </c>
      <c r="F46" t="s">
        <v>1095</v>
      </c>
      <c r="G46" t="s">
        <v>152</v>
      </c>
      <c r="H46" t="s">
        <v>174</v>
      </c>
      <c r="I46" t="s">
        <v>154</v>
      </c>
      <c r="J46">
        <v>20020730</v>
      </c>
    </row>
    <row r="47" spans="1:10">
      <c r="A47" t="s">
        <v>1096</v>
      </c>
      <c r="B47">
        <v>600547</v>
      </c>
      <c r="C47" t="s">
        <v>1097</v>
      </c>
      <c r="D47" t="s">
        <v>198</v>
      </c>
      <c r="E47" t="s">
        <v>48</v>
      </c>
      <c r="F47" t="s">
        <v>1098</v>
      </c>
      <c r="G47" t="s">
        <v>152</v>
      </c>
      <c r="H47" t="s">
        <v>174</v>
      </c>
      <c r="I47" t="s">
        <v>154</v>
      </c>
      <c r="J47">
        <v>20030828</v>
      </c>
    </row>
    <row r="48" spans="1:10">
      <c r="A48" t="s">
        <v>1099</v>
      </c>
      <c r="B48">
        <v>600549</v>
      </c>
      <c r="C48" t="s">
        <v>1100</v>
      </c>
      <c r="D48" t="s">
        <v>150</v>
      </c>
      <c r="E48" t="s">
        <v>41</v>
      </c>
      <c r="F48" t="s">
        <v>1101</v>
      </c>
      <c r="G48" t="s">
        <v>152</v>
      </c>
      <c r="H48" t="s">
        <v>174</v>
      </c>
      <c r="I48" t="s">
        <v>154</v>
      </c>
      <c r="J48">
        <v>20021107</v>
      </c>
    </row>
    <row r="49" spans="1:10">
      <c r="A49" t="s">
        <v>1102</v>
      </c>
      <c r="B49">
        <v>600595</v>
      </c>
      <c r="C49" t="s">
        <v>1103</v>
      </c>
      <c r="D49" t="s">
        <v>292</v>
      </c>
      <c r="E49" t="s">
        <v>16</v>
      </c>
      <c r="F49" t="s">
        <v>1104</v>
      </c>
      <c r="G49" t="s">
        <v>152</v>
      </c>
      <c r="H49" t="s">
        <v>174</v>
      </c>
      <c r="I49" t="s">
        <v>154</v>
      </c>
      <c r="J49">
        <v>20020626</v>
      </c>
    </row>
    <row r="50" spans="1:10">
      <c r="A50" t="s">
        <v>1105</v>
      </c>
      <c r="B50">
        <v>600615</v>
      </c>
      <c r="C50" t="s">
        <v>1106</v>
      </c>
      <c r="D50" t="s">
        <v>937</v>
      </c>
      <c r="E50" t="s">
        <v>41</v>
      </c>
      <c r="F50" t="s">
        <v>1107</v>
      </c>
      <c r="G50" t="s">
        <v>152</v>
      </c>
      <c r="H50" t="s">
        <v>174</v>
      </c>
      <c r="I50" t="s">
        <v>154</v>
      </c>
      <c r="J50">
        <v>19920910</v>
      </c>
    </row>
    <row r="51" spans="1:10">
      <c r="A51" t="s">
        <v>1108</v>
      </c>
      <c r="B51">
        <v>600673</v>
      </c>
      <c r="C51" t="s">
        <v>1109</v>
      </c>
      <c r="D51" t="s">
        <v>223</v>
      </c>
      <c r="E51" t="s">
        <v>16</v>
      </c>
      <c r="F51" t="s">
        <v>1110</v>
      </c>
      <c r="G51" t="s">
        <v>152</v>
      </c>
      <c r="H51" t="s">
        <v>174</v>
      </c>
      <c r="I51" t="s">
        <v>154</v>
      </c>
      <c r="J51">
        <v>19930917</v>
      </c>
    </row>
    <row r="52" spans="1:10">
      <c r="A52" s="3" t="s">
        <v>1111</v>
      </c>
      <c r="B52" s="3">
        <v>600711</v>
      </c>
      <c r="C52" s="3" t="s">
        <v>1112</v>
      </c>
      <c r="D52" s="3" t="s">
        <v>150</v>
      </c>
      <c r="E52" s="3" t="s">
        <v>41</v>
      </c>
      <c r="F52" s="3" t="s">
        <v>1113</v>
      </c>
      <c r="G52" s="3" t="s">
        <v>152</v>
      </c>
      <c r="H52" s="3" t="s">
        <v>174</v>
      </c>
      <c r="I52" s="3" t="s">
        <v>154</v>
      </c>
      <c r="J52" s="3">
        <v>19960531</v>
      </c>
    </row>
    <row r="53" spans="1:10">
      <c r="A53" t="s">
        <v>1114</v>
      </c>
      <c r="B53">
        <v>600766</v>
      </c>
      <c r="C53" t="s">
        <v>1115</v>
      </c>
      <c r="D53" t="s">
        <v>198</v>
      </c>
      <c r="E53" t="s">
        <v>48</v>
      </c>
      <c r="F53" t="s">
        <v>1116</v>
      </c>
      <c r="G53" t="s">
        <v>152</v>
      </c>
      <c r="H53" t="s">
        <v>174</v>
      </c>
      <c r="I53" t="s">
        <v>154</v>
      </c>
      <c r="J53">
        <v>19961028</v>
      </c>
    </row>
    <row r="54" spans="1:10">
      <c r="A54" t="s">
        <v>1117</v>
      </c>
      <c r="B54">
        <v>600768</v>
      </c>
      <c r="C54" t="s">
        <v>1118</v>
      </c>
      <c r="D54" t="s">
        <v>423</v>
      </c>
      <c r="E54" t="s">
        <v>16</v>
      </c>
      <c r="F54" t="s">
        <v>1119</v>
      </c>
      <c r="G54" t="s">
        <v>152</v>
      </c>
      <c r="H54" t="s">
        <v>174</v>
      </c>
      <c r="I54" t="s">
        <v>154</v>
      </c>
      <c r="J54">
        <v>19961111</v>
      </c>
    </row>
    <row r="55" spans="1:10">
      <c r="A55" t="s">
        <v>1120</v>
      </c>
      <c r="B55">
        <v>600807</v>
      </c>
      <c r="C55" t="s">
        <v>1121</v>
      </c>
      <c r="D55" t="s">
        <v>198</v>
      </c>
      <c r="E55" t="s">
        <v>48</v>
      </c>
      <c r="F55" t="s">
        <v>1122</v>
      </c>
      <c r="G55" t="s">
        <v>152</v>
      </c>
      <c r="H55" t="s">
        <v>174</v>
      </c>
      <c r="I55" t="s">
        <v>154</v>
      </c>
      <c r="J55">
        <v>19940103</v>
      </c>
    </row>
    <row r="56" spans="1:10">
      <c r="A56" t="s">
        <v>1123</v>
      </c>
      <c r="B56">
        <v>600888</v>
      </c>
      <c r="C56" t="s">
        <v>1124</v>
      </c>
      <c r="D56" t="s">
        <v>202</v>
      </c>
      <c r="E56" t="s">
        <v>16</v>
      </c>
      <c r="F56" t="s">
        <v>1125</v>
      </c>
      <c r="G56" t="s">
        <v>152</v>
      </c>
      <c r="H56" t="s">
        <v>174</v>
      </c>
      <c r="I56" t="s">
        <v>154</v>
      </c>
      <c r="J56">
        <v>19960215</v>
      </c>
    </row>
    <row r="57" spans="1:10">
      <c r="A57" t="s">
        <v>1126</v>
      </c>
      <c r="B57">
        <v>600916</v>
      </c>
      <c r="C57" t="s">
        <v>1127</v>
      </c>
      <c r="D57" t="s">
        <v>164</v>
      </c>
      <c r="E57" t="s">
        <v>48</v>
      </c>
      <c r="F57" t="s">
        <v>1128</v>
      </c>
      <c r="G57" t="s">
        <v>152</v>
      </c>
      <c r="H57" t="s">
        <v>174</v>
      </c>
      <c r="I57" t="s">
        <v>154</v>
      </c>
      <c r="J57">
        <v>20210205</v>
      </c>
    </row>
    <row r="58" spans="1:10">
      <c r="A58" t="s">
        <v>1129</v>
      </c>
      <c r="B58">
        <v>600961</v>
      </c>
      <c r="C58" t="s">
        <v>1130</v>
      </c>
      <c r="D58" t="s">
        <v>168</v>
      </c>
      <c r="E58" t="s">
        <v>35</v>
      </c>
      <c r="F58" t="s">
        <v>1131</v>
      </c>
      <c r="G58" t="s">
        <v>152</v>
      </c>
      <c r="H58" t="s">
        <v>174</v>
      </c>
      <c r="I58" t="s">
        <v>154</v>
      </c>
      <c r="J58">
        <v>20040830</v>
      </c>
    </row>
    <row r="59" spans="1:10">
      <c r="A59" t="s">
        <v>1132</v>
      </c>
      <c r="B59">
        <v>600980</v>
      </c>
      <c r="C59" t="s">
        <v>1133</v>
      </c>
      <c r="D59" t="s">
        <v>164</v>
      </c>
      <c r="E59" t="s">
        <v>52</v>
      </c>
      <c r="F59" t="s">
        <v>1134</v>
      </c>
      <c r="G59" t="s">
        <v>152</v>
      </c>
      <c r="H59" t="s">
        <v>174</v>
      </c>
      <c r="I59" t="s">
        <v>154</v>
      </c>
      <c r="J59">
        <v>20040512</v>
      </c>
    </row>
    <row r="60" spans="1:10">
      <c r="A60" t="s">
        <v>1135</v>
      </c>
      <c r="B60">
        <v>600988</v>
      </c>
      <c r="C60" t="s">
        <v>1136</v>
      </c>
      <c r="D60" t="s">
        <v>266</v>
      </c>
      <c r="E60" t="s">
        <v>48</v>
      </c>
      <c r="F60" t="s">
        <v>1137</v>
      </c>
      <c r="G60" t="s">
        <v>152</v>
      </c>
      <c r="H60" t="s">
        <v>174</v>
      </c>
      <c r="I60" t="s">
        <v>154</v>
      </c>
      <c r="J60">
        <v>20040414</v>
      </c>
    </row>
    <row r="61" spans="1:10">
      <c r="A61" t="s">
        <v>1138</v>
      </c>
      <c r="B61">
        <v>601020</v>
      </c>
      <c r="C61" t="s">
        <v>1139</v>
      </c>
      <c r="D61" t="s">
        <v>1001</v>
      </c>
      <c r="E61" t="s">
        <v>35</v>
      </c>
      <c r="F61" t="s">
        <v>1140</v>
      </c>
      <c r="G61" t="s">
        <v>152</v>
      </c>
      <c r="H61" t="s">
        <v>174</v>
      </c>
      <c r="I61" t="s">
        <v>154</v>
      </c>
      <c r="J61">
        <v>20160316</v>
      </c>
    </row>
    <row r="62" spans="1:10">
      <c r="A62" t="s">
        <v>1141</v>
      </c>
      <c r="B62">
        <v>601069</v>
      </c>
      <c r="C62" t="s">
        <v>1142</v>
      </c>
      <c r="D62" t="s">
        <v>202</v>
      </c>
      <c r="E62" t="s">
        <v>48</v>
      </c>
      <c r="F62" t="s">
        <v>1143</v>
      </c>
      <c r="G62" t="s">
        <v>152</v>
      </c>
      <c r="H62" t="s">
        <v>174</v>
      </c>
      <c r="I62" t="s">
        <v>154</v>
      </c>
      <c r="J62">
        <v>20150122</v>
      </c>
    </row>
    <row r="63" spans="1:10">
      <c r="A63" t="s">
        <v>1144</v>
      </c>
      <c r="B63">
        <v>601137</v>
      </c>
      <c r="C63" t="s">
        <v>1145</v>
      </c>
      <c r="D63" t="s">
        <v>423</v>
      </c>
      <c r="E63" t="s">
        <v>41</v>
      </c>
      <c r="F63" t="s">
        <v>1146</v>
      </c>
      <c r="G63" t="s">
        <v>152</v>
      </c>
      <c r="H63" t="s">
        <v>174</v>
      </c>
      <c r="I63" t="s">
        <v>154</v>
      </c>
      <c r="J63">
        <v>20110127</v>
      </c>
    </row>
    <row r="64" spans="1:10">
      <c r="A64" t="s">
        <v>1147</v>
      </c>
      <c r="B64">
        <v>601168</v>
      </c>
      <c r="C64" t="s">
        <v>1148</v>
      </c>
      <c r="D64" t="s">
        <v>308</v>
      </c>
      <c r="E64" t="s">
        <v>26</v>
      </c>
      <c r="F64" t="s">
        <v>1149</v>
      </c>
      <c r="G64" t="s">
        <v>152</v>
      </c>
      <c r="H64" t="s">
        <v>174</v>
      </c>
      <c r="I64" t="s">
        <v>154</v>
      </c>
      <c r="J64">
        <v>20070712</v>
      </c>
    </row>
    <row r="65" spans="1:10">
      <c r="A65" t="s">
        <v>1150</v>
      </c>
      <c r="B65">
        <v>601212</v>
      </c>
      <c r="C65" t="s">
        <v>1151</v>
      </c>
      <c r="D65" t="s">
        <v>177</v>
      </c>
      <c r="E65" t="s">
        <v>26</v>
      </c>
      <c r="F65" t="s">
        <v>1152</v>
      </c>
      <c r="G65" t="s">
        <v>152</v>
      </c>
      <c r="H65" t="s">
        <v>174</v>
      </c>
      <c r="I65" t="s">
        <v>154</v>
      </c>
      <c r="J65">
        <v>20170215</v>
      </c>
    </row>
    <row r="66" spans="1:10">
      <c r="A66" t="s">
        <v>1153</v>
      </c>
      <c r="B66">
        <v>601388</v>
      </c>
      <c r="C66" t="s">
        <v>1154</v>
      </c>
      <c r="D66" t="s">
        <v>212</v>
      </c>
      <c r="E66" t="s">
        <v>16</v>
      </c>
      <c r="F66" t="s">
        <v>1155</v>
      </c>
      <c r="G66" t="s">
        <v>152</v>
      </c>
      <c r="H66" t="s">
        <v>174</v>
      </c>
      <c r="I66" t="s">
        <v>154</v>
      </c>
      <c r="J66">
        <v>20120423</v>
      </c>
    </row>
    <row r="67" spans="1:10">
      <c r="A67" t="s">
        <v>1156</v>
      </c>
      <c r="B67">
        <v>601600</v>
      </c>
      <c r="C67" t="s">
        <v>1157</v>
      </c>
      <c r="D67" t="s">
        <v>164</v>
      </c>
      <c r="E67" t="s">
        <v>16</v>
      </c>
      <c r="F67" t="s">
        <v>1158</v>
      </c>
      <c r="G67" t="s">
        <v>152</v>
      </c>
      <c r="H67" t="s">
        <v>174</v>
      </c>
      <c r="I67" t="s">
        <v>154</v>
      </c>
      <c r="J67">
        <v>20070430</v>
      </c>
    </row>
    <row r="68" spans="1:10">
      <c r="A68" t="s">
        <v>1159</v>
      </c>
      <c r="B68">
        <v>601609</v>
      </c>
      <c r="C68" t="s">
        <v>1160</v>
      </c>
      <c r="D68" t="s">
        <v>423</v>
      </c>
      <c r="E68" t="s">
        <v>26</v>
      </c>
      <c r="F68" t="s">
        <v>1161</v>
      </c>
      <c r="G68" t="s">
        <v>152</v>
      </c>
      <c r="H68" t="s">
        <v>174</v>
      </c>
      <c r="I68" t="s">
        <v>154</v>
      </c>
      <c r="J68">
        <v>20200422</v>
      </c>
    </row>
    <row r="69" spans="1:10">
      <c r="A69" t="s">
        <v>1162</v>
      </c>
      <c r="B69">
        <v>601677</v>
      </c>
      <c r="C69" t="s">
        <v>1163</v>
      </c>
      <c r="D69" t="s">
        <v>292</v>
      </c>
      <c r="E69" t="s">
        <v>16</v>
      </c>
      <c r="F69" t="s">
        <v>1164</v>
      </c>
      <c r="G69" t="s">
        <v>152</v>
      </c>
      <c r="H69" t="s">
        <v>174</v>
      </c>
      <c r="I69" t="s">
        <v>154</v>
      </c>
      <c r="J69">
        <v>20110919</v>
      </c>
    </row>
    <row r="70" spans="1:10">
      <c r="A70" t="s">
        <v>1165</v>
      </c>
      <c r="B70">
        <v>601702</v>
      </c>
      <c r="C70" t="s">
        <v>1166</v>
      </c>
      <c r="D70" t="s">
        <v>172</v>
      </c>
      <c r="E70" t="s">
        <v>16</v>
      </c>
      <c r="F70" t="s">
        <v>1167</v>
      </c>
      <c r="G70" t="s">
        <v>152</v>
      </c>
      <c r="H70" t="s">
        <v>174</v>
      </c>
      <c r="I70" t="s">
        <v>154</v>
      </c>
      <c r="J70">
        <v>20200907</v>
      </c>
    </row>
    <row r="71" spans="1:10">
      <c r="A71" t="s">
        <v>1168</v>
      </c>
      <c r="B71">
        <v>601899</v>
      </c>
      <c r="C71" t="s">
        <v>1169</v>
      </c>
      <c r="D71" t="s">
        <v>150</v>
      </c>
      <c r="E71" t="s">
        <v>26</v>
      </c>
      <c r="F71" t="s">
        <v>1170</v>
      </c>
      <c r="G71" t="s">
        <v>152</v>
      </c>
      <c r="H71" t="s">
        <v>174</v>
      </c>
      <c r="I71" t="s">
        <v>154</v>
      </c>
      <c r="J71">
        <v>20080425</v>
      </c>
    </row>
    <row r="72" spans="1:10">
      <c r="A72" t="s">
        <v>1171</v>
      </c>
      <c r="B72">
        <v>601958</v>
      </c>
      <c r="C72" t="s">
        <v>1172</v>
      </c>
      <c r="D72" t="s">
        <v>419</v>
      </c>
      <c r="E72" t="s">
        <v>41</v>
      </c>
      <c r="F72" t="s">
        <v>1173</v>
      </c>
      <c r="G72" t="s">
        <v>152</v>
      </c>
      <c r="H72" t="s">
        <v>174</v>
      </c>
      <c r="I72" t="s">
        <v>154</v>
      </c>
      <c r="J72">
        <v>20080417</v>
      </c>
    </row>
    <row r="73" spans="1:10">
      <c r="A73" t="s">
        <v>1174</v>
      </c>
      <c r="B73">
        <v>603115</v>
      </c>
      <c r="C73" t="s">
        <v>1175</v>
      </c>
      <c r="D73" t="s">
        <v>212</v>
      </c>
      <c r="E73" t="s">
        <v>16</v>
      </c>
      <c r="F73" t="s">
        <v>1176</v>
      </c>
      <c r="G73" t="s">
        <v>152</v>
      </c>
      <c r="H73" t="s">
        <v>174</v>
      </c>
      <c r="I73" t="s">
        <v>154</v>
      </c>
      <c r="J73">
        <v>20190809</v>
      </c>
    </row>
    <row r="74" spans="1:10">
      <c r="A74" t="s">
        <v>1177</v>
      </c>
      <c r="B74">
        <v>603132</v>
      </c>
      <c r="C74" t="s">
        <v>1178</v>
      </c>
      <c r="D74" t="s">
        <v>177</v>
      </c>
      <c r="E74" t="s">
        <v>35</v>
      </c>
      <c r="F74" t="s">
        <v>1179</v>
      </c>
      <c r="G74" t="s">
        <v>152</v>
      </c>
      <c r="H74" t="s">
        <v>174</v>
      </c>
      <c r="I74" t="s">
        <v>154</v>
      </c>
      <c r="J74">
        <v>20220222</v>
      </c>
    </row>
    <row r="75" spans="1:10">
      <c r="A75" s="3" t="s">
        <v>1180</v>
      </c>
      <c r="B75" s="3">
        <v>603399</v>
      </c>
      <c r="C75" s="3" t="s">
        <v>1181</v>
      </c>
      <c r="D75" s="3" t="s">
        <v>236</v>
      </c>
      <c r="E75" s="3" t="s">
        <v>41</v>
      </c>
      <c r="F75" s="3" t="s">
        <v>1182</v>
      </c>
      <c r="G75" s="3" t="s">
        <v>152</v>
      </c>
      <c r="H75" s="3" t="s">
        <v>174</v>
      </c>
      <c r="I75" s="3" t="s">
        <v>154</v>
      </c>
      <c r="J75" s="3">
        <v>20120824</v>
      </c>
    </row>
    <row r="76" spans="1:10">
      <c r="A76" t="s">
        <v>1183</v>
      </c>
      <c r="B76">
        <v>603527</v>
      </c>
      <c r="C76" t="s">
        <v>1184</v>
      </c>
      <c r="D76" t="s">
        <v>160</v>
      </c>
      <c r="E76" t="s">
        <v>26</v>
      </c>
      <c r="F76" t="s">
        <v>1185</v>
      </c>
      <c r="G76" t="s">
        <v>152</v>
      </c>
      <c r="H76" t="s">
        <v>174</v>
      </c>
      <c r="I76" t="s">
        <v>154</v>
      </c>
      <c r="J76">
        <v>20170907</v>
      </c>
    </row>
    <row r="77" spans="1:10">
      <c r="A77" t="s">
        <v>1186</v>
      </c>
      <c r="B77">
        <v>603612</v>
      </c>
      <c r="C77" t="s">
        <v>1187</v>
      </c>
      <c r="D77" t="s">
        <v>198</v>
      </c>
      <c r="E77" t="s">
        <v>52</v>
      </c>
      <c r="F77" t="s">
        <v>1188</v>
      </c>
      <c r="G77" t="s">
        <v>152</v>
      </c>
      <c r="H77" t="s">
        <v>174</v>
      </c>
      <c r="I77" t="s">
        <v>154</v>
      </c>
      <c r="J77">
        <v>20170718</v>
      </c>
    </row>
    <row r="78" spans="1:10">
      <c r="A78" t="s">
        <v>1189</v>
      </c>
      <c r="B78">
        <v>603663</v>
      </c>
      <c r="C78" t="s">
        <v>1190</v>
      </c>
      <c r="D78" t="s">
        <v>150</v>
      </c>
      <c r="E78" t="s">
        <v>41</v>
      </c>
      <c r="F78" t="s">
        <v>1191</v>
      </c>
      <c r="G78" t="s">
        <v>152</v>
      </c>
      <c r="H78" t="s">
        <v>174</v>
      </c>
      <c r="I78" t="s">
        <v>154</v>
      </c>
      <c r="J78">
        <v>20160801</v>
      </c>
    </row>
    <row r="79" spans="1:10">
      <c r="A79" t="s">
        <v>1192</v>
      </c>
      <c r="B79">
        <v>603688</v>
      </c>
      <c r="C79" t="s">
        <v>1193</v>
      </c>
      <c r="D79" t="s">
        <v>212</v>
      </c>
      <c r="E79" t="s">
        <v>52</v>
      </c>
      <c r="F79" t="s">
        <v>1194</v>
      </c>
      <c r="G79" t="s">
        <v>152</v>
      </c>
      <c r="H79" t="s">
        <v>174</v>
      </c>
      <c r="I79" t="s">
        <v>154</v>
      </c>
      <c r="J79">
        <v>20141031</v>
      </c>
    </row>
    <row r="80" spans="1:10">
      <c r="A80" t="s">
        <v>1195</v>
      </c>
      <c r="B80">
        <v>603799</v>
      </c>
      <c r="C80" t="s">
        <v>1196</v>
      </c>
      <c r="D80" t="s">
        <v>423</v>
      </c>
      <c r="E80" t="s">
        <v>41</v>
      </c>
      <c r="F80" t="s">
        <v>1197</v>
      </c>
      <c r="G80" t="s">
        <v>152</v>
      </c>
      <c r="H80" t="s">
        <v>174</v>
      </c>
      <c r="I80" t="s">
        <v>154</v>
      </c>
      <c r="J80">
        <v>20150129</v>
      </c>
    </row>
    <row r="81" spans="1:10">
      <c r="A81" t="s">
        <v>1198</v>
      </c>
      <c r="B81">
        <v>603876</v>
      </c>
      <c r="C81" t="s">
        <v>1199</v>
      </c>
      <c r="D81" t="s">
        <v>212</v>
      </c>
      <c r="E81" t="s">
        <v>16</v>
      </c>
      <c r="F81" t="s">
        <v>1200</v>
      </c>
      <c r="G81" t="s">
        <v>152</v>
      </c>
      <c r="H81" t="s">
        <v>174</v>
      </c>
      <c r="I81" t="s">
        <v>154</v>
      </c>
      <c r="J81">
        <v>20180418</v>
      </c>
    </row>
    <row r="82" spans="1:10">
      <c r="A82" t="s">
        <v>1201</v>
      </c>
      <c r="B82">
        <v>603937</v>
      </c>
      <c r="C82" t="s">
        <v>1202</v>
      </c>
      <c r="D82" t="s">
        <v>212</v>
      </c>
      <c r="E82" t="s">
        <v>16</v>
      </c>
      <c r="F82" t="s">
        <v>1203</v>
      </c>
      <c r="G82" t="s">
        <v>152</v>
      </c>
      <c r="H82" t="s">
        <v>174</v>
      </c>
      <c r="I82" t="s">
        <v>154</v>
      </c>
      <c r="J82">
        <v>20171102</v>
      </c>
    </row>
    <row r="83" spans="1:10">
      <c r="A83" t="s">
        <v>1204</v>
      </c>
      <c r="B83">
        <v>603978</v>
      </c>
      <c r="C83" t="s">
        <v>1205</v>
      </c>
      <c r="D83" t="s">
        <v>243</v>
      </c>
      <c r="E83" t="s">
        <v>41</v>
      </c>
      <c r="F83" t="s">
        <v>1206</v>
      </c>
      <c r="G83" t="s">
        <v>152</v>
      </c>
      <c r="H83" t="s">
        <v>174</v>
      </c>
      <c r="I83" t="s">
        <v>154</v>
      </c>
      <c r="J83">
        <v>20170807</v>
      </c>
    </row>
    <row r="84" spans="1:10">
      <c r="A84" t="s">
        <v>1207</v>
      </c>
      <c r="B84">
        <v>603993</v>
      </c>
      <c r="C84" t="s">
        <v>1208</v>
      </c>
      <c r="D84" t="s">
        <v>292</v>
      </c>
      <c r="E84" t="s">
        <v>41</v>
      </c>
      <c r="F84" t="s">
        <v>1209</v>
      </c>
      <c r="G84" t="s">
        <v>152</v>
      </c>
      <c r="H84" t="s">
        <v>174</v>
      </c>
      <c r="I84" t="s">
        <v>154</v>
      </c>
      <c r="J84">
        <v>20121009</v>
      </c>
    </row>
    <row r="85" spans="1:10">
      <c r="A85" t="s">
        <v>1210</v>
      </c>
      <c r="B85">
        <v>605086</v>
      </c>
      <c r="C85" t="s">
        <v>1211</v>
      </c>
      <c r="D85" t="s">
        <v>150</v>
      </c>
      <c r="E85" t="s">
        <v>52</v>
      </c>
      <c r="F85" t="s">
        <v>1212</v>
      </c>
      <c r="G85" t="s">
        <v>152</v>
      </c>
      <c r="H85" t="s">
        <v>174</v>
      </c>
      <c r="I85" t="s">
        <v>154</v>
      </c>
      <c r="J85">
        <v>20210416</v>
      </c>
    </row>
    <row r="86" spans="1:10">
      <c r="A86" t="s">
        <v>1213</v>
      </c>
      <c r="B86">
        <v>605208</v>
      </c>
      <c r="C86" t="s">
        <v>1214</v>
      </c>
      <c r="D86" t="s">
        <v>172</v>
      </c>
      <c r="E86" t="s">
        <v>16</v>
      </c>
      <c r="F86" t="s">
        <v>1215</v>
      </c>
      <c r="G86" t="s">
        <v>152</v>
      </c>
      <c r="H86" t="s">
        <v>174</v>
      </c>
      <c r="I86" t="s">
        <v>154</v>
      </c>
      <c r="J86">
        <v>20210308</v>
      </c>
    </row>
    <row r="87" spans="1:10">
      <c r="A87" t="s">
        <v>1216</v>
      </c>
      <c r="B87">
        <v>605376</v>
      </c>
      <c r="C87" t="s">
        <v>1217</v>
      </c>
      <c r="D87" t="s">
        <v>212</v>
      </c>
      <c r="E87" t="s">
        <v>41</v>
      </c>
      <c r="F87" t="s">
        <v>1218</v>
      </c>
      <c r="G87" t="s">
        <v>152</v>
      </c>
      <c r="H87" t="s">
        <v>174</v>
      </c>
      <c r="I87" t="s">
        <v>154</v>
      </c>
      <c r="J87">
        <v>20201208</v>
      </c>
    </row>
    <row r="88" spans="1:10">
      <c r="A88" t="s">
        <v>1219</v>
      </c>
      <c r="B88">
        <v>605599</v>
      </c>
      <c r="C88" t="s">
        <v>1220</v>
      </c>
      <c r="D88" t="s">
        <v>164</v>
      </c>
      <c r="E88" t="s">
        <v>48</v>
      </c>
      <c r="F88" t="s">
        <v>1221</v>
      </c>
      <c r="G88" t="s">
        <v>152</v>
      </c>
      <c r="H88" t="s">
        <v>174</v>
      </c>
      <c r="I88" t="s">
        <v>154</v>
      </c>
      <c r="J88">
        <v>20210909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"/>
  <sheetViews>
    <sheetView workbookViewId="0">
      <selection activeCell="E16" sqref="E16"/>
    </sheetView>
  </sheetViews>
  <sheetFormatPr defaultColWidth="9" defaultRowHeight="13.5"/>
  <cols>
    <col min="1" max="1" width="12.875" customWidth="1"/>
    <col min="3" max="3" width="11.625" customWidth="1"/>
    <col min="5" max="5" width="14.2583333333333" customWidth="1"/>
    <col min="6" max="6" width="23.875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1222</v>
      </c>
      <c r="B2">
        <v>9</v>
      </c>
      <c r="C2" t="s">
        <v>1223</v>
      </c>
      <c r="D2" t="s">
        <v>243</v>
      </c>
      <c r="E2" t="s">
        <v>17</v>
      </c>
      <c r="F2" t="s">
        <v>1224</v>
      </c>
      <c r="G2" t="s">
        <v>152</v>
      </c>
      <c r="H2" t="s">
        <v>153</v>
      </c>
      <c r="I2" t="s">
        <v>154</v>
      </c>
      <c r="J2">
        <v>19910625</v>
      </c>
    </row>
    <row r="3" spans="1:12">
      <c r="A3" t="s">
        <v>1225</v>
      </c>
      <c r="B3">
        <v>20</v>
      </c>
      <c r="C3" t="s">
        <v>1226</v>
      </c>
      <c r="D3" t="s">
        <v>243</v>
      </c>
      <c r="E3" t="s">
        <v>42</v>
      </c>
      <c r="F3" t="s">
        <v>1227</v>
      </c>
      <c r="G3" t="s">
        <v>152</v>
      </c>
      <c r="H3" t="s">
        <v>153</v>
      </c>
      <c r="I3" t="s">
        <v>154</v>
      </c>
      <c r="J3">
        <v>19920428</v>
      </c>
      <c r="L3" s="5">
        <f ca="1">RAND()*190</f>
        <v>155.895872656198</v>
      </c>
    </row>
    <row r="4" spans="1:10">
      <c r="A4" t="s">
        <v>1228</v>
      </c>
      <c r="B4">
        <v>21</v>
      </c>
      <c r="C4" t="s">
        <v>1229</v>
      </c>
      <c r="D4" t="s">
        <v>243</v>
      </c>
      <c r="E4" t="s">
        <v>1</v>
      </c>
      <c r="F4" t="s">
        <v>1230</v>
      </c>
      <c r="G4" t="s">
        <v>152</v>
      </c>
      <c r="H4" t="s">
        <v>153</v>
      </c>
      <c r="I4" t="s">
        <v>154</v>
      </c>
      <c r="J4">
        <v>19940202</v>
      </c>
    </row>
    <row r="5" spans="1:10">
      <c r="A5" t="s">
        <v>1231</v>
      </c>
      <c r="B5">
        <v>45</v>
      </c>
      <c r="C5" t="s">
        <v>1232</v>
      </c>
      <c r="D5" t="s">
        <v>243</v>
      </c>
      <c r="E5" t="s">
        <v>42</v>
      </c>
      <c r="F5" t="s">
        <v>1233</v>
      </c>
      <c r="G5" t="s">
        <v>152</v>
      </c>
      <c r="H5" t="s">
        <v>153</v>
      </c>
      <c r="I5" t="s">
        <v>154</v>
      </c>
      <c r="J5">
        <v>19940815</v>
      </c>
    </row>
    <row r="6" spans="1:10">
      <c r="A6" t="s">
        <v>1234</v>
      </c>
      <c r="B6">
        <v>49</v>
      </c>
      <c r="C6" t="s">
        <v>1235</v>
      </c>
      <c r="D6" t="s">
        <v>243</v>
      </c>
      <c r="E6" t="s">
        <v>17</v>
      </c>
      <c r="F6" t="s">
        <v>1236</v>
      </c>
      <c r="G6" t="s">
        <v>152</v>
      </c>
      <c r="H6" t="s">
        <v>153</v>
      </c>
      <c r="I6" t="s">
        <v>154</v>
      </c>
      <c r="J6">
        <v>19950320</v>
      </c>
    </row>
    <row r="7" spans="1:10">
      <c r="A7" t="s">
        <v>1237</v>
      </c>
      <c r="B7">
        <v>50</v>
      </c>
      <c r="C7" t="s">
        <v>1238</v>
      </c>
      <c r="D7" t="s">
        <v>243</v>
      </c>
      <c r="E7" t="s">
        <v>42</v>
      </c>
      <c r="F7" t="s">
        <v>1239</v>
      </c>
      <c r="G7" t="s">
        <v>152</v>
      </c>
      <c r="H7" t="s">
        <v>153</v>
      </c>
      <c r="I7" t="s">
        <v>154</v>
      </c>
      <c r="J7">
        <v>19950315</v>
      </c>
    </row>
    <row r="8" spans="1:10">
      <c r="A8" t="s">
        <v>1240</v>
      </c>
      <c r="B8">
        <v>62</v>
      </c>
      <c r="C8" t="s">
        <v>1241</v>
      </c>
      <c r="D8" t="s">
        <v>243</v>
      </c>
      <c r="E8" t="s">
        <v>42</v>
      </c>
      <c r="F8" t="s">
        <v>1242</v>
      </c>
      <c r="G8" t="s">
        <v>152</v>
      </c>
      <c r="H8" t="s">
        <v>153</v>
      </c>
      <c r="I8" t="s">
        <v>154</v>
      </c>
      <c r="J8">
        <v>19970130</v>
      </c>
    </row>
    <row r="9" spans="1:10">
      <c r="A9" t="s">
        <v>1243</v>
      </c>
      <c r="B9">
        <v>66</v>
      </c>
      <c r="C9" t="s">
        <v>1244</v>
      </c>
      <c r="D9" t="s">
        <v>243</v>
      </c>
      <c r="E9" t="s">
        <v>1</v>
      </c>
      <c r="F9" t="s">
        <v>1245</v>
      </c>
      <c r="G9" t="s">
        <v>152</v>
      </c>
      <c r="H9" t="s">
        <v>153</v>
      </c>
      <c r="I9" t="s">
        <v>154</v>
      </c>
      <c r="J9">
        <v>19970626</v>
      </c>
    </row>
    <row r="10" spans="1:10">
      <c r="A10" t="s">
        <v>1246</v>
      </c>
      <c r="B10">
        <v>100</v>
      </c>
      <c r="C10" t="s">
        <v>1247</v>
      </c>
      <c r="D10" t="s">
        <v>223</v>
      </c>
      <c r="E10" t="s">
        <v>42</v>
      </c>
      <c r="F10" t="s">
        <v>1248</v>
      </c>
      <c r="G10" t="s">
        <v>152</v>
      </c>
      <c r="H10" t="s">
        <v>153</v>
      </c>
      <c r="I10" t="s">
        <v>154</v>
      </c>
      <c r="J10">
        <v>20040130</v>
      </c>
    </row>
    <row r="11" spans="1:10">
      <c r="A11" t="s">
        <v>1249</v>
      </c>
      <c r="B11">
        <v>400</v>
      </c>
      <c r="C11" t="s">
        <v>1250</v>
      </c>
      <c r="D11" t="s">
        <v>292</v>
      </c>
      <c r="E11" t="s">
        <v>17</v>
      </c>
      <c r="F11" t="s">
        <v>1251</v>
      </c>
      <c r="G11" t="s">
        <v>152</v>
      </c>
      <c r="H11" t="s">
        <v>153</v>
      </c>
      <c r="I11" t="s">
        <v>154</v>
      </c>
      <c r="J11">
        <v>19970418</v>
      </c>
    </row>
    <row r="12" spans="1:10">
      <c r="A12" t="s">
        <v>1252</v>
      </c>
      <c r="B12">
        <v>413</v>
      </c>
      <c r="C12" t="s">
        <v>1253</v>
      </c>
      <c r="D12" t="s">
        <v>279</v>
      </c>
      <c r="E12" t="s">
        <v>42</v>
      </c>
      <c r="F12" t="s">
        <v>1254</v>
      </c>
      <c r="G12" t="s">
        <v>152</v>
      </c>
      <c r="H12" t="s">
        <v>153</v>
      </c>
      <c r="I12" t="s">
        <v>154</v>
      </c>
      <c r="J12">
        <v>19960925</v>
      </c>
    </row>
    <row r="13" spans="1:10">
      <c r="A13" s="1" t="s">
        <v>1255</v>
      </c>
      <c r="B13" s="1">
        <v>509</v>
      </c>
      <c r="C13" s="1" t="s">
        <v>1256</v>
      </c>
      <c r="D13" s="1" t="s">
        <v>219</v>
      </c>
      <c r="E13" s="1" t="s">
        <v>42</v>
      </c>
      <c r="F13" s="1" t="s">
        <v>1257</v>
      </c>
      <c r="G13" s="1" t="s">
        <v>152</v>
      </c>
      <c r="H13" s="1" t="s">
        <v>153</v>
      </c>
      <c r="I13" s="1" t="s">
        <v>154</v>
      </c>
      <c r="J13" s="1">
        <v>19930507</v>
      </c>
    </row>
    <row r="14" spans="1:10">
      <c r="A14" t="s">
        <v>1258</v>
      </c>
      <c r="B14">
        <v>533</v>
      </c>
      <c r="C14" t="s">
        <v>1259</v>
      </c>
      <c r="D14" t="s">
        <v>223</v>
      </c>
      <c r="E14" t="s">
        <v>17</v>
      </c>
      <c r="F14" t="s">
        <v>1260</v>
      </c>
      <c r="G14" t="s">
        <v>152</v>
      </c>
      <c r="H14" t="s">
        <v>153</v>
      </c>
      <c r="I14" t="s">
        <v>154</v>
      </c>
      <c r="J14">
        <v>19940103</v>
      </c>
    </row>
    <row r="15" spans="1:10">
      <c r="A15" t="s">
        <v>1261</v>
      </c>
      <c r="B15">
        <v>536</v>
      </c>
      <c r="C15" t="s">
        <v>1262</v>
      </c>
      <c r="D15" t="s">
        <v>150</v>
      </c>
      <c r="E15" t="s">
        <v>42</v>
      </c>
      <c r="F15" t="s">
        <v>1263</v>
      </c>
      <c r="G15" t="s">
        <v>152</v>
      </c>
      <c r="H15" t="s">
        <v>153</v>
      </c>
      <c r="I15" t="s">
        <v>154</v>
      </c>
      <c r="J15">
        <v>19931126</v>
      </c>
    </row>
    <row r="16" spans="1:10">
      <c r="A16" t="s">
        <v>1264</v>
      </c>
      <c r="B16">
        <v>636</v>
      </c>
      <c r="C16" t="s">
        <v>1265</v>
      </c>
      <c r="D16" t="s">
        <v>223</v>
      </c>
      <c r="E16" t="s">
        <v>42</v>
      </c>
      <c r="F16" t="s">
        <v>1266</v>
      </c>
      <c r="G16" t="s">
        <v>152</v>
      </c>
      <c r="H16" t="s">
        <v>153</v>
      </c>
      <c r="I16" t="s">
        <v>154</v>
      </c>
      <c r="J16">
        <v>19961129</v>
      </c>
    </row>
    <row r="17" spans="1:10">
      <c r="A17" t="s">
        <v>1267</v>
      </c>
      <c r="B17">
        <v>670</v>
      </c>
      <c r="C17" t="s">
        <v>1268</v>
      </c>
      <c r="D17" t="s">
        <v>316</v>
      </c>
      <c r="E17" t="s">
        <v>42</v>
      </c>
      <c r="F17" t="s">
        <v>1269</v>
      </c>
      <c r="G17" t="s">
        <v>152</v>
      </c>
      <c r="H17" t="s">
        <v>153</v>
      </c>
      <c r="I17" t="s">
        <v>154</v>
      </c>
      <c r="J17">
        <v>19961217</v>
      </c>
    </row>
    <row r="18" spans="1:10">
      <c r="A18" s="3" t="s">
        <v>1270</v>
      </c>
      <c r="B18" s="3">
        <v>682</v>
      </c>
      <c r="C18" s="3" t="s">
        <v>1271</v>
      </c>
      <c r="D18" s="3" t="s">
        <v>198</v>
      </c>
      <c r="E18" s="3" t="s">
        <v>17</v>
      </c>
      <c r="F18" s="3" t="s">
        <v>1272</v>
      </c>
      <c r="G18" s="3" t="s">
        <v>152</v>
      </c>
      <c r="H18" s="3" t="s">
        <v>153</v>
      </c>
      <c r="I18" s="3" t="s">
        <v>154</v>
      </c>
      <c r="J18" s="3">
        <v>19970121</v>
      </c>
    </row>
    <row r="19" spans="1:10">
      <c r="A19" t="s">
        <v>1273</v>
      </c>
      <c r="B19">
        <v>725</v>
      </c>
      <c r="C19" t="s">
        <v>1274</v>
      </c>
      <c r="D19" t="s">
        <v>164</v>
      </c>
      <c r="E19" t="s">
        <v>42</v>
      </c>
      <c r="F19" t="s">
        <v>1275</v>
      </c>
      <c r="G19" t="s">
        <v>152</v>
      </c>
      <c r="H19" t="s">
        <v>153</v>
      </c>
      <c r="I19" t="s">
        <v>154</v>
      </c>
      <c r="J19">
        <v>20010112</v>
      </c>
    </row>
    <row r="20" spans="1:10">
      <c r="A20" t="s">
        <v>1276</v>
      </c>
      <c r="B20">
        <v>727</v>
      </c>
      <c r="C20" t="s">
        <v>1277</v>
      </c>
      <c r="D20" t="s">
        <v>212</v>
      </c>
      <c r="E20" t="s">
        <v>42</v>
      </c>
      <c r="F20" t="s">
        <v>1278</v>
      </c>
      <c r="G20" t="s">
        <v>152</v>
      </c>
      <c r="H20" t="s">
        <v>153</v>
      </c>
      <c r="I20" t="s">
        <v>154</v>
      </c>
      <c r="J20">
        <v>19970520</v>
      </c>
    </row>
    <row r="21" spans="1:10">
      <c r="A21" t="s">
        <v>1279</v>
      </c>
      <c r="B21">
        <v>733</v>
      </c>
      <c r="C21" t="s">
        <v>1280</v>
      </c>
      <c r="D21" t="s">
        <v>463</v>
      </c>
      <c r="E21" t="s">
        <v>42</v>
      </c>
      <c r="F21" t="s">
        <v>1281</v>
      </c>
      <c r="G21" t="s">
        <v>152</v>
      </c>
      <c r="H21" t="s">
        <v>153</v>
      </c>
      <c r="I21" t="s">
        <v>154</v>
      </c>
      <c r="J21">
        <v>19970703</v>
      </c>
    </row>
    <row r="22" spans="1:10">
      <c r="A22" t="s">
        <v>1282</v>
      </c>
      <c r="B22">
        <v>806</v>
      </c>
      <c r="C22" t="s">
        <v>1283</v>
      </c>
      <c r="D22" t="s">
        <v>345</v>
      </c>
      <c r="E22" t="s">
        <v>17</v>
      </c>
      <c r="F22" t="s">
        <v>1284</v>
      </c>
      <c r="G22" t="s">
        <v>152</v>
      </c>
      <c r="H22" t="s">
        <v>153</v>
      </c>
      <c r="I22" t="s">
        <v>154</v>
      </c>
      <c r="J22">
        <v>19980416</v>
      </c>
    </row>
    <row r="23" spans="1:10">
      <c r="A23" t="s">
        <v>1285</v>
      </c>
      <c r="B23">
        <v>821</v>
      </c>
      <c r="C23" t="s">
        <v>1286</v>
      </c>
      <c r="D23" t="s">
        <v>316</v>
      </c>
      <c r="E23" t="s">
        <v>17</v>
      </c>
      <c r="F23" t="s">
        <v>1287</v>
      </c>
      <c r="G23" t="s">
        <v>152</v>
      </c>
      <c r="H23" t="s">
        <v>153</v>
      </c>
      <c r="I23" t="s">
        <v>154</v>
      </c>
      <c r="J23">
        <v>19980626</v>
      </c>
    </row>
    <row r="24" spans="1:10">
      <c r="A24" s="3" t="s">
        <v>1288</v>
      </c>
      <c r="B24" s="3">
        <v>823</v>
      </c>
      <c r="C24" s="3" t="s">
        <v>1289</v>
      </c>
      <c r="D24" s="3" t="s">
        <v>223</v>
      </c>
      <c r="E24" s="3" t="s">
        <v>42</v>
      </c>
      <c r="F24" s="3" t="s">
        <v>1290</v>
      </c>
      <c r="G24" s="3" t="s">
        <v>152</v>
      </c>
      <c r="H24" s="3" t="s">
        <v>153</v>
      </c>
      <c r="I24" s="3" t="s">
        <v>154</v>
      </c>
      <c r="J24" s="3">
        <v>19971008</v>
      </c>
    </row>
    <row r="25" spans="1:10">
      <c r="A25" t="s">
        <v>1291</v>
      </c>
      <c r="B25">
        <v>922</v>
      </c>
      <c r="C25" t="s">
        <v>1292</v>
      </c>
      <c r="D25" t="s">
        <v>194</v>
      </c>
      <c r="E25" t="s">
        <v>17</v>
      </c>
      <c r="F25" t="s">
        <v>1293</v>
      </c>
      <c r="G25" t="s">
        <v>152</v>
      </c>
      <c r="H25" t="s">
        <v>153</v>
      </c>
      <c r="I25" t="s">
        <v>154</v>
      </c>
      <c r="J25">
        <v>19990618</v>
      </c>
    </row>
    <row r="26" spans="1:10">
      <c r="A26" t="s">
        <v>1294</v>
      </c>
      <c r="B26">
        <v>977</v>
      </c>
      <c r="C26" t="s">
        <v>1295</v>
      </c>
      <c r="D26" t="s">
        <v>198</v>
      </c>
      <c r="E26" t="s">
        <v>1</v>
      </c>
      <c r="F26" t="s">
        <v>1296</v>
      </c>
      <c r="G26" t="s">
        <v>152</v>
      </c>
      <c r="H26" t="s">
        <v>153</v>
      </c>
      <c r="I26" t="s">
        <v>154</v>
      </c>
      <c r="J26">
        <v>20000608</v>
      </c>
    </row>
    <row r="27" spans="1:10">
      <c r="A27" t="s">
        <v>1297</v>
      </c>
      <c r="B27">
        <v>1208</v>
      </c>
      <c r="C27" t="s">
        <v>1298</v>
      </c>
      <c r="D27" t="s">
        <v>168</v>
      </c>
      <c r="E27" t="s">
        <v>17</v>
      </c>
      <c r="F27" t="s">
        <v>1299</v>
      </c>
      <c r="G27" t="s">
        <v>152</v>
      </c>
      <c r="H27" t="s">
        <v>153</v>
      </c>
      <c r="I27" t="s">
        <v>154</v>
      </c>
      <c r="J27">
        <v>20210624</v>
      </c>
    </row>
    <row r="28" spans="1:10">
      <c r="A28" t="s">
        <v>1300</v>
      </c>
      <c r="B28">
        <v>1229</v>
      </c>
      <c r="C28" t="s">
        <v>1301</v>
      </c>
      <c r="D28" t="s">
        <v>223</v>
      </c>
      <c r="E28" t="s">
        <v>1</v>
      </c>
      <c r="F28" t="s">
        <v>1302</v>
      </c>
      <c r="G28" t="s">
        <v>152</v>
      </c>
      <c r="H28" t="s">
        <v>153</v>
      </c>
      <c r="I28" t="s">
        <v>154</v>
      </c>
      <c r="J28">
        <v>20220808</v>
      </c>
    </row>
    <row r="29" spans="1:10">
      <c r="A29" t="s">
        <v>1303</v>
      </c>
      <c r="B29">
        <v>1266</v>
      </c>
      <c r="C29" t="s">
        <v>1304</v>
      </c>
      <c r="D29" t="s">
        <v>172</v>
      </c>
      <c r="E29" t="s">
        <v>27</v>
      </c>
      <c r="F29" t="s">
        <v>1305</v>
      </c>
      <c r="G29" t="s">
        <v>152</v>
      </c>
      <c r="H29" t="s">
        <v>153</v>
      </c>
      <c r="I29" t="s">
        <v>154</v>
      </c>
      <c r="J29">
        <v>20220228</v>
      </c>
    </row>
    <row r="30" spans="1:10">
      <c r="A30" t="s">
        <v>1306</v>
      </c>
      <c r="B30">
        <v>1270</v>
      </c>
      <c r="C30" t="s">
        <v>1307</v>
      </c>
      <c r="D30" t="s">
        <v>423</v>
      </c>
      <c r="E30" t="s">
        <v>31</v>
      </c>
      <c r="F30" t="s">
        <v>1308</v>
      </c>
      <c r="G30" t="s">
        <v>152</v>
      </c>
      <c r="H30" t="s">
        <v>153</v>
      </c>
      <c r="I30" t="s">
        <v>154</v>
      </c>
      <c r="J30">
        <v>20220606</v>
      </c>
    </row>
    <row r="31" spans="1:10">
      <c r="A31" t="s">
        <v>1309</v>
      </c>
      <c r="B31">
        <v>1283</v>
      </c>
      <c r="C31" t="s">
        <v>1310</v>
      </c>
      <c r="D31" t="s">
        <v>243</v>
      </c>
      <c r="E31" t="s">
        <v>17</v>
      </c>
      <c r="F31" t="s">
        <v>1311</v>
      </c>
      <c r="G31" t="s">
        <v>152</v>
      </c>
      <c r="H31" t="s">
        <v>153</v>
      </c>
      <c r="I31" t="s">
        <v>154</v>
      </c>
      <c r="J31">
        <v>20220905</v>
      </c>
    </row>
    <row r="32" spans="1:10">
      <c r="A32" t="s">
        <v>1312</v>
      </c>
      <c r="B32">
        <v>1301</v>
      </c>
      <c r="C32" t="s">
        <v>1313</v>
      </c>
      <c r="D32" t="s">
        <v>279</v>
      </c>
      <c r="E32" t="s">
        <v>17</v>
      </c>
      <c r="F32" t="s">
        <v>1314</v>
      </c>
      <c r="G32" t="s">
        <v>152</v>
      </c>
      <c r="H32" t="s">
        <v>153</v>
      </c>
      <c r="I32" t="s">
        <v>154</v>
      </c>
      <c r="J32">
        <v>20221228</v>
      </c>
    </row>
    <row r="33" spans="1:10">
      <c r="A33" t="s">
        <v>1315</v>
      </c>
      <c r="B33">
        <v>1308</v>
      </c>
      <c r="C33" t="s">
        <v>1316</v>
      </c>
      <c r="D33" t="s">
        <v>243</v>
      </c>
      <c r="E33" t="s">
        <v>42</v>
      </c>
      <c r="F33" t="s">
        <v>1317</v>
      </c>
      <c r="G33" t="s">
        <v>152</v>
      </c>
      <c r="H33" t="s">
        <v>153</v>
      </c>
      <c r="I33" t="s">
        <v>154</v>
      </c>
      <c r="J33">
        <v>20220318</v>
      </c>
    </row>
    <row r="34" spans="1:10">
      <c r="A34" t="s">
        <v>1318</v>
      </c>
      <c r="B34">
        <v>1309</v>
      </c>
      <c r="C34" t="s">
        <v>1319</v>
      </c>
      <c r="D34" t="s">
        <v>243</v>
      </c>
      <c r="E34" t="s">
        <v>31</v>
      </c>
      <c r="F34" t="s">
        <v>1320</v>
      </c>
      <c r="G34" t="s">
        <v>152</v>
      </c>
      <c r="H34" t="s">
        <v>153</v>
      </c>
      <c r="I34" t="s">
        <v>154</v>
      </c>
      <c r="J34">
        <v>20220701</v>
      </c>
    </row>
    <row r="35" spans="1:10">
      <c r="A35" t="s">
        <v>1321</v>
      </c>
      <c r="B35">
        <v>1339</v>
      </c>
      <c r="C35" t="s">
        <v>1322</v>
      </c>
      <c r="D35" t="s">
        <v>243</v>
      </c>
      <c r="E35" t="s">
        <v>1</v>
      </c>
      <c r="F35" t="s">
        <v>1323</v>
      </c>
      <c r="G35" t="s">
        <v>152</v>
      </c>
      <c r="H35" t="s">
        <v>153</v>
      </c>
      <c r="I35" t="s">
        <v>154</v>
      </c>
      <c r="J35">
        <v>20220815</v>
      </c>
    </row>
    <row r="36" spans="1:10">
      <c r="A36" t="s">
        <v>1324</v>
      </c>
      <c r="B36">
        <v>600067</v>
      </c>
      <c r="C36" t="s">
        <v>1325</v>
      </c>
      <c r="D36" t="s">
        <v>150</v>
      </c>
      <c r="E36" t="s">
        <v>17</v>
      </c>
      <c r="F36" t="s">
        <v>1326</v>
      </c>
      <c r="G36" t="s">
        <v>152</v>
      </c>
      <c r="H36" t="s">
        <v>174</v>
      </c>
      <c r="I36" t="s">
        <v>154</v>
      </c>
      <c r="J36">
        <v>19970508</v>
      </c>
    </row>
    <row r="37" spans="1:10">
      <c r="A37" t="s">
        <v>1327</v>
      </c>
      <c r="B37">
        <v>600071</v>
      </c>
      <c r="C37" t="s">
        <v>1328</v>
      </c>
      <c r="D37" t="s">
        <v>406</v>
      </c>
      <c r="E37" t="s">
        <v>42</v>
      </c>
      <c r="F37" t="s">
        <v>1329</v>
      </c>
      <c r="G37" t="s">
        <v>152</v>
      </c>
      <c r="H37" t="s">
        <v>174</v>
      </c>
      <c r="I37" t="s">
        <v>154</v>
      </c>
      <c r="J37">
        <v>19970528</v>
      </c>
    </row>
    <row r="38" spans="1:10">
      <c r="A38" t="s">
        <v>1330</v>
      </c>
      <c r="B38">
        <v>600089</v>
      </c>
      <c r="C38" t="s">
        <v>1331</v>
      </c>
      <c r="D38" t="s">
        <v>202</v>
      </c>
      <c r="E38" t="s">
        <v>17</v>
      </c>
      <c r="F38" t="s">
        <v>1332</v>
      </c>
      <c r="G38" t="s">
        <v>152</v>
      </c>
      <c r="H38" t="s">
        <v>174</v>
      </c>
      <c r="I38" t="s">
        <v>154</v>
      </c>
      <c r="J38">
        <v>19970618</v>
      </c>
    </row>
    <row r="39" spans="1:10">
      <c r="A39" t="s">
        <v>1333</v>
      </c>
      <c r="B39">
        <v>600100</v>
      </c>
      <c r="C39" t="s">
        <v>1334</v>
      </c>
      <c r="D39" t="s">
        <v>164</v>
      </c>
      <c r="E39" t="s">
        <v>1</v>
      </c>
      <c r="F39" t="s">
        <v>1335</v>
      </c>
      <c r="G39" t="s">
        <v>152</v>
      </c>
      <c r="H39" t="s">
        <v>174</v>
      </c>
      <c r="I39" t="s">
        <v>154</v>
      </c>
      <c r="J39">
        <v>19970627</v>
      </c>
    </row>
    <row r="40" spans="1:10">
      <c r="A40" t="s">
        <v>1336</v>
      </c>
      <c r="B40">
        <v>600112</v>
      </c>
      <c r="C40" t="s">
        <v>1337</v>
      </c>
      <c r="D40" t="s">
        <v>463</v>
      </c>
      <c r="E40" t="s">
        <v>17</v>
      </c>
      <c r="F40" t="s">
        <v>1338</v>
      </c>
      <c r="G40" t="s">
        <v>152</v>
      </c>
      <c r="H40" t="s">
        <v>174</v>
      </c>
      <c r="I40" t="s">
        <v>154</v>
      </c>
      <c r="J40">
        <v>19971127</v>
      </c>
    </row>
    <row r="41" spans="1:10">
      <c r="A41" t="s">
        <v>1339</v>
      </c>
      <c r="B41">
        <v>600152</v>
      </c>
      <c r="C41" t="s">
        <v>1340</v>
      </c>
      <c r="D41" t="s">
        <v>423</v>
      </c>
      <c r="E41" t="s">
        <v>17</v>
      </c>
      <c r="F41" t="s">
        <v>1341</v>
      </c>
      <c r="G41" t="s">
        <v>152</v>
      </c>
      <c r="H41" t="s">
        <v>174</v>
      </c>
      <c r="I41" t="s">
        <v>154</v>
      </c>
      <c r="J41">
        <v>19980609</v>
      </c>
    </row>
    <row r="42" spans="1:10">
      <c r="A42" t="s">
        <v>1342</v>
      </c>
      <c r="B42">
        <v>600171</v>
      </c>
      <c r="C42" t="s">
        <v>1343</v>
      </c>
      <c r="D42" t="s">
        <v>172</v>
      </c>
      <c r="E42" t="s">
        <v>31</v>
      </c>
      <c r="F42" t="s">
        <v>1344</v>
      </c>
      <c r="G42" t="s">
        <v>152</v>
      </c>
      <c r="H42" t="s">
        <v>174</v>
      </c>
      <c r="I42" t="s">
        <v>154</v>
      </c>
      <c r="J42">
        <v>19980924</v>
      </c>
    </row>
    <row r="43" spans="1:10">
      <c r="A43" t="s">
        <v>1345</v>
      </c>
      <c r="B43">
        <v>600183</v>
      </c>
      <c r="C43" t="s">
        <v>1346</v>
      </c>
      <c r="D43" t="s">
        <v>223</v>
      </c>
      <c r="E43" t="s">
        <v>42</v>
      </c>
      <c r="F43" t="s">
        <v>1347</v>
      </c>
      <c r="G43" t="s">
        <v>152</v>
      </c>
      <c r="H43" t="s">
        <v>174</v>
      </c>
      <c r="I43" t="s">
        <v>154</v>
      </c>
      <c r="J43">
        <v>19981028</v>
      </c>
    </row>
    <row r="44" spans="1:10">
      <c r="A44" t="s">
        <v>1348</v>
      </c>
      <c r="B44">
        <v>600192</v>
      </c>
      <c r="C44" t="s">
        <v>1349</v>
      </c>
      <c r="D44" t="s">
        <v>177</v>
      </c>
      <c r="E44" t="s">
        <v>17</v>
      </c>
      <c r="F44" t="s">
        <v>1350</v>
      </c>
      <c r="G44" t="s">
        <v>152</v>
      </c>
      <c r="H44" t="s">
        <v>174</v>
      </c>
      <c r="I44" t="s">
        <v>154</v>
      </c>
      <c r="J44">
        <v>19981224</v>
      </c>
    </row>
    <row r="45" spans="1:10">
      <c r="A45" t="s">
        <v>1351</v>
      </c>
      <c r="B45">
        <v>600203</v>
      </c>
      <c r="C45" t="s">
        <v>1352</v>
      </c>
      <c r="D45" t="s">
        <v>150</v>
      </c>
      <c r="E45" t="s">
        <v>42</v>
      </c>
      <c r="F45" t="s">
        <v>1353</v>
      </c>
      <c r="G45" t="s">
        <v>152</v>
      </c>
      <c r="H45" t="s">
        <v>174</v>
      </c>
      <c r="I45" t="s">
        <v>154</v>
      </c>
      <c r="J45">
        <v>19990514</v>
      </c>
    </row>
    <row r="46" spans="1:10">
      <c r="A46" t="s">
        <v>1354</v>
      </c>
      <c r="B46">
        <v>600206</v>
      </c>
      <c r="C46" t="s">
        <v>1355</v>
      </c>
      <c r="D46" t="s">
        <v>164</v>
      </c>
      <c r="E46" t="s">
        <v>31</v>
      </c>
      <c r="F46" t="s">
        <v>1356</v>
      </c>
      <c r="G46" t="s">
        <v>152</v>
      </c>
      <c r="H46" t="s">
        <v>174</v>
      </c>
      <c r="I46" t="s">
        <v>154</v>
      </c>
      <c r="J46">
        <v>19990319</v>
      </c>
    </row>
    <row r="47" spans="1:10">
      <c r="A47" t="s">
        <v>1357</v>
      </c>
      <c r="B47">
        <v>600207</v>
      </c>
      <c r="C47" t="s">
        <v>1358</v>
      </c>
      <c r="D47" t="s">
        <v>292</v>
      </c>
      <c r="E47" t="s">
        <v>17</v>
      </c>
      <c r="F47" t="s">
        <v>1359</v>
      </c>
      <c r="G47" t="s">
        <v>152</v>
      </c>
      <c r="H47" t="s">
        <v>174</v>
      </c>
      <c r="I47" t="s">
        <v>154</v>
      </c>
      <c r="J47">
        <v>19990714</v>
      </c>
    </row>
    <row r="48" spans="1:10">
      <c r="A48" t="s">
        <v>1360</v>
      </c>
      <c r="B48">
        <v>600237</v>
      </c>
      <c r="C48" t="s">
        <v>1361</v>
      </c>
      <c r="D48" t="s">
        <v>160</v>
      </c>
      <c r="E48" t="s">
        <v>42</v>
      </c>
      <c r="F48" t="s">
        <v>1362</v>
      </c>
      <c r="G48" t="s">
        <v>152</v>
      </c>
      <c r="H48" t="s">
        <v>174</v>
      </c>
      <c r="I48" t="s">
        <v>154</v>
      </c>
      <c r="J48">
        <v>20000609</v>
      </c>
    </row>
    <row r="49" spans="1:10">
      <c r="A49" t="s">
        <v>1363</v>
      </c>
      <c r="B49">
        <v>600241</v>
      </c>
      <c r="C49" t="s">
        <v>1364</v>
      </c>
      <c r="D49" t="s">
        <v>236</v>
      </c>
      <c r="E49" t="s">
        <v>17</v>
      </c>
      <c r="F49" t="s">
        <v>1365</v>
      </c>
      <c r="G49" t="s">
        <v>152</v>
      </c>
      <c r="H49" t="s">
        <v>174</v>
      </c>
      <c r="I49" t="s">
        <v>154</v>
      </c>
      <c r="J49">
        <v>20001128</v>
      </c>
    </row>
    <row r="50" spans="1:10">
      <c r="A50" t="s">
        <v>1366</v>
      </c>
      <c r="B50">
        <v>600268</v>
      </c>
      <c r="C50" t="s">
        <v>1367</v>
      </c>
      <c r="D50" t="s">
        <v>212</v>
      </c>
      <c r="E50" t="s">
        <v>17</v>
      </c>
      <c r="F50" t="s">
        <v>1368</v>
      </c>
      <c r="G50" t="s">
        <v>152</v>
      </c>
      <c r="H50" t="s">
        <v>174</v>
      </c>
      <c r="I50" t="s">
        <v>154</v>
      </c>
      <c r="J50">
        <v>19991118</v>
      </c>
    </row>
    <row r="51" spans="1:10">
      <c r="A51" t="s">
        <v>1369</v>
      </c>
      <c r="B51">
        <v>600288</v>
      </c>
      <c r="C51" t="s">
        <v>1370</v>
      </c>
      <c r="D51" t="s">
        <v>164</v>
      </c>
      <c r="E51" t="s">
        <v>42</v>
      </c>
      <c r="F51" t="s">
        <v>1371</v>
      </c>
      <c r="G51" t="s">
        <v>152</v>
      </c>
      <c r="H51" t="s">
        <v>174</v>
      </c>
      <c r="I51" t="s">
        <v>154</v>
      </c>
      <c r="J51">
        <v>20001129</v>
      </c>
    </row>
    <row r="52" spans="1:10">
      <c r="A52" t="s">
        <v>1372</v>
      </c>
      <c r="B52">
        <v>600290</v>
      </c>
      <c r="C52" t="s">
        <v>1373</v>
      </c>
      <c r="D52" t="s">
        <v>423</v>
      </c>
      <c r="E52" t="s">
        <v>17</v>
      </c>
      <c r="F52" t="s">
        <v>1374</v>
      </c>
      <c r="G52" t="s">
        <v>152</v>
      </c>
      <c r="H52" t="s">
        <v>174</v>
      </c>
      <c r="I52" t="s">
        <v>154</v>
      </c>
      <c r="J52">
        <v>20001106</v>
      </c>
    </row>
    <row r="53" spans="1:10">
      <c r="A53" t="s">
        <v>1375</v>
      </c>
      <c r="B53">
        <v>600312</v>
      </c>
      <c r="C53" t="s">
        <v>1376</v>
      </c>
      <c r="D53" t="s">
        <v>292</v>
      </c>
      <c r="E53" t="s">
        <v>17</v>
      </c>
      <c r="F53" t="s">
        <v>1377</v>
      </c>
      <c r="G53" t="s">
        <v>152</v>
      </c>
      <c r="H53" t="s">
        <v>174</v>
      </c>
      <c r="I53" t="s">
        <v>154</v>
      </c>
      <c r="J53">
        <v>20010221</v>
      </c>
    </row>
    <row r="54" spans="1:10">
      <c r="A54" t="s">
        <v>1378</v>
      </c>
      <c r="B54">
        <v>600330</v>
      </c>
      <c r="C54" t="s">
        <v>1379</v>
      </c>
      <c r="D54" t="s">
        <v>423</v>
      </c>
      <c r="E54" t="s">
        <v>42</v>
      </c>
      <c r="F54" t="s">
        <v>1380</v>
      </c>
      <c r="G54" t="s">
        <v>152</v>
      </c>
      <c r="H54" t="s">
        <v>174</v>
      </c>
      <c r="I54" t="s">
        <v>154</v>
      </c>
      <c r="J54">
        <v>20010118</v>
      </c>
    </row>
    <row r="55" spans="1:10">
      <c r="A55" t="s">
        <v>1381</v>
      </c>
      <c r="B55">
        <v>600353</v>
      </c>
      <c r="C55" t="s">
        <v>1382</v>
      </c>
      <c r="D55" t="s">
        <v>219</v>
      </c>
      <c r="E55" t="s">
        <v>42</v>
      </c>
      <c r="F55" t="s">
        <v>1383</v>
      </c>
      <c r="G55" t="s">
        <v>152</v>
      </c>
      <c r="H55" t="s">
        <v>174</v>
      </c>
      <c r="I55" t="s">
        <v>154</v>
      </c>
      <c r="J55">
        <v>20021120</v>
      </c>
    </row>
    <row r="56" spans="1:10">
      <c r="A56" t="s">
        <v>1384</v>
      </c>
      <c r="B56">
        <v>600355</v>
      </c>
      <c r="C56" t="s">
        <v>1385</v>
      </c>
      <c r="D56" t="s">
        <v>316</v>
      </c>
      <c r="E56" t="s">
        <v>42</v>
      </c>
      <c r="F56" t="s">
        <v>1386</v>
      </c>
      <c r="G56" t="s">
        <v>152</v>
      </c>
      <c r="H56" t="s">
        <v>174</v>
      </c>
      <c r="I56" t="s">
        <v>154</v>
      </c>
      <c r="J56">
        <v>20020613</v>
      </c>
    </row>
    <row r="57" spans="1:10">
      <c r="A57" t="s">
        <v>1387</v>
      </c>
      <c r="B57">
        <v>600360</v>
      </c>
      <c r="C57" t="s">
        <v>1388</v>
      </c>
      <c r="D57" t="s">
        <v>312</v>
      </c>
      <c r="E57" t="s">
        <v>31</v>
      </c>
      <c r="F57" t="s">
        <v>1389</v>
      </c>
      <c r="G57" t="s">
        <v>152</v>
      </c>
      <c r="H57" t="s">
        <v>174</v>
      </c>
      <c r="I57" t="s">
        <v>154</v>
      </c>
      <c r="J57">
        <v>20010316</v>
      </c>
    </row>
    <row r="58" spans="1:10">
      <c r="A58" t="s">
        <v>1390</v>
      </c>
      <c r="B58">
        <v>600363</v>
      </c>
      <c r="C58" t="s">
        <v>1391</v>
      </c>
      <c r="D58" t="s">
        <v>406</v>
      </c>
      <c r="E58" t="s">
        <v>42</v>
      </c>
      <c r="F58" t="s">
        <v>1392</v>
      </c>
      <c r="G58" t="s">
        <v>152</v>
      </c>
      <c r="H58" t="s">
        <v>174</v>
      </c>
      <c r="I58" t="s">
        <v>154</v>
      </c>
      <c r="J58">
        <v>20010329</v>
      </c>
    </row>
    <row r="59" spans="1:10">
      <c r="A59" t="s">
        <v>1393</v>
      </c>
      <c r="B59">
        <v>600379</v>
      </c>
      <c r="C59" t="s">
        <v>1394</v>
      </c>
      <c r="D59" t="s">
        <v>419</v>
      </c>
      <c r="E59" t="s">
        <v>17</v>
      </c>
      <c r="F59" t="s">
        <v>1395</v>
      </c>
      <c r="G59" t="s">
        <v>152</v>
      </c>
      <c r="H59" t="s">
        <v>174</v>
      </c>
      <c r="I59" t="s">
        <v>154</v>
      </c>
      <c r="J59">
        <v>20020116</v>
      </c>
    </row>
    <row r="60" spans="1:10">
      <c r="A60" t="s">
        <v>1396</v>
      </c>
      <c r="B60">
        <v>600405</v>
      </c>
      <c r="C60" t="s">
        <v>1397</v>
      </c>
      <c r="D60" t="s">
        <v>164</v>
      </c>
      <c r="E60" t="s">
        <v>17</v>
      </c>
      <c r="F60" t="s">
        <v>1398</v>
      </c>
      <c r="G60" t="s">
        <v>152</v>
      </c>
      <c r="H60" t="s">
        <v>174</v>
      </c>
      <c r="I60" t="s">
        <v>154</v>
      </c>
      <c r="J60">
        <v>20040401</v>
      </c>
    </row>
    <row r="61" spans="1:10">
      <c r="A61" t="s">
        <v>1399</v>
      </c>
      <c r="B61">
        <v>600406</v>
      </c>
      <c r="C61" t="s">
        <v>1400</v>
      </c>
      <c r="D61" t="s">
        <v>212</v>
      </c>
      <c r="E61" t="s">
        <v>17</v>
      </c>
      <c r="F61" t="s">
        <v>1401</v>
      </c>
      <c r="G61" t="s">
        <v>152</v>
      </c>
      <c r="H61" t="s">
        <v>174</v>
      </c>
      <c r="I61" t="s">
        <v>154</v>
      </c>
      <c r="J61">
        <v>20031016</v>
      </c>
    </row>
    <row r="62" spans="1:10">
      <c r="A62" t="s">
        <v>1402</v>
      </c>
      <c r="B62">
        <v>600416</v>
      </c>
      <c r="C62" t="s">
        <v>1403</v>
      </c>
      <c r="D62" t="s">
        <v>168</v>
      </c>
      <c r="E62" t="s">
        <v>17</v>
      </c>
      <c r="F62" t="s">
        <v>1404</v>
      </c>
      <c r="G62" t="s">
        <v>152</v>
      </c>
      <c r="H62" t="s">
        <v>174</v>
      </c>
      <c r="I62" t="s">
        <v>154</v>
      </c>
      <c r="J62">
        <v>20020718</v>
      </c>
    </row>
    <row r="63" spans="1:10">
      <c r="A63" t="s">
        <v>1405</v>
      </c>
      <c r="B63">
        <v>600438</v>
      </c>
      <c r="C63" t="s">
        <v>1406</v>
      </c>
      <c r="D63" t="s">
        <v>219</v>
      </c>
      <c r="E63" t="s">
        <v>17</v>
      </c>
      <c r="F63" t="s">
        <v>1407</v>
      </c>
      <c r="G63" t="s">
        <v>152</v>
      </c>
      <c r="H63" t="s">
        <v>174</v>
      </c>
      <c r="I63" t="s">
        <v>154</v>
      </c>
      <c r="J63">
        <v>20040302</v>
      </c>
    </row>
    <row r="64" spans="1:10">
      <c r="A64" t="s">
        <v>1408</v>
      </c>
      <c r="B64">
        <v>600460</v>
      </c>
      <c r="C64" t="s">
        <v>1409</v>
      </c>
      <c r="D64" t="s">
        <v>423</v>
      </c>
      <c r="E64" t="s">
        <v>31</v>
      </c>
      <c r="F64" t="s">
        <v>1410</v>
      </c>
      <c r="G64" t="s">
        <v>152</v>
      </c>
      <c r="H64" t="s">
        <v>174</v>
      </c>
      <c r="I64" t="s">
        <v>154</v>
      </c>
      <c r="J64">
        <v>20030311</v>
      </c>
    </row>
    <row r="65" spans="1:10">
      <c r="A65" t="s">
        <v>1411</v>
      </c>
      <c r="B65">
        <v>600468</v>
      </c>
      <c r="C65" t="s">
        <v>1412</v>
      </c>
      <c r="D65" t="s">
        <v>576</v>
      </c>
      <c r="E65" t="s">
        <v>17</v>
      </c>
      <c r="F65" t="s">
        <v>1413</v>
      </c>
      <c r="G65" t="s">
        <v>152</v>
      </c>
      <c r="H65" t="s">
        <v>174</v>
      </c>
      <c r="I65" t="s">
        <v>154</v>
      </c>
      <c r="J65">
        <v>20010615</v>
      </c>
    </row>
    <row r="66" spans="1:10">
      <c r="A66" t="s">
        <v>1414</v>
      </c>
      <c r="B66">
        <v>600478</v>
      </c>
      <c r="C66" t="s">
        <v>1415</v>
      </c>
      <c r="D66" t="s">
        <v>168</v>
      </c>
      <c r="E66" t="s">
        <v>17</v>
      </c>
      <c r="F66" t="s">
        <v>1416</v>
      </c>
      <c r="G66" t="s">
        <v>152</v>
      </c>
      <c r="H66" t="s">
        <v>174</v>
      </c>
      <c r="I66" t="s">
        <v>154</v>
      </c>
      <c r="J66">
        <v>20030918</v>
      </c>
    </row>
    <row r="67" spans="1:10">
      <c r="A67" t="s">
        <v>1417</v>
      </c>
      <c r="B67">
        <v>600520</v>
      </c>
      <c r="C67" t="s">
        <v>1418</v>
      </c>
      <c r="D67" t="s">
        <v>160</v>
      </c>
      <c r="E67" t="s">
        <v>31</v>
      </c>
      <c r="F67" t="s">
        <v>1419</v>
      </c>
      <c r="G67" t="s">
        <v>152</v>
      </c>
      <c r="H67" t="s">
        <v>174</v>
      </c>
      <c r="I67" t="s">
        <v>154</v>
      </c>
      <c r="J67">
        <v>20020108</v>
      </c>
    </row>
    <row r="68" spans="1:10">
      <c r="A68" t="s">
        <v>1420</v>
      </c>
      <c r="B68">
        <v>600525</v>
      </c>
      <c r="C68" t="s">
        <v>1421</v>
      </c>
      <c r="D68" t="s">
        <v>243</v>
      </c>
      <c r="E68" t="s">
        <v>17</v>
      </c>
      <c r="F68" t="s">
        <v>1422</v>
      </c>
      <c r="G68" t="s">
        <v>152</v>
      </c>
      <c r="H68" t="s">
        <v>174</v>
      </c>
      <c r="I68" t="s">
        <v>154</v>
      </c>
      <c r="J68">
        <v>20021202</v>
      </c>
    </row>
    <row r="69" spans="1:10">
      <c r="A69" t="s">
        <v>1423</v>
      </c>
      <c r="B69">
        <v>600537</v>
      </c>
      <c r="C69" t="s">
        <v>1424</v>
      </c>
      <c r="D69" t="s">
        <v>423</v>
      </c>
      <c r="E69" t="s">
        <v>17</v>
      </c>
      <c r="F69" t="s">
        <v>1425</v>
      </c>
      <c r="G69" t="s">
        <v>152</v>
      </c>
      <c r="H69" t="s">
        <v>174</v>
      </c>
      <c r="I69" t="s">
        <v>154</v>
      </c>
      <c r="J69">
        <v>20030123</v>
      </c>
    </row>
    <row r="70" spans="1:10">
      <c r="A70" t="s">
        <v>1426</v>
      </c>
      <c r="B70">
        <v>600550</v>
      </c>
      <c r="C70" t="s">
        <v>1427</v>
      </c>
      <c r="D70" t="s">
        <v>279</v>
      </c>
      <c r="E70" t="s">
        <v>17</v>
      </c>
      <c r="F70" t="s">
        <v>1428</v>
      </c>
      <c r="G70" t="s">
        <v>152</v>
      </c>
      <c r="H70" t="s">
        <v>174</v>
      </c>
      <c r="I70" t="s">
        <v>154</v>
      </c>
      <c r="J70">
        <v>20010228</v>
      </c>
    </row>
    <row r="71" spans="1:10">
      <c r="A71" t="s">
        <v>1429</v>
      </c>
      <c r="B71">
        <v>600552</v>
      </c>
      <c r="C71" t="s">
        <v>1430</v>
      </c>
      <c r="D71" t="s">
        <v>160</v>
      </c>
      <c r="E71" t="s">
        <v>42</v>
      </c>
      <c r="F71" t="s">
        <v>1431</v>
      </c>
      <c r="G71" t="s">
        <v>152</v>
      </c>
      <c r="H71" t="s">
        <v>174</v>
      </c>
      <c r="I71" t="s">
        <v>154</v>
      </c>
      <c r="J71">
        <v>20021108</v>
      </c>
    </row>
    <row r="72" spans="1:10">
      <c r="A72" t="s">
        <v>1432</v>
      </c>
      <c r="B72">
        <v>600560</v>
      </c>
      <c r="C72" t="s">
        <v>1433</v>
      </c>
      <c r="D72" t="s">
        <v>164</v>
      </c>
      <c r="E72" t="s">
        <v>17</v>
      </c>
      <c r="F72" t="s">
        <v>1434</v>
      </c>
      <c r="G72" t="s">
        <v>152</v>
      </c>
      <c r="H72" t="s">
        <v>174</v>
      </c>
      <c r="I72" t="s">
        <v>154</v>
      </c>
      <c r="J72">
        <v>20020919</v>
      </c>
    </row>
    <row r="73" spans="1:10">
      <c r="A73" t="s">
        <v>1435</v>
      </c>
      <c r="B73">
        <v>600563</v>
      </c>
      <c r="C73" t="s">
        <v>1436</v>
      </c>
      <c r="D73" t="s">
        <v>150</v>
      </c>
      <c r="E73" t="s">
        <v>42</v>
      </c>
      <c r="F73" t="s">
        <v>1437</v>
      </c>
      <c r="G73" t="s">
        <v>152</v>
      </c>
      <c r="H73" t="s">
        <v>174</v>
      </c>
      <c r="I73" t="s">
        <v>154</v>
      </c>
      <c r="J73">
        <v>20021210</v>
      </c>
    </row>
    <row r="74" spans="1:10">
      <c r="A74" t="s">
        <v>1438</v>
      </c>
      <c r="B74">
        <v>600577</v>
      </c>
      <c r="C74" t="s">
        <v>1439</v>
      </c>
      <c r="D74" t="s">
        <v>160</v>
      </c>
      <c r="E74" t="s">
        <v>17</v>
      </c>
      <c r="F74" t="s">
        <v>1440</v>
      </c>
      <c r="G74" t="s">
        <v>152</v>
      </c>
      <c r="H74" t="s">
        <v>174</v>
      </c>
      <c r="I74" t="s">
        <v>154</v>
      </c>
      <c r="J74">
        <v>20020911</v>
      </c>
    </row>
    <row r="75" spans="1:10">
      <c r="A75" t="s">
        <v>1441</v>
      </c>
      <c r="B75">
        <v>600580</v>
      </c>
      <c r="C75" t="s">
        <v>1442</v>
      </c>
      <c r="D75" t="s">
        <v>423</v>
      </c>
      <c r="E75" t="s">
        <v>17</v>
      </c>
      <c r="F75" t="s">
        <v>1443</v>
      </c>
      <c r="G75" t="s">
        <v>152</v>
      </c>
      <c r="H75" t="s">
        <v>174</v>
      </c>
      <c r="I75" t="s">
        <v>154</v>
      </c>
      <c r="J75">
        <v>20020606</v>
      </c>
    </row>
    <row r="76" spans="1:10">
      <c r="A76" t="s">
        <v>1444</v>
      </c>
      <c r="B76">
        <v>600584</v>
      </c>
      <c r="C76" t="s">
        <v>1445</v>
      </c>
      <c r="D76" t="s">
        <v>212</v>
      </c>
      <c r="E76" t="s">
        <v>31</v>
      </c>
      <c r="F76" t="s">
        <v>1446</v>
      </c>
      <c r="G76" t="s">
        <v>152</v>
      </c>
      <c r="H76" t="s">
        <v>174</v>
      </c>
      <c r="I76" t="s">
        <v>154</v>
      </c>
      <c r="J76">
        <v>20030603</v>
      </c>
    </row>
    <row r="77" spans="1:10">
      <c r="A77" t="s">
        <v>1447</v>
      </c>
      <c r="B77">
        <v>600590</v>
      </c>
      <c r="C77" t="s">
        <v>1448</v>
      </c>
      <c r="D77" t="s">
        <v>406</v>
      </c>
      <c r="E77" t="s">
        <v>17</v>
      </c>
      <c r="F77" t="s">
        <v>1449</v>
      </c>
      <c r="G77" t="s">
        <v>152</v>
      </c>
      <c r="H77" t="s">
        <v>174</v>
      </c>
      <c r="I77" t="s">
        <v>154</v>
      </c>
      <c r="J77">
        <v>20020703</v>
      </c>
    </row>
    <row r="78" spans="1:10">
      <c r="A78" t="s">
        <v>1450</v>
      </c>
      <c r="B78">
        <v>600601</v>
      </c>
      <c r="C78" t="s">
        <v>1451</v>
      </c>
      <c r="D78" t="s">
        <v>172</v>
      </c>
      <c r="E78" t="s">
        <v>42</v>
      </c>
      <c r="F78" t="s">
        <v>1452</v>
      </c>
      <c r="G78" t="s">
        <v>152</v>
      </c>
      <c r="H78" t="s">
        <v>174</v>
      </c>
      <c r="I78" t="s">
        <v>154</v>
      </c>
      <c r="J78">
        <v>19901219</v>
      </c>
    </row>
    <row r="79" spans="1:10">
      <c r="A79" t="s">
        <v>1453</v>
      </c>
      <c r="B79">
        <v>600651</v>
      </c>
      <c r="C79" t="s">
        <v>1454</v>
      </c>
      <c r="D79" t="s">
        <v>172</v>
      </c>
      <c r="E79" t="s">
        <v>27</v>
      </c>
      <c r="F79" t="s">
        <v>1455</v>
      </c>
      <c r="G79" t="s">
        <v>152</v>
      </c>
      <c r="H79" t="s">
        <v>174</v>
      </c>
      <c r="I79" t="s">
        <v>154</v>
      </c>
      <c r="J79">
        <v>19901219</v>
      </c>
    </row>
    <row r="80" spans="1:10">
      <c r="A80" t="s">
        <v>1456</v>
      </c>
      <c r="B80">
        <v>600666</v>
      </c>
      <c r="C80" t="s">
        <v>1457</v>
      </c>
      <c r="D80" t="s">
        <v>194</v>
      </c>
      <c r="E80" t="s">
        <v>42</v>
      </c>
      <c r="F80" t="s">
        <v>1458</v>
      </c>
      <c r="G80" t="s">
        <v>152</v>
      </c>
      <c r="H80" t="s">
        <v>174</v>
      </c>
      <c r="I80" t="s">
        <v>154</v>
      </c>
      <c r="J80">
        <v>19930712</v>
      </c>
    </row>
    <row r="81" spans="1:10">
      <c r="A81" t="s">
        <v>1459</v>
      </c>
      <c r="B81">
        <v>600667</v>
      </c>
      <c r="C81" t="s">
        <v>1460</v>
      </c>
      <c r="D81" t="s">
        <v>212</v>
      </c>
      <c r="E81" t="s">
        <v>31</v>
      </c>
      <c r="F81" t="s">
        <v>1461</v>
      </c>
      <c r="G81" t="s">
        <v>152</v>
      </c>
      <c r="H81" t="s">
        <v>174</v>
      </c>
      <c r="I81" t="s">
        <v>154</v>
      </c>
      <c r="J81">
        <v>19930728</v>
      </c>
    </row>
    <row r="82" spans="1:10">
      <c r="A82" t="s">
        <v>1462</v>
      </c>
      <c r="B82">
        <v>600703</v>
      </c>
      <c r="C82" t="s">
        <v>1463</v>
      </c>
      <c r="D82" t="s">
        <v>316</v>
      </c>
      <c r="E82" t="s">
        <v>31</v>
      </c>
      <c r="F82" t="s">
        <v>1464</v>
      </c>
      <c r="G82" t="s">
        <v>152</v>
      </c>
      <c r="H82" t="s">
        <v>174</v>
      </c>
      <c r="I82" t="s">
        <v>154</v>
      </c>
      <c r="J82">
        <v>19960528</v>
      </c>
    </row>
    <row r="83" spans="1:10">
      <c r="A83" t="s">
        <v>1465</v>
      </c>
      <c r="B83">
        <v>600707</v>
      </c>
      <c r="C83" t="s">
        <v>1466</v>
      </c>
      <c r="D83" t="s">
        <v>419</v>
      </c>
      <c r="E83" t="s">
        <v>42</v>
      </c>
      <c r="F83" t="s">
        <v>1467</v>
      </c>
      <c r="G83" t="s">
        <v>152</v>
      </c>
      <c r="H83" t="s">
        <v>174</v>
      </c>
      <c r="I83" t="s">
        <v>154</v>
      </c>
      <c r="J83">
        <v>19960520</v>
      </c>
    </row>
    <row r="84" spans="1:10">
      <c r="A84" t="s">
        <v>1468</v>
      </c>
      <c r="B84">
        <v>600732</v>
      </c>
      <c r="C84" t="s">
        <v>1469</v>
      </c>
      <c r="D84" t="s">
        <v>172</v>
      </c>
      <c r="E84" t="s">
        <v>17</v>
      </c>
      <c r="F84" t="s">
        <v>1470</v>
      </c>
      <c r="G84" t="s">
        <v>152</v>
      </c>
      <c r="H84" t="s">
        <v>174</v>
      </c>
      <c r="I84" t="s">
        <v>154</v>
      </c>
      <c r="J84">
        <v>19960816</v>
      </c>
    </row>
    <row r="85" spans="1:10">
      <c r="A85" t="s">
        <v>1471</v>
      </c>
      <c r="B85">
        <v>600734</v>
      </c>
      <c r="C85" t="s">
        <v>1472</v>
      </c>
      <c r="D85" t="s">
        <v>150</v>
      </c>
      <c r="E85" t="s">
        <v>1</v>
      </c>
      <c r="F85" t="s">
        <v>1473</v>
      </c>
      <c r="G85" t="s">
        <v>152</v>
      </c>
      <c r="H85" t="s">
        <v>174</v>
      </c>
      <c r="I85" t="s">
        <v>154</v>
      </c>
      <c r="J85">
        <v>19960808</v>
      </c>
    </row>
    <row r="86" spans="1:10">
      <c r="A86" t="s">
        <v>1474</v>
      </c>
      <c r="B86">
        <v>600745</v>
      </c>
      <c r="C86" t="s">
        <v>1475</v>
      </c>
      <c r="D86" t="s">
        <v>316</v>
      </c>
      <c r="E86" t="s">
        <v>31</v>
      </c>
      <c r="F86" t="s">
        <v>1476</v>
      </c>
      <c r="G86" t="s">
        <v>152</v>
      </c>
      <c r="H86" t="s">
        <v>174</v>
      </c>
      <c r="I86" t="s">
        <v>154</v>
      </c>
      <c r="J86">
        <v>19960828</v>
      </c>
    </row>
    <row r="87" spans="1:10">
      <c r="A87" t="s">
        <v>1477</v>
      </c>
      <c r="B87">
        <v>600751</v>
      </c>
      <c r="C87" t="s">
        <v>1478</v>
      </c>
      <c r="D87" t="s">
        <v>576</v>
      </c>
      <c r="E87" t="s">
        <v>42</v>
      </c>
      <c r="F87" t="s">
        <v>1479</v>
      </c>
      <c r="G87" t="s">
        <v>152</v>
      </c>
      <c r="H87" t="s">
        <v>174</v>
      </c>
      <c r="I87" t="s">
        <v>154</v>
      </c>
      <c r="J87">
        <v>19960909</v>
      </c>
    </row>
    <row r="88" spans="1:10">
      <c r="A88" t="s">
        <v>1480</v>
      </c>
      <c r="B88">
        <v>600847</v>
      </c>
      <c r="C88" t="s">
        <v>1481</v>
      </c>
      <c r="D88" t="s">
        <v>937</v>
      </c>
      <c r="E88" t="s">
        <v>17</v>
      </c>
      <c r="F88" t="s">
        <v>1482</v>
      </c>
      <c r="G88" t="s">
        <v>152</v>
      </c>
      <c r="H88" t="s">
        <v>174</v>
      </c>
      <c r="I88" t="s">
        <v>154</v>
      </c>
      <c r="J88">
        <v>19940324</v>
      </c>
    </row>
    <row r="89" spans="1:10">
      <c r="A89" t="s">
        <v>1483</v>
      </c>
      <c r="B89">
        <v>600869</v>
      </c>
      <c r="C89" t="s">
        <v>1484</v>
      </c>
      <c r="D89" t="s">
        <v>308</v>
      </c>
      <c r="E89" t="s">
        <v>17</v>
      </c>
      <c r="F89" t="s">
        <v>1485</v>
      </c>
      <c r="G89" t="s">
        <v>152</v>
      </c>
      <c r="H89" t="s">
        <v>174</v>
      </c>
      <c r="I89" t="s">
        <v>154</v>
      </c>
      <c r="J89">
        <v>19950206</v>
      </c>
    </row>
    <row r="90" spans="1:10">
      <c r="A90" t="s">
        <v>1486</v>
      </c>
      <c r="B90">
        <v>600875</v>
      </c>
      <c r="C90" t="s">
        <v>1487</v>
      </c>
      <c r="D90" t="s">
        <v>219</v>
      </c>
      <c r="E90" t="s">
        <v>17</v>
      </c>
      <c r="F90" t="s">
        <v>1488</v>
      </c>
      <c r="G90" t="s">
        <v>152</v>
      </c>
      <c r="H90" t="s">
        <v>174</v>
      </c>
      <c r="I90" t="s">
        <v>154</v>
      </c>
      <c r="J90">
        <v>19951010</v>
      </c>
    </row>
    <row r="91" spans="1:10">
      <c r="A91" t="s">
        <v>1489</v>
      </c>
      <c r="B91">
        <v>600877</v>
      </c>
      <c r="C91" t="s">
        <v>1490</v>
      </c>
      <c r="D91" t="s">
        <v>937</v>
      </c>
      <c r="E91" t="s">
        <v>31</v>
      </c>
      <c r="F91" t="s">
        <v>1491</v>
      </c>
      <c r="G91" t="s">
        <v>152</v>
      </c>
      <c r="H91" t="s">
        <v>174</v>
      </c>
      <c r="I91" t="s">
        <v>154</v>
      </c>
      <c r="J91">
        <v>19951013</v>
      </c>
    </row>
    <row r="92" spans="1:10">
      <c r="A92" t="s">
        <v>1492</v>
      </c>
      <c r="B92">
        <v>600884</v>
      </c>
      <c r="C92" t="s">
        <v>1493</v>
      </c>
      <c r="D92" t="s">
        <v>423</v>
      </c>
      <c r="E92" t="s">
        <v>17</v>
      </c>
      <c r="F92" t="s">
        <v>1494</v>
      </c>
      <c r="G92" t="s">
        <v>152</v>
      </c>
      <c r="H92" t="s">
        <v>174</v>
      </c>
      <c r="I92" t="s">
        <v>154</v>
      </c>
      <c r="J92">
        <v>19960130</v>
      </c>
    </row>
    <row r="93" spans="1:10">
      <c r="A93" t="s">
        <v>1495</v>
      </c>
      <c r="B93">
        <v>600885</v>
      </c>
      <c r="C93" t="s">
        <v>1496</v>
      </c>
      <c r="D93" t="s">
        <v>316</v>
      </c>
      <c r="E93" t="s">
        <v>17</v>
      </c>
      <c r="F93" t="s">
        <v>1497</v>
      </c>
      <c r="G93" t="s">
        <v>152</v>
      </c>
      <c r="H93" t="s">
        <v>174</v>
      </c>
      <c r="I93" t="s">
        <v>154</v>
      </c>
      <c r="J93">
        <v>19960205</v>
      </c>
    </row>
    <row r="94" spans="1:10">
      <c r="A94" t="s">
        <v>1498</v>
      </c>
      <c r="B94">
        <v>600973</v>
      </c>
      <c r="C94" t="s">
        <v>1499</v>
      </c>
      <c r="D94" t="s">
        <v>212</v>
      </c>
      <c r="E94" t="s">
        <v>17</v>
      </c>
      <c r="F94" t="s">
        <v>1500</v>
      </c>
      <c r="G94" t="s">
        <v>152</v>
      </c>
      <c r="H94" t="s">
        <v>174</v>
      </c>
      <c r="I94" t="s">
        <v>154</v>
      </c>
      <c r="J94">
        <v>20040802</v>
      </c>
    </row>
    <row r="95" spans="1:10">
      <c r="A95" t="s">
        <v>1501</v>
      </c>
      <c r="B95">
        <v>601012</v>
      </c>
      <c r="C95" t="s">
        <v>1502</v>
      </c>
      <c r="D95" t="s">
        <v>419</v>
      </c>
      <c r="E95" t="s">
        <v>17</v>
      </c>
      <c r="F95" t="s">
        <v>1503</v>
      </c>
      <c r="G95" t="s">
        <v>152</v>
      </c>
      <c r="H95" t="s">
        <v>174</v>
      </c>
      <c r="I95" t="s">
        <v>154</v>
      </c>
      <c r="J95">
        <v>20120411</v>
      </c>
    </row>
    <row r="96" spans="1:10">
      <c r="A96" t="s">
        <v>1504</v>
      </c>
      <c r="B96">
        <v>601126</v>
      </c>
      <c r="C96" t="s">
        <v>1505</v>
      </c>
      <c r="D96" t="s">
        <v>164</v>
      </c>
      <c r="E96" t="s">
        <v>17</v>
      </c>
      <c r="F96" t="s">
        <v>1506</v>
      </c>
      <c r="G96" t="s">
        <v>152</v>
      </c>
      <c r="H96" t="s">
        <v>174</v>
      </c>
      <c r="I96" t="s">
        <v>154</v>
      </c>
      <c r="J96">
        <v>20101231</v>
      </c>
    </row>
    <row r="97" spans="1:10">
      <c r="A97" t="s">
        <v>1507</v>
      </c>
      <c r="B97">
        <v>601179</v>
      </c>
      <c r="C97" t="s">
        <v>1508</v>
      </c>
      <c r="D97" t="s">
        <v>419</v>
      </c>
      <c r="E97" t="s">
        <v>17</v>
      </c>
      <c r="F97" t="s">
        <v>1509</v>
      </c>
      <c r="G97" t="s">
        <v>152</v>
      </c>
      <c r="H97" t="s">
        <v>174</v>
      </c>
      <c r="I97" t="s">
        <v>154</v>
      </c>
      <c r="J97">
        <v>20100128</v>
      </c>
    </row>
    <row r="98" spans="1:10">
      <c r="A98" t="s">
        <v>1510</v>
      </c>
      <c r="B98">
        <v>601218</v>
      </c>
      <c r="C98" t="s">
        <v>1511</v>
      </c>
      <c r="D98" t="s">
        <v>212</v>
      </c>
      <c r="E98" t="s">
        <v>17</v>
      </c>
      <c r="F98" t="s">
        <v>1512</v>
      </c>
      <c r="G98" t="s">
        <v>152</v>
      </c>
      <c r="H98" t="s">
        <v>174</v>
      </c>
      <c r="I98" t="s">
        <v>154</v>
      </c>
      <c r="J98">
        <v>20110506</v>
      </c>
    </row>
    <row r="99" spans="1:10">
      <c r="A99" t="s">
        <v>1513</v>
      </c>
      <c r="B99">
        <v>601222</v>
      </c>
      <c r="C99" t="s">
        <v>1514</v>
      </c>
      <c r="D99" t="s">
        <v>212</v>
      </c>
      <c r="E99" t="s">
        <v>27</v>
      </c>
      <c r="F99" t="s">
        <v>1515</v>
      </c>
      <c r="G99" t="s">
        <v>152</v>
      </c>
      <c r="H99" t="s">
        <v>174</v>
      </c>
      <c r="I99" t="s">
        <v>154</v>
      </c>
      <c r="J99">
        <v>20110808</v>
      </c>
    </row>
    <row r="100" spans="1:10">
      <c r="A100" t="s">
        <v>1516</v>
      </c>
      <c r="B100">
        <v>601231</v>
      </c>
      <c r="C100" t="s">
        <v>1517</v>
      </c>
      <c r="D100" t="s">
        <v>172</v>
      </c>
      <c r="E100" t="s">
        <v>42</v>
      </c>
      <c r="F100" t="s">
        <v>1518</v>
      </c>
      <c r="G100" t="s">
        <v>152</v>
      </c>
      <c r="H100" t="s">
        <v>174</v>
      </c>
      <c r="I100" t="s">
        <v>154</v>
      </c>
      <c r="J100">
        <v>20120220</v>
      </c>
    </row>
    <row r="101" spans="1:10">
      <c r="A101" t="s">
        <v>1519</v>
      </c>
      <c r="B101">
        <v>601311</v>
      </c>
      <c r="C101" t="s">
        <v>1520</v>
      </c>
      <c r="D101" t="s">
        <v>316</v>
      </c>
      <c r="E101" t="s">
        <v>17</v>
      </c>
      <c r="F101" t="s">
        <v>1521</v>
      </c>
      <c r="G101" t="s">
        <v>152</v>
      </c>
      <c r="H101" t="s">
        <v>174</v>
      </c>
      <c r="I101" t="s">
        <v>154</v>
      </c>
      <c r="J101">
        <v>20110602</v>
      </c>
    </row>
    <row r="102" spans="1:10">
      <c r="A102" t="s">
        <v>1522</v>
      </c>
      <c r="B102">
        <v>601567</v>
      </c>
      <c r="C102" t="s">
        <v>1523</v>
      </c>
      <c r="D102" t="s">
        <v>423</v>
      </c>
      <c r="E102" t="s">
        <v>27</v>
      </c>
      <c r="F102" t="s">
        <v>1524</v>
      </c>
      <c r="G102" t="s">
        <v>152</v>
      </c>
      <c r="H102" t="s">
        <v>174</v>
      </c>
      <c r="I102" t="s">
        <v>154</v>
      </c>
      <c r="J102">
        <v>20110615</v>
      </c>
    </row>
    <row r="103" spans="1:10">
      <c r="A103" t="s">
        <v>1525</v>
      </c>
      <c r="B103">
        <v>601615</v>
      </c>
      <c r="C103" t="s">
        <v>1526</v>
      </c>
      <c r="D103" t="s">
        <v>223</v>
      </c>
      <c r="E103" t="s">
        <v>17</v>
      </c>
      <c r="F103" t="s">
        <v>1527</v>
      </c>
      <c r="G103" t="s">
        <v>152</v>
      </c>
      <c r="H103" t="s">
        <v>174</v>
      </c>
      <c r="I103" t="s">
        <v>154</v>
      </c>
      <c r="J103">
        <v>20190123</v>
      </c>
    </row>
    <row r="104" spans="1:10">
      <c r="A104" t="s">
        <v>1528</v>
      </c>
      <c r="B104">
        <v>601616</v>
      </c>
      <c r="C104" t="s">
        <v>1529</v>
      </c>
      <c r="D104" t="s">
        <v>172</v>
      </c>
      <c r="E104" t="s">
        <v>17</v>
      </c>
      <c r="F104" t="s">
        <v>1530</v>
      </c>
      <c r="G104" t="s">
        <v>152</v>
      </c>
      <c r="H104" t="s">
        <v>174</v>
      </c>
      <c r="I104" t="s">
        <v>154</v>
      </c>
      <c r="J104">
        <v>20110201</v>
      </c>
    </row>
    <row r="105" spans="1:10">
      <c r="A105" t="s">
        <v>1531</v>
      </c>
      <c r="B105">
        <v>601700</v>
      </c>
      <c r="C105" t="s">
        <v>1532</v>
      </c>
      <c r="D105" t="s">
        <v>212</v>
      </c>
      <c r="E105" t="s">
        <v>17</v>
      </c>
      <c r="F105" t="s">
        <v>1533</v>
      </c>
      <c r="G105" t="s">
        <v>152</v>
      </c>
      <c r="H105" t="s">
        <v>174</v>
      </c>
      <c r="I105" t="s">
        <v>154</v>
      </c>
      <c r="J105">
        <v>20110118</v>
      </c>
    </row>
    <row r="106" spans="1:10">
      <c r="A106" t="s">
        <v>1534</v>
      </c>
      <c r="B106">
        <v>601727</v>
      </c>
      <c r="C106" t="s">
        <v>1535</v>
      </c>
      <c r="D106" t="s">
        <v>172</v>
      </c>
      <c r="E106" t="s">
        <v>17</v>
      </c>
      <c r="F106" t="s">
        <v>1536</v>
      </c>
      <c r="G106" t="s">
        <v>152</v>
      </c>
      <c r="H106" t="s">
        <v>174</v>
      </c>
      <c r="I106" t="s">
        <v>154</v>
      </c>
      <c r="J106">
        <v>20081205</v>
      </c>
    </row>
    <row r="107" spans="1:10">
      <c r="A107" t="s">
        <v>1537</v>
      </c>
      <c r="B107">
        <v>601877</v>
      </c>
      <c r="C107" t="s">
        <v>1538</v>
      </c>
      <c r="D107" t="s">
        <v>423</v>
      </c>
      <c r="E107" t="s">
        <v>17</v>
      </c>
      <c r="F107" t="s">
        <v>1539</v>
      </c>
      <c r="G107" t="s">
        <v>152</v>
      </c>
      <c r="H107" t="s">
        <v>174</v>
      </c>
      <c r="I107" t="s">
        <v>154</v>
      </c>
      <c r="J107">
        <v>20100121</v>
      </c>
    </row>
    <row r="108" spans="1:10">
      <c r="A108" t="s">
        <v>1540</v>
      </c>
      <c r="B108">
        <v>603005</v>
      </c>
      <c r="C108" t="s">
        <v>1541</v>
      </c>
      <c r="D108" t="s">
        <v>212</v>
      </c>
      <c r="E108" t="s">
        <v>31</v>
      </c>
      <c r="F108" t="s">
        <v>1542</v>
      </c>
      <c r="G108" t="s">
        <v>152</v>
      </c>
      <c r="H108" t="s">
        <v>174</v>
      </c>
      <c r="I108" t="s">
        <v>154</v>
      </c>
      <c r="J108">
        <v>20140210</v>
      </c>
    </row>
    <row r="109" spans="1:10">
      <c r="A109" t="s">
        <v>1543</v>
      </c>
      <c r="B109">
        <v>603015</v>
      </c>
      <c r="C109" t="s">
        <v>1544</v>
      </c>
      <c r="D109" t="s">
        <v>423</v>
      </c>
      <c r="E109" t="s">
        <v>17</v>
      </c>
      <c r="F109" t="s">
        <v>1545</v>
      </c>
      <c r="G109" t="s">
        <v>152</v>
      </c>
      <c r="H109" t="s">
        <v>174</v>
      </c>
      <c r="I109" t="s">
        <v>154</v>
      </c>
      <c r="J109">
        <v>20150303</v>
      </c>
    </row>
    <row r="110" spans="1:10">
      <c r="A110" t="s">
        <v>1546</v>
      </c>
      <c r="B110">
        <v>603016</v>
      </c>
      <c r="C110" t="s">
        <v>1547</v>
      </c>
      <c r="D110" t="s">
        <v>212</v>
      </c>
      <c r="E110" t="s">
        <v>17</v>
      </c>
      <c r="F110" t="s">
        <v>1548</v>
      </c>
      <c r="G110" t="s">
        <v>152</v>
      </c>
      <c r="H110" t="s">
        <v>174</v>
      </c>
      <c r="I110" t="s">
        <v>154</v>
      </c>
      <c r="J110">
        <v>20160701</v>
      </c>
    </row>
    <row r="111" spans="1:10">
      <c r="A111" t="s">
        <v>1549</v>
      </c>
      <c r="B111">
        <v>603019</v>
      </c>
      <c r="C111" t="s">
        <v>1550</v>
      </c>
      <c r="D111" t="s">
        <v>576</v>
      </c>
      <c r="E111" t="s">
        <v>1</v>
      </c>
      <c r="F111" t="s">
        <v>1551</v>
      </c>
      <c r="G111" t="s">
        <v>152</v>
      </c>
      <c r="H111" t="s">
        <v>174</v>
      </c>
      <c r="I111" t="s">
        <v>154</v>
      </c>
      <c r="J111">
        <v>20141106</v>
      </c>
    </row>
    <row r="112" spans="1:10">
      <c r="A112" t="s">
        <v>1552</v>
      </c>
      <c r="B112">
        <v>603045</v>
      </c>
      <c r="C112" t="s">
        <v>1553</v>
      </c>
      <c r="D112" t="s">
        <v>423</v>
      </c>
      <c r="E112" t="s">
        <v>17</v>
      </c>
      <c r="F112" t="s">
        <v>1554</v>
      </c>
      <c r="G112" t="s">
        <v>152</v>
      </c>
      <c r="H112" t="s">
        <v>174</v>
      </c>
      <c r="I112" t="s">
        <v>154</v>
      </c>
      <c r="J112">
        <v>20180517</v>
      </c>
    </row>
    <row r="113" spans="1:10">
      <c r="A113" t="s">
        <v>1555</v>
      </c>
      <c r="B113">
        <v>603050</v>
      </c>
      <c r="C113" t="s">
        <v>1556</v>
      </c>
      <c r="D113" t="s">
        <v>279</v>
      </c>
      <c r="E113" t="s">
        <v>17</v>
      </c>
      <c r="F113" t="s">
        <v>1557</v>
      </c>
      <c r="G113" t="s">
        <v>152</v>
      </c>
      <c r="H113" t="s">
        <v>174</v>
      </c>
      <c r="I113" t="s">
        <v>154</v>
      </c>
      <c r="J113">
        <v>20170414</v>
      </c>
    </row>
    <row r="114" spans="1:10">
      <c r="A114" t="s">
        <v>1558</v>
      </c>
      <c r="B114">
        <v>603052</v>
      </c>
      <c r="C114" t="s">
        <v>1559</v>
      </c>
      <c r="D114" t="s">
        <v>212</v>
      </c>
      <c r="E114" t="s">
        <v>42</v>
      </c>
      <c r="F114" t="s">
        <v>1560</v>
      </c>
      <c r="G114" t="s">
        <v>152</v>
      </c>
      <c r="H114" t="s">
        <v>174</v>
      </c>
      <c r="I114" t="s">
        <v>154</v>
      </c>
      <c r="J114">
        <v>20221011</v>
      </c>
    </row>
    <row r="115" spans="1:10">
      <c r="A115" t="s">
        <v>1561</v>
      </c>
      <c r="B115">
        <v>603063</v>
      </c>
      <c r="C115" t="s">
        <v>1562</v>
      </c>
      <c r="D115" t="s">
        <v>243</v>
      </c>
      <c r="E115" t="s">
        <v>17</v>
      </c>
      <c r="F115" t="s">
        <v>1563</v>
      </c>
      <c r="G115" t="s">
        <v>152</v>
      </c>
      <c r="H115" t="s">
        <v>174</v>
      </c>
      <c r="I115" t="s">
        <v>154</v>
      </c>
      <c r="J115">
        <v>20170728</v>
      </c>
    </row>
    <row r="116" spans="1:10">
      <c r="A116" t="s">
        <v>1564</v>
      </c>
      <c r="B116">
        <v>603068</v>
      </c>
      <c r="C116" t="s">
        <v>1565</v>
      </c>
      <c r="D116" t="s">
        <v>172</v>
      </c>
      <c r="E116" t="s">
        <v>31</v>
      </c>
      <c r="F116" t="s">
        <v>1566</v>
      </c>
      <c r="G116" t="s">
        <v>152</v>
      </c>
      <c r="H116" t="s">
        <v>174</v>
      </c>
      <c r="I116" t="s">
        <v>154</v>
      </c>
      <c r="J116">
        <v>20190415</v>
      </c>
    </row>
    <row r="117" spans="1:10">
      <c r="A117" t="s">
        <v>1567</v>
      </c>
      <c r="B117">
        <v>603070</v>
      </c>
      <c r="C117" t="s">
        <v>1568</v>
      </c>
      <c r="D117" t="s">
        <v>423</v>
      </c>
      <c r="E117" t="s">
        <v>17</v>
      </c>
      <c r="F117" t="s">
        <v>1569</v>
      </c>
      <c r="G117" t="s">
        <v>152</v>
      </c>
      <c r="H117" t="s">
        <v>174</v>
      </c>
      <c r="I117" t="s">
        <v>154</v>
      </c>
      <c r="J117">
        <v>20220310</v>
      </c>
    </row>
    <row r="118" spans="1:10">
      <c r="A118" t="s">
        <v>1570</v>
      </c>
      <c r="B118">
        <v>603078</v>
      </c>
      <c r="C118" t="s">
        <v>1571</v>
      </c>
      <c r="D118" t="s">
        <v>212</v>
      </c>
      <c r="E118" t="s">
        <v>31</v>
      </c>
      <c r="F118" t="s">
        <v>1572</v>
      </c>
      <c r="G118" t="s">
        <v>152</v>
      </c>
      <c r="H118" t="s">
        <v>174</v>
      </c>
      <c r="I118" t="s">
        <v>154</v>
      </c>
      <c r="J118">
        <v>20170410</v>
      </c>
    </row>
    <row r="119" spans="1:10">
      <c r="A119" t="s">
        <v>1573</v>
      </c>
      <c r="B119">
        <v>603097</v>
      </c>
      <c r="C119" t="s">
        <v>1574</v>
      </c>
      <c r="D119" t="s">
        <v>212</v>
      </c>
      <c r="E119" t="s">
        <v>17</v>
      </c>
      <c r="F119" t="s">
        <v>1575</v>
      </c>
      <c r="G119" t="s">
        <v>152</v>
      </c>
      <c r="H119" t="s">
        <v>174</v>
      </c>
      <c r="I119" t="s">
        <v>154</v>
      </c>
      <c r="J119">
        <v>20220512</v>
      </c>
    </row>
    <row r="120" spans="1:10">
      <c r="A120" t="s">
        <v>1576</v>
      </c>
      <c r="B120">
        <v>603100</v>
      </c>
      <c r="C120" t="s">
        <v>1577</v>
      </c>
      <c r="D120" t="s">
        <v>937</v>
      </c>
      <c r="E120" t="s">
        <v>27</v>
      </c>
      <c r="F120" t="s">
        <v>1578</v>
      </c>
      <c r="G120" t="s">
        <v>152</v>
      </c>
      <c r="H120" t="s">
        <v>174</v>
      </c>
      <c r="I120" t="s">
        <v>154</v>
      </c>
      <c r="J120">
        <v>20140805</v>
      </c>
    </row>
    <row r="121" spans="1:10">
      <c r="A121" t="s">
        <v>1579</v>
      </c>
      <c r="B121">
        <v>603105</v>
      </c>
      <c r="C121" t="s">
        <v>1580</v>
      </c>
      <c r="D121" t="s">
        <v>423</v>
      </c>
      <c r="E121" t="s">
        <v>17</v>
      </c>
      <c r="F121" t="s">
        <v>1581</v>
      </c>
      <c r="G121" t="s">
        <v>152</v>
      </c>
      <c r="H121" t="s">
        <v>174</v>
      </c>
      <c r="I121" t="s">
        <v>154</v>
      </c>
      <c r="J121">
        <v>20180709</v>
      </c>
    </row>
    <row r="122" spans="1:10">
      <c r="A122" t="s">
        <v>1582</v>
      </c>
      <c r="B122">
        <v>603106</v>
      </c>
      <c r="C122" t="s">
        <v>1583</v>
      </c>
      <c r="D122" t="s">
        <v>576</v>
      </c>
      <c r="E122" t="s">
        <v>1</v>
      </c>
      <c r="F122" t="s">
        <v>1584</v>
      </c>
      <c r="G122" t="s">
        <v>152</v>
      </c>
      <c r="H122" t="s">
        <v>174</v>
      </c>
      <c r="I122" t="s">
        <v>154</v>
      </c>
      <c r="J122">
        <v>20170920</v>
      </c>
    </row>
    <row r="123" spans="1:10">
      <c r="A123" t="s">
        <v>1585</v>
      </c>
      <c r="B123">
        <v>603109</v>
      </c>
      <c r="C123" t="s">
        <v>1586</v>
      </c>
      <c r="D123" t="s">
        <v>937</v>
      </c>
      <c r="E123" t="s">
        <v>17</v>
      </c>
      <c r="F123" t="s">
        <v>1587</v>
      </c>
      <c r="G123" t="s">
        <v>152</v>
      </c>
      <c r="H123" t="s">
        <v>174</v>
      </c>
      <c r="I123" t="s">
        <v>154</v>
      </c>
      <c r="J123">
        <v>20191231</v>
      </c>
    </row>
    <row r="124" spans="1:10">
      <c r="A124" t="s">
        <v>1588</v>
      </c>
      <c r="B124">
        <v>603133</v>
      </c>
      <c r="C124" t="s">
        <v>1589</v>
      </c>
      <c r="D124" t="s">
        <v>212</v>
      </c>
      <c r="E124" t="s">
        <v>42</v>
      </c>
      <c r="F124" t="s">
        <v>1590</v>
      </c>
      <c r="G124" t="s">
        <v>152</v>
      </c>
      <c r="H124" t="s">
        <v>174</v>
      </c>
      <c r="I124" t="s">
        <v>154</v>
      </c>
      <c r="J124">
        <v>20170320</v>
      </c>
    </row>
    <row r="125" spans="1:10">
      <c r="A125" t="s">
        <v>1591</v>
      </c>
      <c r="B125">
        <v>603160</v>
      </c>
      <c r="C125" t="s">
        <v>1592</v>
      </c>
      <c r="D125" t="s">
        <v>243</v>
      </c>
      <c r="E125" t="s">
        <v>42</v>
      </c>
      <c r="F125" t="s">
        <v>1593</v>
      </c>
      <c r="G125" t="s">
        <v>152</v>
      </c>
      <c r="H125" t="s">
        <v>174</v>
      </c>
      <c r="I125" t="s">
        <v>154</v>
      </c>
      <c r="J125">
        <v>20161017</v>
      </c>
    </row>
    <row r="126" spans="1:10">
      <c r="A126" t="s">
        <v>1594</v>
      </c>
      <c r="B126">
        <v>603185</v>
      </c>
      <c r="C126" t="s">
        <v>1595</v>
      </c>
      <c r="D126" t="s">
        <v>212</v>
      </c>
      <c r="E126" t="s">
        <v>17</v>
      </c>
      <c r="F126" t="s">
        <v>1596</v>
      </c>
      <c r="G126" t="s">
        <v>152</v>
      </c>
      <c r="H126" t="s">
        <v>174</v>
      </c>
      <c r="I126" t="s">
        <v>154</v>
      </c>
      <c r="J126">
        <v>20181228</v>
      </c>
    </row>
    <row r="127" spans="1:10">
      <c r="A127" t="s">
        <v>1597</v>
      </c>
      <c r="B127">
        <v>603186</v>
      </c>
      <c r="C127" t="s">
        <v>1598</v>
      </c>
      <c r="D127" t="s">
        <v>423</v>
      </c>
      <c r="E127" t="s">
        <v>42</v>
      </c>
      <c r="F127" t="s">
        <v>1599</v>
      </c>
      <c r="G127" t="s">
        <v>152</v>
      </c>
      <c r="H127" t="s">
        <v>174</v>
      </c>
      <c r="I127" t="s">
        <v>154</v>
      </c>
      <c r="J127">
        <v>20170103</v>
      </c>
    </row>
    <row r="128" spans="1:10">
      <c r="A128" t="s">
        <v>1600</v>
      </c>
      <c r="B128">
        <v>603191</v>
      </c>
      <c r="C128" t="s">
        <v>1601</v>
      </c>
      <c r="D128" t="s">
        <v>937</v>
      </c>
      <c r="E128" t="s">
        <v>17</v>
      </c>
      <c r="F128" t="s">
        <v>1602</v>
      </c>
      <c r="G128" t="s">
        <v>152</v>
      </c>
      <c r="H128" t="s">
        <v>174</v>
      </c>
      <c r="I128" t="s">
        <v>154</v>
      </c>
      <c r="J128">
        <v>20220428</v>
      </c>
    </row>
    <row r="129" spans="1:10">
      <c r="A129" t="s">
        <v>1603</v>
      </c>
      <c r="B129">
        <v>603218</v>
      </c>
      <c r="C129" t="s">
        <v>1604</v>
      </c>
      <c r="D129" t="s">
        <v>423</v>
      </c>
      <c r="E129" t="s">
        <v>17</v>
      </c>
      <c r="F129" t="s">
        <v>1605</v>
      </c>
      <c r="G129" t="s">
        <v>152</v>
      </c>
      <c r="H129" t="s">
        <v>174</v>
      </c>
      <c r="I129" t="s">
        <v>154</v>
      </c>
      <c r="J129">
        <v>20161228</v>
      </c>
    </row>
    <row r="130" spans="1:10">
      <c r="A130" t="s">
        <v>1606</v>
      </c>
      <c r="B130">
        <v>603228</v>
      </c>
      <c r="C130" t="s">
        <v>1607</v>
      </c>
      <c r="D130" t="s">
        <v>243</v>
      </c>
      <c r="E130" t="s">
        <v>42</v>
      </c>
      <c r="F130" t="s">
        <v>1608</v>
      </c>
      <c r="G130" t="s">
        <v>152</v>
      </c>
      <c r="H130" t="s">
        <v>174</v>
      </c>
      <c r="I130" t="s">
        <v>154</v>
      </c>
      <c r="J130">
        <v>20170106</v>
      </c>
    </row>
    <row r="131" spans="1:10">
      <c r="A131" t="s">
        <v>1609</v>
      </c>
      <c r="B131">
        <v>603267</v>
      </c>
      <c r="C131" t="s">
        <v>1610</v>
      </c>
      <c r="D131" t="s">
        <v>164</v>
      </c>
      <c r="E131" t="s">
        <v>42</v>
      </c>
      <c r="F131" t="s">
        <v>1611</v>
      </c>
      <c r="G131" t="s">
        <v>152</v>
      </c>
      <c r="H131" t="s">
        <v>174</v>
      </c>
      <c r="I131" t="s">
        <v>154</v>
      </c>
      <c r="J131">
        <v>20190515</v>
      </c>
    </row>
    <row r="132" spans="1:10">
      <c r="A132" t="s">
        <v>1612</v>
      </c>
      <c r="B132">
        <v>603290</v>
      </c>
      <c r="C132" t="s">
        <v>1613</v>
      </c>
      <c r="D132" t="s">
        <v>423</v>
      </c>
      <c r="E132" t="s">
        <v>31</v>
      </c>
      <c r="F132" t="s">
        <v>1614</v>
      </c>
      <c r="G132" t="s">
        <v>152</v>
      </c>
      <c r="H132" t="s">
        <v>174</v>
      </c>
      <c r="I132" t="s">
        <v>154</v>
      </c>
      <c r="J132">
        <v>20200204</v>
      </c>
    </row>
    <row r="133" spans="1:10">
      <c r="A133" t="s">
        <v>1615</v>
      </c>
      <c r="B133">
        <v>603297</v>
      </c>
      <c r="C133" t="s">
        <v>1616</v>
      </c>
      <c r="D133" t="s">
        <v>423</v>
      </c>
      <c r="E133" t="s">
        <v>42</v>
      </c>
      <c r="F133" t="s">
        <v>1617</v>
      </c>
      <c r="G133" t="s">
        <v>152</v>
      </c>
      <c r="H133" t="s">
        <v>174</v>
      </c>
      <c r="I133" t="s">
        <v>154</v>
      </c>
      <c r="J133">
        <v>20180910</v>
      </c>
    </row>
    <row r="134" spans="1:10">
      <c r="A134" t="s">
        <v>1618</v>
      </c>
      <c r="B134">
        <v>603320</v>
      </c>
      <c r="C134" t="s">
        <v>1619</v>
      </c>
      <c r="D134" t="s">
        <v>423</v>
      </c>
      <c r="E134" t="s">
        <v>17</v>
      </c>
      <c r="F134" t="s">
        <v>1620</v>
      </c>
      <c r="G134" t="s">
        <v>152</v>
      </c>
      <c r="H134" t="s">
        <v>174</v>
      </c>
      <c r="I134" t="s">
        <v>154</v>
      </c>
      <c r="J134">
        <v>20170502</v>
      </c>
    </row>
    <row r="135" spans="1:10">
      <c r="A135" t="s">
        <v>1621</v>
      </c>
      <c r="B135">
        <v>603327</v>
      </c>
      <c r="C135" t="s">
        <v>1622</v>
      </c>
      <c r="D135" t="s">
        <v>219</v>
      </c>
      <c r="E135" t="s">
        <v>42</v>
      </c>
      <c r="F135" t="s">
        <v>1623</v>
      </c>
      <c r="G135" t="s">
        <v>152</v>
      </c>
      <c r="H135" t="s">
        <v>174</v>
      </c>
      <c r="I135" t="s">
        <v>154</v>
      </c>
      <c r="J135">
        <v>20190523</v>
      </c>
    </row>
    <row r="136" spans="1:10">
      <c r="A136" t="s">
        <v>1624</v>
      </c>
      <c r="B136">
        <v>603328</v>
      </c>
      <c r="C136" t="s">
        <v>1625</v>
      </c>
      <c r="D136" t="s">
        <v>223</v>
      </c>
      <c r="E136" t="s">
        <v>42</v>
      </c>
      <c r="F136" t="s">
        <v>1626</v>
      </c>
      <c r="G136" t="s">
        <v>152</v>
      </c>
      <c r="H136" t="s">
        <v>174</v>
      </c>
      <c r="I136" t="s">
        <v>154</v>
      </c>
      <c r="J136">
        <v>20140701</v>
      </c>
    </row>
    <row r="137" spans="1:10">
      <c r="A137" t="s">
        <v>1627</v>
      </c>
      <c r="B137">
        <v>603333</v>
      </c>
      <c r="C137" t="s">
        <v>1628</v>
      </c>
      <c r="D137" t="s">
        <v>219</v>
      </c>
      <c r="E137" t="s">
        <v>17</v>
      </c>
      <c r="F137" t="s">
        <v>1629</v>
      </c>
      <c r="G137" t="s">
        <v>152</v>
      </c>
      <c r="H137" t="s">
        <v>174</v>
      </c>
      <c r="I137" t="s">
        <v>154</v>
      </c>
      <c r="J137">
        <v>20120507</v>
      </c>
    </row>
    <row r="138" spans="1:10">
      <c r="A138" t="s">
        <v>1630</v>
      </c>
      <c r="B138">
        <v>603380</v>
      </c>
      <c r="C138" t="s">
        <v>1631</v>
      </c>
      <c r="D138" t="s">
        <v>212</v>
      </c>
      <c r="E138" t="s">
        <v>42</v>
      </c>
      <c r="F138" t="s">
        <v>1632</v>
      </c>
      <c r="G138" t="s">
        <v>152</v>
      </c>
      <c r="H138" t="s">
        <v>174</v>
      </c>
      <c r="I138" t="s">
        <v>154</v>
      </c>
      <c r="J138">
        <v>20170622</v>
      </c>
    </row>
    <row r="139" spans="1:10">
      <c r="A139" t="s">
        <v>1633</v>
      </c>
      <c r="B139">
        <v>603386</v>
      </c>
      <c r="C139" t="s">
        <v>1634</v>
      </c>
      <c r="D139" t="s">
        <v>223</v>
      </c>
      <c r="E139" t="s">
        <v>42</v>
      </c>
      <c r="F139" t="s">
        <v>1635</v>
      </c>
      <c r="G139" t="s">
        <v>152</v>
      </c>
      <c r="H139" t="s">
        <v>174</v>
      </c>
      <c r="I139" t="s">
        <v>154</v>
      </c>
      <c r="J139">
        <v>20170912</v>
      </c>
    </row>
    <row r="140" spans="1:10">
      <c r="A140" t="s">
        <v>1636</v>
      </c>
      <c r="B140">
        <v>603416</v>
      </c>
      <c r="C140" t="s">
        <v>1637</v>
      </c>
      <c r="D140" t="s">
        <v>212</v>
      </c>
      <c r="E140" t="s">
        <v>27</v>
      </c>
      <c r="F140" t="s">
        <v>1638</v>
      </c>
      <c r="G140" t="s">
        <v>152</v>
      </c>
      <c r="H140" t="s">
        <v>174</v>
      </c>
      <c r="I140" t="s">
        <v>154</v>
      </c>
      <c r="J140">
        <v>20161221</v>
      </c>
    </row>
    <row r="141" spans="1:10">
      <c r="A141" t="s">
        <v>1639</v>
      </c>
      <c r="B141">
        <v>603489</v>
      </c>
      <c r="C141" t="s">
        <v>1640</v>
      </c>
      <c r="D141" t="s">
        <v>212</v>
      </c>
      <c r="E141" t="s">
        <v>17</v>
      </c>
      <c r="F141" t="s">
        <v>1641</v>
      </c>
      <c r="G141" t="s">
        <v>152</v>
      </c>
      <c r="H141" t="s">
        <v>174</v>
      </c>
      <c r="I141" t="s">
        <v>154</v>
      </c>
      <c r="J141">
        <v>20191111</v>
      </c>
    </row>
    <row r="142" spans="1:10">
      <c r="A142" t="s">
        <v>1642</v>
      </c>
      <c r="B142">
        <v>603496</v>
      </c>
      <c r="C142" t="s">
        <v>1643</v>
      </c>
      <c r="D142" t="s">
        <v>172</v>
      </c>
      <c r="E142" t="s">
        <v>1</v>
      </c>
      <c r="F142" t="s">
        <v>1644</v>
      </c>
      <c r="G142" t="s">
        <v>152</v>
      </c>
      <c r="H142" t="s">
        <v>174</v>
      </c>
      <c r="I142" t="s">
        <v>154</v>
      </c>
      <c r="J142">
        <v>20170607</v>
      </c>
    </row>
    <row r="143" spans="1:10">
      <c r="A143" t="s">
        <v>1645</v>
      </c>
      <c r="B143">
        <v>603501</v>
      </c>
      <c r="C143" t="s">
        <v>1646</v>
      </c>
      <c r="D143" t="s">
        <v>172</v>
      </c>
      <c r="E143" t="s">
        <v>31</v>
      </c>
      <c r="F143" t="s">
        <v>1647</v>
      </c>
      <c r="G143" t="s">
        <v>152</v>
      </c>
      <c r="H143" t="s">
        <v>174</v>
      </c>
      <c r="I143" t="s">
        <v>154</v>
      </c>
      <c r="J143">
        <v>20170504</v>
      </c>
    </row>
    <row r="144" spans="1:10">
      <c r="A144" t="s">
        <v>1648</v>
      </c>
      <c r="B144">
        <v>603507</v>
      </c>
      <c r="C144" t="s">
        <v>1649</v>
      </c>
      <c r="D144" t="s">
        <v>212</v>
      </c>
      <c r="E144" t="s">
        <v>17</v>
      </c>
      <c r="F144" t="s">
        <v>1650</v>
      </c>
      <c r="G144" t="s">
        <v>152</v>
      </c>
      <c r="H144" t="s">
        <v>174</v>
      </c>
      <c r="I144" t="s">
        <v>154</v>
      </c>
      <c r="J144">
        <v>20171106</v>
      </c>
    </row>
    <row r="145" spans="1:10">
      <c r="A145" t="s">
        <v>1651</v>
      </c>
      <c r="B145">
        <v>603530</v>
      </c>
      <c r="C145" t="s">
        <v>1652</v>
      </c>
      <c r="D145" t="s">
        <v>212</v>
      </c>
      <c r="E145" t="s">
        <v>17</v>
      </c>
      <c r="F145" t="s">
        <v>1653</v>
      </c>
      <c r="G145" t="s">
        <v>152</v>
      </c>
      <c r="H145" t="s">
        <v>174</v>
      </c>
      <c r="I145" t="s">
        <v>154</v>
      </c>
      <c r="J145">
        <v>20190805</v>
      </c>
    </row>
    <row r="146" spans="1:10">
      <c r="A146" t="s">
        <v>1654</v>
      </c>
      <c r="B146">
        <v>603556</v>
      </c>
      <c r="C146" t="s">
        <v>1655</v>
      </c>
      <c r="D146" t="s">
        <v>423</v>
      </c>
      <c r="E146" t="s">
        <v>27</v>
      </c>
      <c r="F146" t="s">
        <v>1656</v>
      </c>
      <c r="G146" t="s">
        <v>152</v>
      </c>
      <c r="H146" t="s">
        <v>174</v>
      </c>
      <c r="I146" t="s">
        <v>154</v>
      </c>
      <c r="J146">
        <v>20161110</v>
      </c>
    </row>
    <row r="147" spans="1:10">
      <c r="A147" t="s">
        <v>1657</v>
      </c>
      <c r="B147">
        <v>603577</v>
      </c>
      <c r="C147" t="s">
        <v>1658</v>
      </c>
      <c r="D147" t="s">
        <v>198</v>
      </c>
      <c r="E147" t="s">
        <v>17</v>
      </c>
      <c r="F147" t="s">
        <v>1659</v>
      </c>
      <c r="G147" t="s">
        <v>152</v>
      </c>
      <c r="H147" t="s">
        <v>174</v>
      </c>
      <c r="I147" t="s">
        <v>154</v>
      </c>
      <c r="J147">
        <v>20161222</v>
      </c>
    </row>
    <row r="148" spans="1:10">
      <c r="A148" t="s">
        <v>1660</v>
      </c>
      <c r="B148">
        <v>603583</v>
      </c>
      <c r="C148" t="s">
        <v>1661</v>
      </c>
      <c r="D148" t="s">
        <v>423</v>
      </c>
      <c r="E148" t="s">
        <v>17</v>
      </c>
      <c r="F148" t="s">
        <v>1662</v>
      </c>
      <c r="G148" t="s">
        <v>152</v>
      </c>
      <c r="H148" t="s">
        <v>174</v>
      </c>
      <c r="I148" t="s">
        <v>154</v>
      </c>
      <c r="J148">
        <v>20180921</v>
      </c>
    </row>
    <row r="149" spans="1:10">
      <c r="A149" t="s">
        <v>1663</v>
      </c>
      <c r="B149">
        <v>603595</v>
      </c>
      <c r="C149" t="s">
        <v>1664</v>
      </c>
      <c r="D149" t="s">
        <v>423</v>
      </c>
      <c r="E149" t="s">
        <v>42</v>
      </c>
      <c r="F149" t="s">
        <v>1665</v>
      </c>
      <c r="G149" t="s">
        <v>152</v>
      </c>
      <c r="H149" t="s">
        <v>174</v>
      </c>
      <c r="I149" t="s">
        <v>154</v>
      </c>
      <c r="J149">
        <v>20170712</v>
      </c>
    </row>
    <row r="150" spans="1:10">
      <c r="A150" t="s">
        <v>1666</v>
      </c>
      <c r="B150">
        <v>603606</v>
      </c>
      <c r="C150" t="s">
        <v>1667</v>
      </c>
      <c r="D150" t="s">
        <v>423</v>
      </c>
      <c r="E150" t="s">
        <v>17</v>
      </c>
      <c r="F150" t="s">
        <v>1668</v>
      </c>
      <c r="G150" t="s">
        <v>152</v>
      </c>
      <c r="H150" t="s">
        <v>174</v>
      </c>
      <c r="I150" t="s">
        <v>154</v>
      </c>
      <c r="J150">
        <v>20141015</v>
      </c>
    </row>
    <row r="151" spans="1:10">
      <c r="A151" t="s">
        <v>1669</v>
      </c>
      <c r="B151">
        <v>603618</v>
      </c>
      <c r="C151" t="s">
        <v>1670</v>
      </c>
      <c r="D151" t="s">
        <v>423</v>
      </c>
      <c r="E151" t="s">
        <v>17</v>
      </c>
      <c r="F151" t="s">
        <v>1671</v>
      </c>
      <c r="G151" t="s">
        <v>152</v>
      </c>
      <c r="H151" t="s">
        <v>174</v>
      </c>
      <c r="I151" t="s">
        <v>154</v>
      </c>
      <c r="J151">
        <v>20150217</v>
      </c>
    </row>
    <row r="152" spans="1:10">
      <c r="A152" t="s">
        <v>1672</v>
      </c>
      <c r="B152">
        <v>603626</v>
      </c>
      <c r="C152" t="s">
        <v>1673</v>
      </c>
      <c r="D152" t="s">
        <v>212</v>
      </c>
      <c r="E152" t="s">
        <v>42</v>
      </c>
      <c r="F152" t="s">
        <v>1674</v>
      </c>
      <c r="G152" t="s">
        <v>152</v>
      </c>
      <c r="H152" t="s">
        <v>174</v>
      </c>
      <c r="I152" t="s">
        <v>154</v>
      </c>
      <c r="J152">
        <v>20170209</v>
      </c>
    </row>
    <row r="153" spans="1:10">
      <c r="A153" t="s">
        <v>1675</v>
      </c>
      <c r="B153">
        <v>603628</v>
      </c>
      <c r="C153" t="s">
        <v>1676</v>
      </c>
      <c r="D153" t="s">
        <v>150</v>
      </c>
      <c r="E153" t="s">
        <v>17</v>
      </c>
      <c r="F153" t="s">
        <v>1677</v>
      </c>
      <c r="G153" t="s">
        <v>152</v>
      </c>
      <c r="H153" t="s">
        <v>174</v>
      </c>
      <c r="I153" t="s">
        <v>154</v>
      </c>
      <c r="J153">
        <v>20170112</v>
      </c>
    </row>
    <row r="154" spans="1:10">
      <c r="A154" t="s">
        <v>1678</v>
      </c>
      <c r="B154">
        <v>603629</v>
      </c>
      <c r="C154" t="s">
        <v>1679</v>
      </c>
      <c r="D154" t="s">
        <v>212</v>
      </c>
      <c r="E154" t="s">
        <v>42</v>
      </c>
      <c r="F154" t="s">
        <v>1680</v>
      </c>
      <c r="G154" t="s">
        <v>152</v>
      </c>
      <c r="H154" t="s">
        <v>174</v>
      </c>
      <c r="I154" t="s">
        <v>154</v>
      </c>
      <c r="J154">
        <v>20181224</v>
      </c>
    </row>
    <row r="155" spans="1:10">
      <c r="A155" t="s">
        <v>1681</v>
      </c>
      <c r="B155">
        <v>603633</v>
      </c>
      <c r="C155" t="s">
        <v>1682</v>
      </c>
      <c r="D155" t="s">
        <v>172</v>
      </c>
      <c r="E155" t="s">
        <v>42</v>
      </c>
      <c r="F155" t="s">
        <v>1683</v>
      </c>
      <c r="G155" t="s">
        <v>152</v>
      </c>
      <c r="H155" t="s">
        <v>174</v>
      </c>
      <c r="I155" t="s">
        <v>154</v>
      </c>
      <c r="J155">
        <v>20161117</v>
      </c>
    </row>
    <row r="156" spans="1:10">
      <c r="A156" t="s">
        <v>1684</v>
      </c>
      <c r="B156">
        <v>603662</v>
      </c>
      <c r="C156" t="s">
        <v>1685</v>
      </c>
      <c r="D156" t="s">
        <v>423</v>
      </c>
      <c r="E156" t="s">
        <v>27</v>
      </c>
      <c r="F156" t="s">
        <v>1686</v>
      </c>
      <c r="G156" t="s">
        <v>152</v>
      </c>
      <c r="H156" t="s">
        <v>174</v>
      </c>
      <c r="I156" t="s">
        <v>154</v>
      </c>
      <c r="J156">
        <v>20190806</v>
      </c>
    </row>
    <row r="157" spans="1:10">
      <c r="A157" t="s">
        <v>1687</v>
      </c>
      <c r="B157">
        <v>603678</v>
      </c>
      <c r="C157" t="s">
        <v>1688</v>
      </c>
      <c r="D157" t="s">
        <v>150</v>
      </c>
      <c r="E157" t="s">
        <v>42</v>
      </c>
      <c r="F157" t="s">
        <v>1689</v>
      </c>
      <c r="G157" t="s">
        <v>152</v>
      </c>
      <c r="H157" t="s">
        <v>174</v>
      </c>
      <c r="I157" t="s">
        <v>154</v>
      </c>
      <c r="J157">
        <v>20150126</v>
      </c>
    </row>
    <row r="158" spans="1:10">
      <c r="A158" t="s">
        <v>1690</v>
      </c>
      <c r="B158">
        <v>603679</v>
      </c>
      <c r="C158" t="s">
        <v>1691</v>
      </c>
      <c r="D158" t="s">
        <v>219</v>
      </c>
      <c r="E158" t="s">
        <v>17</v>
      </c>
      <c r="F158" t="s">
        <v>1692</v>
      </c>
      <c r="G158" t="s">
        <v>152</v>
      </c>
      <c r="H158" t="s">
        <v>174</v>
      </c>
      <c r="I158" t="s">
        <v>154</v>
      </c>
      <c r="J158">
        <v>20170621</v>
      </c>
    </row>
    <row r="159" spans="1:10">
      <c r="A159" t="s">
        <v>1693</v>
      </c>
      <c r="B159">
        <v>603685</v>
      </c>
      <c r="C159" t="s">
        <v>1694</v>
      </c>
      <c r="D159" t="s">
        <v>423</v>
      </c>
      <c r="E159" t="s">
        <v>17</v>
      </c>
      <c r="F159" t="s">
        <v>1695</v>
      </c>
      <c r="G159" t="s">
        <v>152</v>
      </c>
      <c r="H159" t="s">
        <v>174</v>
      </c>
      <c r="I159" t="s">
        <v>154</v>
      </c>
      <c r="J159">
        <v>20171127</v>
      </c>
    </row>
    <row r="160" spans="1:10">
      <c r="A160" t="s">
        <v>1696</v>
      </c>
      <c r="B160">
        <v>603690</v>
      </c>
      <c r="C160" t="s">
        <v>1697</v>
      </c>
      <c r="D160" t="s">
        <v>172</v>
      </c>
      <c r="E160" t="s">
        <v>31</v>
      </c>
      <c r="F160" t="s">
        <v>1698</v>
      </c>
      <c r="G160" t="s">
        <v>152</v>
      </c>
      <c r="H160" t="s">
        <v>174</v>
      </c>
      <c r="I160" t="s">
        <v>154</v>
      </c>
      <c r="J160">
        <v>20170113</v>
      </c>
    </row>
    <row r="161" spans="1:10">
      <c r="A161" t="s">
        <v>1699</v>
      </c>
      <c r="B161">
        <v>603700</v>
      </c>
      <c r="C161" t="s">
        <v>1700</v>
      </c>
      <c r="D161" t="s">
        <v>423</v>
      </c>
      <c r="E161" t="s">
        <v>27</v>
      </c>
      <c r="F161" t="s">
        <v>1701</v>
      </c>
      <c r="G161" t="s">
        <v>152</v>
      </c>
      <c r="H161" t="s">
        <v>174</v>
      </c>
      <c r="I161" t="s">
        <v>154</v>
      </c>
      <c r="J161">
        <v>20190122</v>
      </c>
    </row>
    <row r="162" spans="1:10">
      <c r="A162" t="s">
        <v>1702</v>
      </c>
      <c r="B162">
        <v>603728</v>
      </c>
      <c r="C162" t="s">
        <v>1703</v>
      </c>
      <c r="D162" t="s">
        <v>172</v>
      </c>
      <c r="E162" t="s">
        <v>17</v>
      </c>
      <c r="F162" t="s">
        <v>1704</v>
      </c>
      <c r="G162" t="s">
        <v>152</v>
      </c>
      <c r="H162" t="s">
        <v>174</v>
      </c>
      <c r="I162" t="s">
        <v>154</v>
      </c>
      <c r="J162">
        <v>20170509</v>
      </c>
    </row>
    <row r="163" spans="1:10">
      <c r="A163" t="s">
        <v>1705</v>
      </c>
      <c r="B163">
        <v>603738</v>
      </c>
      <c r="C163" t="s">
        <v>1706</v>
      </c>
      <c r="D163" t="s">
        <v>316</v>
      </c>
      <c r="E163" t="s">
        <v>42</v>
      </c>
      <c r="F163" t="s">
        <v>1707</v>
      </c>
      <c r="G163" t="s">
        <v>152</v>
      </c>
      <c r="H163" t="s">
        <v>174</v>
      </c>
      <c r="I163" t="s">
        <v>154</v>
      </c>
      <c r="J163">
        <v>20160928</v>
      </c>
    </row>
    <row r="164" spans="1:10">
      <c r="A164" t="s">
        <v>1708</v>
      </c>
      <c r="B164">
        <v>603773</v>
      </c>
      <c r="C164" t="s">
        <v>1709</v>
      </c>
      <c r="D164" t="s">
        <v>406</v>
      </c>
      <c r="E164" t="s">
        <v>42</v>
      </c>
      <c r="F164" t="s">
        <v>1710</v>
      </c>
      <c r="G164" t="s">
        <v>152</v>
      </c>
      <c r="H164" t="s">
        <v>174</v>
      </c>
      <c r="I164" t="s">
        <v>154</v>
      </c>
      <c r="J164">
        <v>20180417</v>
      </c>
    </row>
    <row r="165" spans="1:10">
      <c r="A165" t="s">
        <v>1711</v>
      </c>
      <c r="B165">
        <v>603819</v>
      </c>
      <c r="C165" t="s">
        <v>1712</v>
      </c>
      <c r="D165" t="s">
        <v>212</v>
      </c>
      <c r="E165" t="s">
        <v>17</v>
      </c>
      <c r="F165" t="s">
        <v>1713</v>
      </c>
      <c r="G165" t="s">
        <v>152</v>
      </c>
      <c r="H165" t="s">
        <v>174</v>
      </c>
      <c r="I165" t="s">
        <v>154</v>
      </c>
      <c r="J165">
        <v>20161125</v>
      </c>
    </row>
    <row r="166" spans="1:10">
      <c r="A166" t="s">
        <v>1714</v>
      </c>
      <c r="B166">
        <v>603829</v>
      </c>
      <c r="C166" t="s">
        <v>1715</v>
      </c>
      <c r="D166" t="s">
        <v>212</v>
      </c>
      <c r="E166" t="s">
        <v>17</v>
      </c>
      <c r="F166" t="s">
        <v>1716</v>
      </c>
      <c r="G166" t="s">
        <v>152</v>
      </c>
      <c r="H166" t="s">
        <v>174</v>
      </c>
      <c r="I166" t="s">
        <v>154</v>
      </c>
      <c r="J166">
        <v>20171017</v>
      </c>
    </row>
    <row r="167" spans="1:10">
      <c r="A167" t="s">
        <v>1717</v>
      </c>
      <c r="B167">
        <v>603861</v>
      </c>
      <c r="C167" t="s">
        <v>1718</v>
      </c>
      <c r="D167" t="s">
        <v>223</v>
      </c>
      <c r="E167" t="s">
        <v>17</v>
      </c>
      <c r="F167" t="s">
        <v>1719</v>
      </c>
      <c r="G167" t="s">
        <v>152</v>
      </c>
      <c r="H167" t="s">
        <v>174</v>
      </c>
      <c r="I167" t="s">
        <v>154</v>
      </c>
      <c r="J167">
        <v>20160322</v>
      </c>
    </row>
    <row r="168" spans="1:10">
      <c r="A168" t="s">
        <v>1720</v>
      </c>
      <c r="B168">
        <v>603890</v>
      </c>
      <c r="C168" t="s">
        <v>1721</v>
      </c>
      <c r="D168" t="s">
        <v>212</v>
      </c>
      <c r="E168" t="s">
        <v>42</v>
      </c>
      <c r="F168" t="s">
        <v>1722</v>
      </c>
      <c r="G168" t="s">
        <v>152</v>
      </c>
      <c r="H168" t="s">
        <v>174</v>
      </c>
      <c r="I168" t="s">
        <v>154</v>
      </c>
      <c r="J168">
        <v>20171212</v>
      </c>
    </row>
    <row r="169" spans="1:10">
      <c r="A169" t="s">
        <v>1723</v>
      </c>
      <c r="B169">
        <v>603893</v>
      </c>
      <c r="C169" t="s">
        <v>1724</v>
      </c>
      <c r="D169" t="s">
        <v>150</v>
      </c>
      <c r="E169" t="s">
        <v>31</v>
      </c>
      <c r="F169" t="s">
        <v>1725</v>
      </c>
      <c r="G169" t="s">
        <v>152</v>
      </c>
      <c r="H169" t="s">
        <v>174</v>
      </c>
      <c r="I169" t="s">
        <v>154</v>
      </c>
      <c r="J169">
        <v>20200207</v>
      </c>
    </row>
    <row r="170" spans="1:10">
      <c r="A170" t="s">
        <v>1726</v>
      </c>
      <c r="B170">
        <v>603897</v>
      </c>
      <c r="C170" t="s">
        <v>1727</v>
      </c>
      <c r="D170" t="s">
        <v>423</v>
      </c>
      <c r="E170" t="s">
        <v>17</v>
      </c>
      <c r="F170" t="s">
        <v>1728</v>
      </c>
      <c r="G170" t="s">
        <v>152</v>
      </c>
      <c r="H170" t="s">
        <v>174</v>
      </c>
      <c r="I170" t="s">
        <v>154</v>
      </c>
      <c r="J170">
        <v>20180410</v>
      </c>
    </row>
    <row r="171" spans="1:10">
      <c r="A171" t="s">
        <v>1729</v>
      </c>
      <c r="B171">
        <v>603920</v>
      </c>
      <c r="C171" t="s">
        <v>1730</v>
      </c>
      <c r="D171" t="s">
        <v>223</v>
      </c>
      <c r="E171" t="s">
        <v>42</v>
      </c>
      <c r="F171" t="s">
        <v>1731</v>
      </c>
      <c r="G171" t="s">
        <v>152</v>
      </c>
      <c r="H171" t="s">
        <v>174</v>
      </c>
      <c r="I171" t="s">
        <v>154</v>
      </c>
      <c r="J171">
        <v>20170426</v>
      </c>
    </row>
    <row r="172" spans="1:10">
      <c r="A172" t="s">
        <v>1732</v>
      </c>
      <c r="B172">
        <v>603933</v>
      </c>
      <c r="C172" t="s">
        <v>1733</v>
      </c>
      <c r="D172" t="s">
        <v>150</v>
      </c>
      <c r="E172" t="s">
        <v>42</v>
      </c>
      <c r="F172" t="s">
        <v>1734</v>
      </c>
      <c r="G172" t="s">
        <v>152</v>
      </c>
      <c r="H172" t="s">
        <v>174</v>
      </c>
      <c r="I172" t="s">
        <v>154</v>
      </c>
      <c r="J172">
        <v>20170706</v>
      </c>
    </row>
    <row r="173" spans="1:10">
      <c r="A173" t="s">
        <v>1735</v>
      </c>
      <c r="B173">
        <v>603936</v>
      </c>
      <c r="C173" t="s">
        <v>1736</v>
      </c>
      <c r="D173" t="s">
        <v>223</v>
      </c>
      <c r="E173" t="s">
        <v>42</v>
      </c>
      <c r="F173" t="s">
        <v>1737</v>
      </c>
      <c r="G173" t="s">
        <v>152</v>
      </c>
      <c r="H173" t="s">
        <v>174</v>
      </c>
      <c r="I173" t="s">
        <v>154</v>
      </c>
      <c r="J173">
        <v>20151209</v>
      </c>
    </row>
    <row r="174" spans="1:10">
      <c r="A174" t="s">
        <v>1738</v>
      </c>
      <c r="B174">
        <v>603986</v>
      </c>
      <c r="C174" t="s">
        <v>1739</v>
      </c>
      <c r="D174" t="s">
        <v>164</v>
      </c>
      <c r="E174" t="s">
        <v>31</v>
      </c>
      <c r="F174" t="s">
        <v>1740</v>
      </c>
      <c r="G174" t="s">
        <v>152</v>
      </c>
      <c r="H174" t="s">
        <v>174</v>
      </c>
      <c r="I174" t="s">
        <v>154</v>
      </c>
      <c r="J174">
        <v>20160818</v>
      </c>
    </row>
    <row r="175" spans="1:10">
      <c r="A175" t="s">
        <v>1741</v>
      </c>
      <c r="B175">
        <v>603988</v>
      </c>
      <c r="C175" t="s">
        <v>1742</v>
      </c>
      <c r="D175" t="s">
        <v>212</v>
      </c>
      <c r="E175" t="s">
        <v>17</v>
      </c>
      <c r="F175" t="s">
        <v>1743</v>
      </c>
      <c r="G175" t="s">
        <v>152</v>
      </c>
      <c r="H175" t="s">
        <v>174</v>
      </c>
      <c r="I175" t="s">
        <v>154</v>
      </c>
      <c r="J175">
        <v>20141104</v>
      </c>
    </row>
    <row r="176" spans="1:10">
      <c r="A176" t="s">
        <v>1744</v>
      </c>
      <c r="B176">
        <v>603989</v>
      </c>
      <c r="C176" t="s">
        <v>1745</v>
      </c>
      <c r="D176" t="s">
        <v>168</v>
      </c>
      <c r="E176" t="s">
        <v>42</v>
      </c>
      <c r="F176" t="s">
        <v>1746</v>
      </c>
      <c r="G176" t="s">
        <v>152</v>
      </c>
      <c r="H176" t="s">
        <v>174</v>
      </c>
      <c r="I176" t="s">
        <v>154</v>
      </c>
      <c r="J176">
        <v>20150515</v>
      </c>
    </row>
    <row r="177" spans="1:10">
      <c r="A177" t="s">
        <v>1747</v>
      </c>
      <c r="B177">
        <v>605056</v>
      </c>
      <c r="C177" t="s">
        <v>1748</v>
      </c>
      <c r="D177" t="s">
        <v>423</v>
      </c>
      <c r="E177" t="s">
        <v>27</v>
      </c>
      <c r="F177" t="s">
        <v>1749</v>
      </c>
      <c r="G177" t="s">
        <v>152</v>
      </c>
      <c r="H177" t="s">
        <v>174</v>
      </c>
      <c r="I177" t="s">
        <v>154</v>
      </c>
      <c r="J177">
        <v>20210720</v>
      </c>
    </row>
    <row r="178" spans="1:10">
      <c r="A178" t="s">
        <v>1750</v>
      </c>
      <c r="B178">
        <v>605058</v>
      </c>
      <c r="C178" t="s">
        <v>1751</v>
      </c>
      <c r="D178" t="s">
        <v>212</v>
      </c>
      <c r="E178" t="s">
        <v>42</v>
      </c>
      <c r="F178" t="s">
        <v>1752</v>
      </c>
      <c r="G178" t="s">
        <v>152</v>
      </c>
      <c r="H178" t="s">
        <v>174</v>
      </c>
      <c r="I178" t="s">
        <v>154</v>
      </c>
      <c r="J178">
        <v>20201021</v>
      </c>
    </row>
    <row r="179" spans="1:10">
      <c r="A179" t="s">
        <v>1753</v>
      </c>
      <c r="B179">
        <v>605066</v>
      </c>
      <c r="C179" t="s">
        <v>1754</v>
      </c>
      <c r="D179" t="s">
        <v>423</v>
      </c>
      <c r="E179" t="s">
        <v>17</v>
      </c>
      <c r="F179" t="s">
        <v>1755</v>
      </c>
      <c r="G179" t="s">
        <v>152</v>
      </c>
      <c r="H179" t="s">
        <v>174</v>
      </c>
      <c r="I179" t="s">
        <v>154</v>
      </c>
      <c r="J179">
        <v>20200807</v>
      </c>
    </row>
    <row r="180" spans="1:10">
      <c r="A180" t="s">
        <v>1756</v>
      </c>
      <c r="B180">
        <v>605111</v>
      </c>
      <c r="C180" t="s">
        <v>1757</v>
      </c>
      <c r="D180" t="s">
        <v>212</v>
      </c>
      <c r="E180" t="s">
        <v>31</v>
      </c>
      <c r="F180" t="s">
        <v>1758</v>
      </c>
      <c r="G180" t="s">
        <v>152</v>
      </c>
      <c r="H180" t="s">
        <v>174</v>
      </c>
      <c r="I180" t="s">
        <v>154</v>
      </c>
      <c r="J180">
        <v>20200928</v>
      </c>
    </row>
    <row r="181" spans="1:10">
      <c r="A181" t="s">
        <v>1759</v>
      </c>
      <c r="B181">
        <v>605118</v>
      </c>
      <c r="C181" t="s">
        <v>1760</v>
      </c>
      <c r="D181" t="s">
        <v>150</v>
      </c>
      <c r="E181" t="s">
        <v>42</v>
      </c>
      <c r="F181" t="s">
        <v>1761</v>
      </c>
      <c r="G181" t="s">
        <v>152</v>
      </c>
      <c r="H181" t="s">
        <v>174</v>
      </c>
      <c r="I181" t="s">
        <v>154</v>
      </c>
      <c r="J181">
        <v>20200730</v>
      </c>
    </row>
    <row r="182" spans="1:10">
      <c r="A182" t="s">
        <v>1762</v>
      </c>
      <c r="B182">
        <v>605196</v>
      </c>
      <c r="C182" t="s">
        <v>1763</v>
      </c>
      <c r="D182" t="s">
        <v>279</v>
      </c>
      <c r="E182" t="s">
        <v>17</v>
      </c>
      <c r="F182" t="s">
        <v>1764</v>
      </c>
      <c r="G182" t="s">
        <v>152</v>
      </c>
      <c r="H182" t="s">
        <v>174</v>
      </c>
      <c r="I182" t="s">
        <v>154</v>
      </c>
      <c r="J182">
        <v>20210511</v>
      </c>
    </row>
    <row r="183" spans="1:10">
      <c r="A183" t="s">
        <v>1765</v>
      </c>
      <c r="B183">
        <v>605218</v>
      </c>
      <c r="C183" t="s">
        <v>1766</v>
      </c>
      <c r="D183" t="s">
        <v>212</v>
      </c>
      <c r="E183" t="s">
        <v>42</v>
      </c>
      <c r="F183" t="s">
        <v>1767</v>
      </c>
      <c r="G183" t="s">
        <v>152</v>
      </c>
      <c r="H183" t="s">
        <v>174</v>
      </c>
      <c r="I183" t="s">
        <v>154</v>
      </c>
      <c r="J183">
        <v>20200928</v>
      </c>
    </row>
    <row r="184" spans="1:10">
      <c r="A184" t="s">
        <v>1768</v>
      </c>
      <c r="B184">
        <v>605222</v>
      </c>
      <c r="C184" t="s">
        <v>1769</v>
      </c>
      <c r="D184" t="s">
        <v>172</v>
      </c>
      <c r="E184" t="s">
        <v>17</v>
      </c>
      <c r="F184" t="s">
        <v>1770</v>
      </c>
      <c r="G184" t="s">
        <v>152</v>
      </c>
      <c r="H184" t="s">
        <v>174</v>
      </c>
      <c r="I184" t="s">
        <v>154</v>
      </c>
      <c r="J184">
        <v>20200731</v>
      </c>
    </row>
    <row r="185" spans="1:10">
      <c r="A185" t="s">
        <v>1771</v>
      </c>
      <c r="B185">
        <v>605258</v>
      </c>
      <c r="C185" t="s">
        <v>1772</v>
      </c>
      <c r="D185" t="s">
        <v>212</v>
      </c>
      <c r="E185" t="s">
        <v>42</v>
      </c>
      <c r="F185" t="s">
        <v>1773</v>
      </c>
      <c r="G185" t="s">
        <v>152</v>
      </c>
      <c r="H185" t="s">
        <v>174</v>
      </c>
      <c r="I185" t="s">
        <v>154</v>
      </c>
      <c r="J185">
        <v>20201203</v>
      </c>
    </row>
    <row r="186" spans="1:10">
      <c r="A186" t="s">
        <v>1774</v>
      </c>
      <c r="B186">
        <v>605277</v>
      </c>
      <c r="C186" t="s">
        <v>1775</v>
      </c>
      <c r="D186" t="s">
        <v>423</v>
      </c>
      <c r="E186" t="s">
        <v>42</v>
      </c>
      <c r="F186" t="s">
        <v>1776</v>
      </c>
      <c r="G186" t="s">
        <v>152</v>
      </c>
      <c r="H186" t="s">
        <v>174</v>
      </c>
      <c r="I186" t="s">
        <v>154</v>
      </c>
      <c r="J186">
        <v>20210106</v>
      </c>
    </row>
    <row r="187" spans="1:10">
      <c r="A187" t="s">
        <v>1777</v>
      </c>
      <c r="B187">
        <v>605288</v>
      </c>
      <c r="C187" t="s">
        <v>1778</v>
      </c>
      <c r="D187" t="s">
        <v>212</v>
      </c>
      <c r="E187" t="s">
        <v>17</v>
      </c>
      <c r="F187" t="s">
        <v>1779</v>
      </c>
      <c r="G187" t="s">
        <v>152</v>
      </c>
      <c r="H187" t="s">
        <v>174</v>
      </c>
      <c r="I187" t="s">
        <v>154</v>
      </c>
      <c r="J187">
        <v>20200601</v>
      </c>
    </row>
    <row r="188" spans="1:10">
      <c r="A188" t="s">
        <v>1780</v>
      </c>
      <c r="B188">
        <v>605358</v>
      </c>
      <c r="C188" t="s">
        <v>1781</v>
      </c>
      <c r="D188" t="s">
        <v>423</v>
      </c>
      <c r="E188" t="s">
        <v>31</v>
      </c>
      <c r="F188" t="s">
        <v>1782</v>
      </c>
      <c r="G188" t="s">
        <v>152</v>
      </c>
      <c r="H188" t="s">
        <v>174</v>
      </c>
      <c r="I188" t="s">
        <v>154</v>
      </c>
      <c r="J188">
        <v>20200911</v>
      </c>
    </row>
    <row r="189" spans="1:10">
      <c r="A189" t="s">
        <v>1783</v>
      </c>
      <c r="B189">
        <v>605378</v>
      </c>
      <c r="C189" t="s">
        <v>1784</v>
      </c>
      <c r="D189" t="s">
        <v>423</v>
      </c>
      <c r="E189" t="s">
        <v>17</v>
      </c>
      <c r="F189" t="s">
        <v>1785</v>
      </c>
      <c r="G189" t="s">
        <v>152</v>
      </c>
      <c r="H189" t="s">
        <v>174</v>
      </c>
      <c r="I189" t="s">
        <v>154</v>
      </c>
      <c r="J189">
        <v>20210412</v>
      </c>
    </row>
    <row r="190" spans="1:10">
      <c r="A190" t="s">
        <v>1786</v>
      </c>
      <c r="B190">
        <v>605588</v>
      </c>
      <c r="C190" t="s">
        <v>1787</v>
      </c>
      <c r="D190" t="s">
        <v>212</v>
      </c>
      <c r="E190" t="s">
        <v>31</v>
      </c>
      <c r="F190" t="s">
        <v>1788</v>
      </c>
      <c r="G190" t="s">
        <v>152</v>
      </c>
      <c r="H190" t="s">
        <v>174</v>
      </c>
      <c r="I190" t="s">
        <v>154</v>
      </c>
      <c r="J190">
        <v>20210812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1"/>
  <sheetViews>
    <sheetView topLeftCell="A41" workbookViewId="0">
      <selection activeCell="A53" sqref="A53:J53"/>
    </sheetView>
  </sheetViews>
  <sheetFormatPr defaultColWidth="9" defaultRowHeight="13.5"/>
  <cols>
    <col min="1" max="1" width="14" customWidth="1"/>
    <col min="5" max="5" width="11.5416666666667" customWidth="1"/>
    <col min="6" max="6" width="22.875" customWidth="1"/>
  </cols>
  <sheetData>
    <row r="1" spans="1:10">
      <c r="A1" t="s">
        <v>1789</v>
      </c>
      <c r="B1">
        <v>25</v>
      </c>
      <c r="C1" t="s">
        <v>1790</v>
      </c>
      <c r="D1" t="s">
        <v>243</v>
      </c>
      <c r="E1" t="s">
        <v>18</v>
      </c>
      <c r="F1" t="s">
        <v>1791</v>
      </c>
      <c r="G1" t="s">
        <v>152</v>
      </c>
      <c r="H1" t="s">
        <v>153</v>
      </c>
      <c r="I1" t="s">
        <v>154</v>
      </c>
      <c r="J1">
        <v>19930621</v>
      </c>
    </row>
    <row r="2" spans="1:10">
      <c r="A2" t="s">
        <v>1792</v>
      </c>
      <c r="B2">
        <v>30</v>
      </c>
      <c r="C2" t="s">
        <v>1793</v>
      </c>
      <c r="D2" t="s">
        <v>312</v>
      </c>
      <c r="E2" t="s">
        <v>28</v>
      </c>
      <c r="F2" t="s">
        <v>1794</v>
      </c>
      <c r="G2" t="s">
        <v>152</v>
      </c>
      <c r="H2" t="s">
        <v>153</v>
      </c>
      <c r="I2" t="s">
        <v>154</v>
      </c>
      <c r="J2">
        <v>19930929</v>
      </c>
    </row>
    <row r="3" spans="1:10">
      <c r="A3" t="s">
        <v>1795</v>
      </c>
      <c r="B3">
        <v>338</v>
      </c>
      <c r="C3" t="s">
        <v>1796</v>
      </c>
      <c r="D3" t="s">
        <v>198</v>
      </c>
      <c r="E3" t="s">
        <v>28</v>
      </c>
      <c r="F3" t="s">
        <v>1797</v>
      </c>
      <c r="G3" t="s">
        <v>152</v>
      </c>
      <c r="H3" t="s">
        <v>153</v>
      </c>
      <c r="I3" t="s">
        <v>154</v>
      </c>
      <c r="J3">
        <v>20070430</v>
      </c>
    </row>
    <row r="4" spans="1:13">
      <c r="A4" t="s">
        <v>1798</v>
      </c>
      <c r="B4">
        <v>550</v>
      </c>
      <c r="C4" t="s">
        <v>1799</v>
      </c>
      <c r="D4" t="s">
        <v>406</v>
      </c>
      <c r="E4" t="s">
        <v>36</v>
      </c>
      <c r="F4" t="s">
        <v>1800</v>
      </c>
      <c r="G4" t="s">
        <v>152</v>
      </c>
      <c r="H4" t="s">
        <v>153</v>
      </c>
      <c r="I4" t="s">
        <v>154</v>
      </c>
      <c r="J4">
        <v>19931201</v>
      </c>
      <c r="M4" s="5">
        <f ca="1">RAND()*140</f>
        <v>132.2442441428</v>
      </c>
    </row>
    <row r="5" spans="1:10">
      <c r="A5" t="s">
        <v>1801</v>
      </c>
      <c r="B5">
        <v>559</v>
      </c>
      <c r="C5" t="s">
        <v>1802</v>
      </c>
      <c r="D5" t="s">
        <v>423</v>
      </c>
      <c r="E5" t="s">
        <v>28</v>
      </c>
      <c r="F5" t="s">
        <v>1803</v>
      </c>
      <c r="G5" t="s">
        <v>152</v>
      </c>
      <c r="H5" t="s">
        <v>153</v>
      </c>
      <c r="I5" t="s">
        <v>154</v>
      </c>
      <c r="J5">
        <v>19940110</v>
      </c>
    </row>
    <row r="6" spans="1:10">
      <c r="A6" t="s">
        <v>1804</v>
      </c>
      <c r="B6">
        <v>572</v>
      </c>
      <c r="C6" t="s">
        <v>1805</v>
      </c>
      <c r="D6" t="s">
        <v>250</v>
      </c>
      <c r="E6" t="s">
        <v>36</v>
      </c>
      <c r="F6" t="s">
        <v>1806</v>
      </c>
      <c r="G6" t="s">
        <v>152</v>
      </c>
      <c r="H6" t="s">
        <v>153</v>
      </c>
      <c r="I6" t="s">
        <v>154</v>
      </c>
      <c r="J6">
        <v>19940808</v>
      </c>
    </row>
    <row r="7" spans="1:10">
      <c r="A7" t="s">
        <v>1807</v>
      </c>
      <c r="B7">
        <v>581</v>
      </c>
      <c r="C7" t="s">
        <v>1808</v>
      </c>
      <c r="D7" t="s">
        <v>212</v>
      </c>
      <c r="E7" t="s">
        <v>28</v>
      </c>
      <c r="F7" t="s">
        <v>1809</v>
      </c>
      <c r="G7" t="s">
        <v>152</v>
      </c>
      <c r="H7" t="s">
        <v>153</v>
      </c>
      <c r="I7" t="s">
        <v>154</v>
      </c>
      <c r="J7">
        <v>19980924</v>
      </c>
    </row>
    <row r="8" spans="1:10">
      <c r="A8" t="s">
        <v>1810</v>
      </c>
      <c r="B8">
        <v>589</v>
      </c>
      <c r="C8" t="s">
        <v>1811</v>
      </c>
      <c r="D8" t="s">
        <v>463</v>
      </c>
      <c r="E8" t="s">
        <v>28</v>
      </c>
      <c r="F8" t="s">
        <v>1812</v>
      </c>
      <c r="G8" t="s">
        <v>152</v>
      </c>
      <c r="H8" t="s">
        <v>153</v>
      </c>
      <c r="I8" t="s">
        <v>154</v>
      </c>
      <c r="J8">
        <v>19960308</v>
      </c>
    </row>
    <row r="9" spans="1:10">
      <c r="A9" t="s">
        <v>1813</v>
      </c>
      <c r="B9">
        <v>599</v>
      </c>
      <c r="C9" t="s">
        <v>1814</v>
      </c>
      <c r="D9" t="s">
        <v>198</v>
      </c>
      <c r="E9" t="s">
        <v>28</v>
      </c>
      <c r="F9" t="s">
        <v>1815</v>
      </c>
      <c r="G9" t="s">
        <v>152</v>
      </c>
      <c r="H9" t="s">
        <v>153</v>
      </c>
      <c r="I9" t="s">
        <v>154</v>
      </c>
      <c r="J9">
        <v>19960430</v>
      </c>
    </row>
    <row r="10" spans="1:10">
      <c r="A10" t="s">
        <v>1816</v>
      </c>
      <c r="B10">
        <v>625</v>
      </c>
      <c r="C10" t="s">
        <v>1817</v>
      </c>
      <c r="D10" t="s">
        <v>937</v>
      </c>
      <c r="E10" t="s">
        <v>36</v>
      </c>
      <c r="F10" t="s">
        <v>1818</v>
      </c>
      <c r="G10" t="s">
        <v>152</v>
      </c>
      <c r="H10" t="s">
        <v>153</v>
      </c>
      <c r="I10" t="s">
        <v>154</v>
      </c>
      <c r="J10">
        <v>19970610</v>
      </c>
    </row>
    <row r="11" spans="1:10">
      <c r="A11" t="s">
        <v>1819</v>
      </c>
      <c r="B11">
        <v>678</v>
      </c>
      <c r="C11" t="s">
        <v>1820</v>
      </c>
      <c r="D11" t="s">
        <v>316</v>
      </c>
      <c r="E11" t="s">
        <v>28</v>
      </c>
      <c r="F11" t="s">
        <v>1821</v>
      </c>
      <c r="G11" t="s">
        <v>152</v>
      </c>
      <c r="H11" t="s">
        <v>153</v>
      </c>
      <c r="I11" t="s">
        <v>154</v>
      </c>
      <c r="J11">
        <v>19970106</v>
      </c>
    </row>
    <row r="12" spans="1:10">
      <c r="A12" t="s">
        <v>1822</v>
      </c>
      <c r="B12">
        <v>700</v>
      </c>
      <c r="C12" t="s">
        <v>1823</v>
      </c>
      <c r="D12" t="s">
        <v>212</v>
      </c>
      <c r="E12" t="s">
        <v>28</v>
      </c>
      <c r="F12" t="s">
        <v>1824</v>
      </c>
      <c r="G12" t="s">
        <v>152</v>
      </c>
      <c r="H12" t="s">
        <v>153</v>
      </c>
      <c r="I12" t="s">
        <v>154</v>
      </c>
      <c r="J12">
        <v>19970228</v>
      </c>
    </row>
    <row r="13" spans="1:10">
      <c r="A13" t="s">
        <v>1825</v>
      </c>
      <c r="B13">
        <v>753</v>
      </c>
      <c r="C13" t="s">
        <v>1826</v>
      </c>
      <c r="D13" t="s">
        <v>150</v>
      </c>
      <c r="E13" t="s">
        <v>18</v>
      </c>
      <c r="F13" t="s">
        <v>1827</v>
      </c>
      <c r="G13" t="s">
        <v>152</v>
      </c>
      <c r="H13" t="s">
        <v>153</v>
      </c>
      <c r="I13" t="s">
        <v>154</v>
      </c>
      <c r="J13">
        <v>19970626</v>
      </c>
    </row>
    <row r="14" spans="1:10">
      <c r="A14" t="s">
        <v>1828</v>
      </c>
      <c r="B14">
        <v>757</v>
      </c>
      <c r="C14" t="s">
        <v>1829</v>
      </c>
      <c r="D14" t="s">
        <v>219</v>
      </c>
      <c r="E14" t="s">
        <v>28</v>
      </c>
      <c r="F14" t="s">
        <v>1830</v>
      </c>
      <c r="G14" t="s">
        <v>152</v>
      </c>
      <c r="H14" t="s">
        <v>153</v>
      </c>
      <c r="I14" t="s">
        <v>154</v>
      </c>
      <c r="J14">
        <v>19970627</v>
      </c>
    </row>
    <row r="15" spans="1:10">
      <c r="A15" t="s">
        <v>1831</v>
      </c>
      <c r="B15">
        <v>800</v>
      </c>
      <c r="C15" t="s">
        <v>1832</v>
      </c>
      <c r="D15" t="s">
        <v>312</v>
      </c>
      <c r="E15" t="s">
        <v>36</v>
      </c>
      <c r="F15" t="s">
        <v>1833</v>
      </c>
      <c r="G15" t="s">
        <v>152</v>
      </c>
      <c r="H15" t="s">
        <v>153</v>
      </c>
      <c r="I15" t="s">
        <v>154</v>
      </c>
      <c r="J15">
        <v>19970618</v>
      </c>
    </row>
    <row r="16" spans="1:10">
      <c r="A16" t="s">
        <v>1834</v>
      </c>
      <c r="B16">
        <v>868</v>
      </c>
      <c r="C16" t="s">
        <v>1835</v>
      </c>
      <c r="D16" t="s">
        <v>160</v>
      </c>
      <c r="E16" t="s">
        <v>36</v>
      </c>
      <c r="F16" t="s">
        <v>1836</v>
      </c>
      <c r="G16" t="s">
        <v>152</v>
      </c>
      <c r="H16" t="s">
        <v>153</v>
      </c>
      <c r="I16" t="s">
        <v>154</v>
      </c>
      <c r="J16">
        <v>19970725</v>
      </c>
    </row>
    <row r="17" spans="1:10">
      <c r="A17" t="s">
        <v>1837</v>
      </c>
      <c r="B17">
        <v>887</v>
      </c>
      <c r="C17" t="s">
        <v>1838</v>
      </c>
      <c r="D17" t="s">
        <v>160</v>
      </c>
      <c r="E17" t="s">
        <v>28</v>
      </c>
      <c r="F17" t="s">
        <v>1839</v>
      </c>
      <c r="G17" t="s">
        <v>152</v>
      </c>
      <c r="H17" t="s">
        <v>153</v>
      </c>
      <c r="I17" t="s">
        <v>154</v>
      </c>
      <c r="J17">
        <v>19981203</v>
      </c>
    </row>
    <row r="18" spans="1:10">
      <c r="A18" t="s">
        <v>1840</v>
      </c>
      <c r="B18">
        <v>901</v>
      </c>
      <c r="C18" t="s">
        <v>1841</v>
      </c>
      <c r="D18" t="s">
        <v>194</v>
      </c>
      <c r="E18" t="s">
        <v>28</v>
      </c>
      <c r="F18" t="s">
        <v>1842</v>
      </c>
      <c r="G18" t="s">
        <v>152</v>
      </c>
      <c r="H18" t="s">
        <v>153</v>
      </c>
      <c r="I18" t="s">
        <v>154</v>
      </c>
      <c r="J18">
        <v>19990401</v>
      </c>
    </row>
    <row r="19" spans="1:10">
      <c r="A19" t="s">
        <v>1843</v>
      </c>
      <c r="B19">
        <v>903</v>
      </c>
      <c r="C19" t="s">
        <v>1844</v>
      </c>
      <c r="D19" t="s">
        <v>184</v>
      </c>
      <c r="E19" t="s">
        <v>28</v>
      </c>
      <c r="F19" t="s">
        <v>1845</v>
      </c>
      <c r="G19" t="s">
        <v>152</v>
      </c>
      <c r="H19" t="s">
        <v>153</v>
      </c>
      <c r="I19" t="s">
        <v>154</v>
      </c>
      <c r="J19">
        <v>19990415</v>
      </c>
    </row>
    <row r="20" spans="1:10">
      <c r="A20" t="s">
        <v>1846</v>
      </c>
      <c r="B20">
        <v>913</v>
      </c>
      <c r="C20" t="s">
        <v>1847</v>
      </c>
      <c r="D20" t="s">
        <v>423</v>
      </c>
      <c r="E20" t="s">
        <v>43</v>
      </c>
      <c r="F20" t="s">
        <v>1848</v>
      </c>
      <c r="G20" t="s">
        <v>152</v>
      </c>
      <c r="H20" t="s">
        <v>153</v>
      </c>
      <c r="I20" t="s">
        <v>154</v>
      </c>
      <c r="J20">
        <v>19990514</v>
      </c>
    </row>
    <row r="21" spans="1:10">
      <c r="A21" t="s">
        <v>1849</v>
      </c>
      <c r="B21">
        <v>951</v>
      </c>
      <c r="C21" t="s">
        <v>1850</v>
      </c>
      <c r="D21" t="s">
        <v>198</v>
      </c>
      <c r="E21" t="s">
        <v>36</v>
      </c>
      <c r="F21" t="s">
        <v>1851</v>
      </c>
      <c r="G21" t="s">
        <v>152</v>
      </c>
      <c r="H21" t="s">
        <v>153</v>
      </c>
      <c r="I21" t="s">
        <v>154</v>
      </c>
      <c r="J21">
        <v>19991125</v>
      </c>
    </row>
    <row r="22" spans="1:10">
      <c r="A22" t="s">
        <v>1852</v>
      </c>
      <c r="B22">
        <v>957</v>
      </c>
      <c r="C22" t="s">
        <v>1853</v>
      </c>
      <c r="D22" t="s">
        <v>198</v>
      </c>
      <c r="E22" t="s">
        <v>36</v>
      </c>
      <c r="F22" t="s">
        <v>1854</v>
      </c>
      <c r="G22" t="s">
        <v>152</v>
      </c>
      <c r="H22" t="s">
        <v>153</v>
      </c>
      <c r="I22" t="s">
        <v>154</v>
      </c>
      <c r="J22">
        <v>20000113</v>
      </c>
    </row>
    <row r="23" spans="1:10">
      <c r="A23" t="s">
        <v>1855</v>
      </c>
      <c r="B23">
        <v>980</v>
      </c>
      <c r="C23" t="s">
        <v>1856</v>
      </c>
      <c r="D23" t="s">
        <v>423</v>
      </c>
      <c r="E23" t="s">
        <v>28</v>
      </c>
      <c r="F23" t="s">
        <v>1857</v>
      </c>
      <c r="G23" t="s">
        <v>152</v>
      </c>
      <c r="H23" t="s">
        <v>153</v>
      </c>
      <c r="I23" t="s">
        <v>154</v>
      </c>
      <c r="J23">
        <v>20000616</v>
      </c>
    </row>
    <row r="24" spans="1:10">
      <c r="A24" t="s">
        <v>1858</v>
      </c>
      <c r="B24">
        <v>981</v>
      </c>
      <c r="C24" t="s">
        <v>1859</v>
      </c>
      <c r="D24" t="s">
        <v>177</v>
      </c>
      <c r="E24" t="s">
        <v>28</v>
      </c>
      <c r="F24" t="s">
        <v>1860</v>
      </c>
      <c r="G24" t="s">
        <v>152</v>
      </c>
      <c r="H24" t="s">
        <v>153</v>
      </c>
      <c r="I24" t="s">
        <v>154</v>
      </c>
      <c r="J24">
        <v>20000622</v>
      </c>
    </row>
    <row r="25" spans="1:10">
      <c r="A25" t="s">
        <v>1861</v>
      </c>
      <c r="B25">
        <v>996</v>
      </c>
      <c r="C25" t="s">
        <v>1862</v>
      </c>
      <c r="D25" t="s">
        <v>164</v>
      </c>
      <c r="E25" t="s">
        <v>18</v>
      </c>
      <c r="F25" t="s">
        <v>1863</v>
      </c>
      <c r="G25" t="s">
        <v>152</v>
      </c>
      <c r="H25" t="s">
        <v>153</v>
      </c>
      <c r="I25" t="s">
        <v>154</v>
      </c>
      <c r="J25">
        <v>20000718</v>
      </c>
    </row>
    <row r="26" spans="1:10">
      <c r="A26" t="s">
        <v>1864</v>
      </c>
      <c r="B26">
        <v>1319</v>
      </c>
      <c r="C26" t="s">
        <v>1865</v>
      </c>
      <c r="D26" t="s">
        <v>223</v>
      </c>
      <c r="E26" t="s">
        <v>28</v>
      </c>
      <c r="F26" t="s">
        <v>1866</v>
      </c>
      <c r="G26" t="s">
        <v>152</v>
      </c>
      <c r="H26" t="s">
        <v>153</v>
      </c>
      <c r="I26" t="s">
        <v>154</v>
      </c>
      <c r="J26">
        <v>20220512</v>
      </c>
    </row>
    <row r="27" spans="1:10">
      <c r="A27" t="s">
        <v>1867</v>
      </c>
      <c r="B27">
        <v>1696</v>
      </c>
      <c r="C27" t="s">
        <v>1868</v>
      </c>
      <c r="D27" t="s">
        <v>937</v>
      </c>
      <c r="E27" t="s">
        <v>43</v>
      </c>
      <c r="F27" t="s">
        <v>1869</v>
      </c>
      <c r="G27" t="s">
        <v>152</v>
      </c>
      <c r="H27" t="s">
        <v>153</v>
      </c>
      <c r="I27" t="s">
        <v>154</v>
      </c>
      <c r="J27">
        <v>19970306</v>
      </c>
    </row>
    <row r="28" spans="1:10">
      <c r="A28" t="s">
        <v>1870</v>
      </c>
      <c r="B28">
        <v>600006</v>
      </c>
      <c r="C28" t="s">
        <v>1871</v>
      </c>
      <c r="D28" t="s">
        <v>316</v>
      </c>
      <c r="E28" t="s">
        <v>36</v>
      </c>
      <c r="F28" t="s">
        <v>1872</v>
      </c>
      <c r="G28" t="s">
        <v>152</v>
      </c>
      <c r="H28" t="s">
        <v>174</v>
      </c>
      <c r="I28" t="s">
        <v>154</v>
      </c>
      <c r="J28">
        <v>19990727</v>
      </c>
    </row>
    <row r="29" spans="1:10">
      <c r="A29" t="s">
        <v>1873</v>
      </c>
      <c r="B29">
        <v>600066</v>
      </c>
      <c r="C29" t="s">
        <v>1874</v>
      </c>
      <c r="D29" t="s">
        <v>292</v>
      </c>
      <c r="E29" t="s">
        <v>36</v>
      </c>
      <c r="F29" t="s">
        <v>1875</v>
      </c>
      <c r="G29" t="s">
        <v>152</v>
      </c>
      <c r="H29" t="s">
        <v>174</v>
      </c>
      <c r="I29" t="s">
        <v>154</v>
      </c>
      <c r="J29">
        <v>19970508</v>
      </c>
    </row>
    <row r="30" spans="1:10">
      <c r="A30" t="s">
        <v>1876</v>
      </c>
      <c r="B30">
        <v>600081</v>
      </c>
      <c r="C30" t="s">
        <v>1877</v>
      </c>
      <c r="D30" t="s">
        <v>172</v>
      </c>
      <c r="E30" t="s">
        <v>28</v>
      </c>
      <c r="F30" t="s">
        <v>1878</v>
      </c>
      <c r="G30" t="s">
        <v>152</v>
      </c>
      <c r="H30" t="s">
        <v>174</v>
      </c>
      <c r="I30" t="s">
        <v>154</v>
      </c>
      <c r="J30">
        <v>19970703</v>
      </c>
    </row>
    <row r="31" spans="1:10">
      <c r="A31" t="s">
        <v>1879</v>
      </c>
      <c r="B31">
        <v>600099</v>
      </c>
      <c r="C31" t="s">
        <v>1880</v>
      </c>
      <c r="D31" t="s">
        <v>212</v>
      </c>
      <c r="E31" t="s">
        <v>36</v>
      </c>
      <c r="F31" t="s">
        <v>1881</v>
      </c>
      <c r="G31" t="s">
        <v>152</v>
      </c>
      <c r="H31" t="s">
        <v>174</v>
      </c>
      <c r="I31" t="s">
        <v>154</v>
      </c>
      <c r="J31">
        <v>19970704</v>
      </c>
    </row>
    <row r="32" spans="1:10">
      <c r="A32" t="s">
        <v>1882</v>
      </c>
      <c r="B32">
        <v>600104</v>
      </c>
      <c r="C32" t="s">
        <v>1883</v>
      </c>
      <c r="D32" t="s">
        <v>172</v>
      </c>
      <c r="E32" t="s">
        <v>36</v>
      </c>
      <c r="F32" t="s">
        <v>1884</v>
      </c>
      <c r="G32" t="s">
        <v>152</v>
      </c>
      <c r="H32" t="s">
        <v>174</v>
      </c>
      <c r="I32" t="s">
        <v>154</v>
      </c>
      <c r="J32">
        <v>19971125</v>
      </c>
    </row>
    <row r="33" spans="1:10">
      <c r="A33" t="s">
        <v>1885</v>
      </c>
      <c r="B33">
        <v>600148</v>
      </c>
      <c r="C33" t="s">
        <v>1886</v>
      </c>
      <c r="D33" t="s">
        <v>312</v>
      </c>
      <c r="E33" t="s">
        <v>28</v>
      </c>
      <c r="F33" t="s">
        <v>1887</v>
      </c>
      <c r="G33" t="s">
        <v>152</v>
      </c>
      <c r="H33" t="s">
        <v>174</v>
      </c>
      <c r="I33" t="s">
        <v>154</v>
      </c>
      <c r="J33">
        <v>19980520</v>
      </c>
    </row>
    <row r="34" spans="1:10">
      <c r="A34" t="s">
        <v>1888</v>
      </c>
      <c r="B34">
        <v>600151</v>
      </c>
      <c r="C34" t="s">
        <v>1889</v>
      </c>
      <c r="D34" t="s">
        <v>172</v>
      </c>
      <c r="E34" t="s">
        <v>28</v>
      </c>
      <c r="F34" t="s">
        <v>1890</v>
      </c>
      <c r="G34" t="s">
        <v>152</v>
      </c>
      <c r="H34" t="s">
        <v>174</v>
      </c>
      <c r="I34" t="s">
        <v>154</v>
      </c>
      <c r="J34">
        <v>19980605</v>
      </c>
    </row>
    <row r="35" spans="1:10">
      <c r="A35" t="s">
        <v>1891</v>
      </c>
      <c r="B35">
        <v>600166</v>
      </c>
      <c r="C35" t="s">
        <v>1892</v>
      </c>
      <c r="D35" t="s">
        <v>164</v>
      </c>
      <c r="E35" t="s">
        <v>36</v>
      </c>
      <c r="F35" t="s">
        <v>1893</v>
      </c>
      <c r="G35" t="s">
        <v>152</v>
      </c>
      <c r="H35" t="s">
        <v>174</v>
      </c>
      <c r="I35" t="s">
        <v>154</v>
      </c>
      <c r="J35">
        <v>19980602</v>
      </c>
    </row>
    <row r="36" spans="1:10">
      <c r="A36" t="s">
        <v>1894</v>
      </c>
      <c r="B36">
        <v>600178</v>
      </c>
      <c r="C36" t="s">
        <v>1895</v>
      </c>
      <c r="D36" t="s">
        <v>194</v>
      </c>
      <c r="E36" t="s">
        <v>28</v>
      </c>
      <c r="F36" t="s">
        <v>1896</v>
      </c>
      <c r="G36" t="s">
        <v>152</v>
      </c>
      <c r="H36" t="s">
        <v>174</v>
      </c>
      <c r="I36" t="s">
        <v>154</v>
      </c>
      <c r="J36">
        <v>19981014</v>
      </c>
    </row>
    <row r="37" spans="1:10">
      <c r="A37" t="s">
        <v>1897</v>
      </c>
      <c r="B37">
        <v>600182</v>
      </c>
      <c r="C37" t="s">
        <v>1898</v>
      </c>
      <c r="D37" t="s">
        <v>194</v>
      </c>
      <c r="E37" t="s">
        <v>28</v>
      </c>
      <c r="F37" t="s">
        <v>1899</v>
      </c>
      <c r="G37" t="s">
        <v>152</v>
      </c>
      <c r="H37" t="s">
        <v>174</v>
      </c>
      <c r="I37" t="s">
        <v>154</v>
      </c>
      <c r="J37">
        <v>19990507</v>
      </c>
    </row>
    <row r="38" spans="1:10">
      <c r="A38" t="s">
        <v>1900</v>
      </c>
      <c r="B38">
        <v>600213</v>
      </c>
      <c r="C38" t="s">
        <v>1901</v>
      </c>
      <c r="D38" t="s">
        <v>212</v>
      </c>
      <c r="E38" t="s">
        <v>36</v>
      </c>
      <c r="F38" t="s">
        <v>1902</v>
      </c>
      <c r="G38" t="s">
        <v>152</v>
      </c>
      <c r="H38" t="s">
        <v>174</v>
      </c>
      <c r="I38" t="s">
        <v>154</v>
      </c>
      <c r="J38">
        <v>19990831</v>
      </c>
    </row>
    <row r="39" spans="1:10">
      <c r="A39" t="s">
        <v>1903</v>
      </c>
      <c r="B39">
        <v>600218</v>
      </c>
      <c r="C39" t="s">
        <v>1904</v>
      </c>
      <c r="D39" t="s">
        <v>160</v>
      </c>
      <c r="E39" t="s">
        <v>28</v>
      </c>
      <c r="F39" t="s">
        <v>1905</v>
      </c>
      <c r="G39" t="s">
        <v>152</v>
      </c>
      <c r="H39" t="s">
        <v>174</v>
      </c>
      <c r="I39" t="s">
        <v>154</v>
      </c>
      <c r="J39">
        <v>19981203</v>
      </c>
    </row>
    <row r="40" spans="1:10">
      <c r="A40" t="s">
        <v>1906</v>
      </c>
      <c r="B40">
        <v>600297</v>
      </c>
      <c r="C40" t="s">
        <v>1907</v>
      </c>
      <c r="D40" t="s">
        <v>236</v>
      </c>
      <c r="E40" t="s">
        <v>18</v>
      </c>
      <c r="F40" t="s">
        <v>1908</v>
      </c>
      <c r="G40" t="s">
        <v>152</v>
      </c>
      <c r="H40" t="s">
        <v>174</v>
      </c>
      <c r="I40" t="s">
        <v>154</v>
      </c>
      <c r="J40">
        <v>20001116</v>
      </c>
    </row>
    <row r="41" spans="1:10">
      <c r="A41" t="s">
        <v>1909</v>
      </c>
      <c r="B41">
        <v>600303</v>
      </c>
      <c r="C41" t="s">
        <v>1910</v>
      </c>
      <c r="D41" t="s">
        <v>236</v>
      </c>
      <c r="E41" t="s">
        <v>36</v>
      </c>
      <c r="F41" t="s">
        <v>1911</v>
      </c>
      <c r="G41" t="s">
        <v>152</v>
      </c>
      <c r="H41" t="s">
        <v>174</v>
      </c>
      <c r="I41" t="s">
        <v>154</v>
      </c>
      <c r="J41">
        <v>20001226</v>
      </c>
    </row>
    <row r="42" spans="1:10">
      <c r="A42" t="s">
        <v>1912</v>
      </c>
      <c r="B42">
        <v>600335</v>
      </c>
      <c r="C42" t="s">
        <v>1913</v>
      </c>
      <c r="D42" t="s">
        <v>576</v>
      </c>
      <c r="E42" t="s">
        <v>28</v>
      </c>
      <c r="F42" t="s">
        <v>1914</v>
      </c>
      <c r="G42" t="s">
        <v>152</v>
      </c>
      <c r="H42" t="s">
        <v>174</v>
      </c>
      <c r="I42" t="s">
        <v>154</v>
      </c>
      <c r="J42">
        <v>20010305</v>
      </c>
    </row>
    <row r="43" spans="1:10">
      <c r="A43" t="s">
        <v>1915</v>
      </c>
      <c r="B43">
        <v>600375</v>
      </c>
      <c r="C43" t="s">
        <v>1916</v>
      </c>
      <c r="D43" t="s">
        <v>160</v>
      </c>
      <c r="E43" t="s">
        <v>36</v>
      </c>
      <c r="F43" t="s">
        <v>1917</v>
      </c>
      <c r="G43" t="s">
        <v>152</v>
      </c>
      <c r="H43" t="s">
        <v>174</v>
      </c>
      <c r="I43" t="s">
        <v>154</v>
      </c>
      <c r="J43">
        <v>20030401</v>
      </c>
    </row>
    <row r="44" spans="1:10">
      <c r="A44" t="s">
        <v>1918</v>
      </c>
      <c r="B44">
        <v>600386</v>
      </c>
      <c r="C44" t="s">
        <v>1919</v>
      </c>
      <c r="D44" t="s">
        <v>164</v>
      </c>
      <c r="E44" t="s">
        <v>18</v>
      </c>
      <c r="F44" t="s">
        <v>1920</v>
      </c>
      <c r="G44" t="s">
        <v>152</v>
      </c>
      <c r="H44" t="s">
        <v>174</v>
      </c>
      <c r="I44" t="s">
        <v>154</v>
      </c>
      <c r="J44">
        <v>20010216</v>
      </c>
    </row>
    <row r="45" spans="1:10">
      <c r="A45" t="s">
        <v>1921</v>
      </c>
      <c r="B45">
        <v>600418</v>
      </c>
      <c r="C45" t="s">
        <v>1922</v>
      </c>
      <c r="D45" t="s">
        <v>160</v>
      </c>
      <c r="E45" t="s">
        <v>36</v>
      </c>
      <c r="F45" t="s">
        <v>1923</v>
      </c>
      <c r="G45" t="s">
        <v>152</v>
      </c>
      <c r="H45" t="s">
        <v>174</v>
      </c>
      <c r="I45" t="s">
        <v>154</v>
      </c>
      <c r="J45">
        <v>20010824</v>
      </c>
    </row>
    <row r="46" spans="1:10">
      <c r="A46" t="s">
        <v>1924</v>
      </c>
      <c r="B46">
        <v>600469</v>
      </c>
      <c r="C46" t="s">
        <v>1925</v>
      </c>
      <c r="D46" t="s">
        <v>292</v>
      </c>
      <c r="E46" t="s">
        <v>28</v>
      </c>
      <c r="F46" t="s">
        <v>1926</v>
      </c>
      <c r="G46" t="s">
        <v>152</v>
      </c>
      <c r="H46" t="s">
        <v>174</v>
      </c>
      <c r="I46" t="s">
        <v>154</v>
      </c>
      <c r="J46">
        <v>20031021</v>
      </c>
    </row>
    <row r="47" spans="1:10">
      <c r="A47" t="s">
        <v>1927</v>
      </c>
      <c r="B47">
        <v>600480</v>
      </c>
      <c r="C47" t="s">
        <v>1928</v>
      </c>
      <c r="D47" t="s">
        <v>279</v>
      </c>
      <c r="E47" t="s">
        <v>28</v>
      </c>
      <c r="F47" t="s">
        <v>1929</v>
      </c>
      <c r="G47" t="s">
        <v>152</v>
      </c>
      <c r="H47" t="s">
        <v>174</v>
      </c>
      <c r="I47" t="s">
        <v>154</v>
      </c>
      <c r="J47">
        <v>20030815</v>
      </c>
    </row>
    <row r="48" spans="1:10">
      <c r="A48" t="s">
        <v>1930</v>
      </c>
      <c r="B48">
        <v>600501</v>
      </c>
      <c r="C48" t="s">
        <v>1931</v>
      </c>
      <c r="D48" t="s">
        <v>212</v>
      </c>
      <c r="E48" t="s">
        <v>28</v>
      </c>
      <c r="F48" t="s">
        <v>1932</v>
      </c>
      <c r="G48" t="s">
        <v>152</v>
      </c>
      <c r="H48" t="s">
        <v>174</v>
      </c>
      <c r="I48" t="s">
        <v>154</v>
      </c>
      <c r="J48">
        <v>20010615</v>
      </c>
    </row>
    <row r="49" spans="1:10">
      <c r="A49" t="s">
        <v>1933</v>
      </c>
      <c r="B49">
        <v>600523</v>
      </c>
      <c r="C49" t="s">
        <v>1934</v>
      </c>
      <c r="D49" t="s">
        <v>463</v>
      </c>
      <c r="E49" t="s">
        <v>28</v>
      </c>
      <c r="F49" t="s">
        <v>1935</v>
      </c>
      <c r="G49" t="s">
        <v>152</v>
      </c>
      <c r="H49" t="s">
        <v>174</v>
      </c>
      <c r="I49" t="s">
        <v>154</v>
      </c>
      <c r="J49">
        <v>20011227</v>
      </c>
    </row>
    <row r="50" spans="1:10">
      <c r="A50" t="s">
        <v>1936</v>
      </c>
      <c r="B50">
        <v>600609</v>
      </c>
      <c r="C50" t="s">
        <v>1937</v>
      </c>
      <c r="D50" t="s">
        <v>236</v>
      </c>
      <c r="E50" t="s">
        <v>28</v>
      </c>
      <c r="F50" t="s">
        <v>1938</v>
      </c>
      <c r="G50" t="s">
        <v>152</v>
      </c>
      <c r="H50" t="s">
        <v>174</v>
      </c>
      <c r="I50" t="s">
        <v>154</v>
      </c>
      <c r="J50">
        <v>19920724</v>
      </c>
    </row>
    <row r="51" spans="1:10">
      <c r="A51" t="s">
        <v>1939</v>
      </c>
      <c r="B51">
        <v>600626</v>
      </c>
      <c r="C51" t="s">
        <v>1940</v>
      </c>
      <c r="D51" t="s">
        <v>172</v>
      </c>
      <c r="E51" t="s">
        <v>28</v>
      </c>
      <c r="F51" t="s">
        <v>1941</v>
      </c>
      <c r="G51" t="s">
        <v>152</v>
      </c>
      <c r="H51" t="s">
        <v>174</v>
      </c>
      <c r="I51" t="s">
        <v>154</v>
      </c>
      <c r="J51">
        <v>19930107</v>
      </c>
    </row>
    <row r="52" spans="1:10">
      <c r="A52" t="s">
        <v>1942</v>
      </c>
      <c r="B52">
        <v>600653</v>
      </c>
      <c r="C52" t="s">
        <v>1943</v>
      </c>
      <c r="D52" t="s">
        <v>236</v>
      </c>
      <c r="E52" t="s">
        <v>18</v>
      </c>
      <c r="F52" t="s">
        <v>1944</v>
      </c>
      <c r="G52" t="s">
        <v>152</v>
      </c>
      <c r="H52" t="s">
        <v>174</v>
      </c>
      <c r="I52" t="s">
        <v>154</v>
      </c>
      <c r="J52">
        <v>19901219</v>
      </c>
    </row>
    <row r="53" spans="1:10">
      <c r="A53" t="s">
        <v>1945</v>
      </c>
      <c r="B53">
        <v>600660</v>
      </c>
      <c r="C53" t="s">
        <v>1946</v>
      </c>
      <c r="D53" t="s">
        <v>150</v>
      </c>
      <c r="E53" t="s">
        <v>28</v>
      </c>
      <c r="F53" t="s">
        <v>1947</v>
      </c>
      <c r="G53" t="s">
        <v>152</v>
      </c>
      <c r="H53" t="s">
        <v>174</v>
      </c>
      <c r="I53" t="s">
        <v>154</v>
      </c>
      <c r="J53">
        <v>19930610</v>
      </c>
    </row>
    <row r="54" spans="1:10">
      <c r="A54" t="s">
        <v>1948</v>
      </c>
      <c r="B54">
        <v>600676</v>
      </c>
      <c r="C54" t="s">
        <v>1949</v>
      </c>
      <c r="D54" t="s">
        <v>172</v>
      </c>
      <c r="E54" t="s">
        <v>28</v>
      </c>
      <c r="F54" t="s">
        <v>1950</v>
      </c>
      <c r="G54" t="s">
        <v>152</v>
      </c>
      <c r="H54" t="s">
        <v>174</v>
      </c>
      <c r="I54" t="s">
        <v>154</v>
      </c>
      <c r="J54">
        <v>19930928</v>
      </c>
    </row>
    <row r="55" spans="1:10">
      <c r="A55" t="s">
        <v>1951</v>
      </c>
      <c r="B55">
        <v>600686</v>
      </c>
      <c r="C55" t="s">
        <v>1952</v>
      </c>
      <c r="D55" t="s">
        <v>150</v>
      </c>
      <c r="E55" t="s">
        <v>36</v>
      </c>
      <c r="F55" t="s">
        <v>1953</v>
      </c>
      <c r="G55" t="s">
        <v>152</v>
      </c>
      <c r="H55" t="s">
        <v>174</v>
      </c>
      <c r="I55" t="s">
        <v>154</v>
      </c>
      <c r="J55">
        <v>19931108</v>
      </c>
    </row>
    <row r="56" spans="1:10">
      <c r="A56" t="s">
        <v>1954</v>
      </c>
      <c r="B56">
        <v>600698</v>
      </c>
      <c r="C56" t="s">
        <v>1955</v>
      </c>
      <c r="D56" t="s">
        <v>168</v>
      </c>
      <c r="E56" t="s">
        <v>28</v>
      </c>
      <c r="F56" t="s">
        <v>1956</v>
      </c>
      <c r="G56" t="s">
        <v>152</v>
      </c>
      <c r="H56" t="s">
        <v>174</v>
      </c>
      <c r="I56" t="s">
        <v>154</v>
      </c>
      <c r="J56">
        <v>19931206</v>
      </c>
    </row>
    <row r="57" spans="1:10">
      <c r="A57" t="s">
        <v>1957</v>
      </c>
      <c r="B57">
        <v>600699</v>
      </c>
      <c r="C57" t="s">
        <v>1958</v>
      </c>
      <c r="D57" t="s">
        <v>423</v>
      </c>
      <c r="E57" t="s">
        <v>28</v>
      </c>
      <c r="F57" t="s">
        <v>1959</v>
      </c>
      <c r="G57" t="s">
        <v>152</v>
      </c>
      <c r="H57" t="s">
        <v>174</v>
      </c>
      <c r="I57" t="s">
        <v>154</v>
      </c>
      <c r="J57">
        <v>19931206</v>
      </c>
    </row>
    <row r="58" spans="1:10">
      <c r="A58" t="s">
        <v>1960</v>
      </c>
      <c r="B58">
        <v>600733</v>
      </c>
      <c r="C58" t="s">
        <v>1961</v>
      </c>
      <c r="D58" t="s">
        <v>164</v>
      </c>
      <c r="E58" t="s">
        <v>36</v>
      </c>
      <c r="F58" t="s">
        <v>1962</v>
      </c>
      <c r="G58" t="s">
        <v>152</v>
      </c>
      <c r="H58" t="s">
        <v>174</v>
      </c>
      <c r="I58" t="s">
        <v>154</v>
      </c>
      <c r="J58">
        <v>19960816</v>
      </c>
    </row>
    <row r="59" spans="1:10">
      <c r="A59" t="s">
        <v>1963</v>
      </c>
      <c r="B59">
        <v>600741</v>
      </c>
      <c r="C59" t="s">
        <v>1964</v>
      </c>
      <c r="D59" t="s">
        <v>172</v>
      </c>
      <c r="E59" t="s">
        <v>28</v>
      </c>
      <c r="F59" t="s">
        <v>1965</v>
      </c>
      <c r="G59" t="s">
        <v>152</v>
      </c>
      <c r="H59" t="s">
        <v>174</v>
      </c>
      <c r="I59" t="s">
        <v>154</v>
      </c>
      <c r="J59">
        <v>19960826</v>
      </c>
    </row>
    <row r="60" spans="1:10">
      <c r="A60" t="s">
        <v>1966</v>
      </c>
      <c r="B60">
        <v>600742</v>
      </c>
      <c r="C60" t="s">
        <v>1967</v>
      </c>
      <c r="D60" t="s">
        <v>312</v>
      </c>
      <c r="E60" t="s">
        <v>28</v>
      </c>
      <c r="F60" t="s">
        <v>1968</v>
      </c>
      <c r="G60" t="s">
        <v>152</v>
      </c>
      <c r="H60" t="s">
        <v>174</v>
      </c>
      <c r="I60" t="s">
        <v>154</v>
      </c>
      <c r="J60">
        <v>19960826</v>
      </c>
    </row>
    <row r="61" spans="1:10">
      <c r="A61" t="s">
        <v>1969</v>
      </c>
      <c r="B61">
        <v>600841</v>
      </c>
      <c r="C61" t="s">
        <v>1970</v>
      </c>
      <c r="D61" t="s">
        <v>172</v>
      </c>
      <c r="E61" t="s">
        <v>28</v>
      </c>
      <c r="F61" t="s">
        <v>1971</v>
      </c>
      <c r="G61" t="s">
        <v>152</v>
      </c>
      <c r="H61" t="s">
        <v>174</v>
      </c>
      <c r="I61" t="s">
        <v>154</v>
      </c>
      <c r="J61">
        <v>19940311</v>
      </c>
    </row>
    <row r="62" spans="1:10">
      <c r="A62" t="s">
        <v>1972</v>
      </c>
      <c r="B62">
        <v>600933</v>
      </c>
      <c r="C62" t="s">
        <v>1973</v>
      </c>
      <c r="D62" t="s">
        <v>423</v>
      </c>
      <c r="E62" t="s">
        <v>28</v>
      </c>
      <c r="F62" t="s">
        <v>1974</v>
      </c>
      <c r="G62" t="s">
        <v>152</v>
      </c>
      <c r="H62" t="s">
        <v>174</v>
      </c>
      <c r="I62" t="s">
        <v>154</v>
      </c>
      <c r="J62">
        <v>20171117</v>
      </c>
    </row>
    <row r="63" spans="1:10">
      <c r="A63" t="s">
        <v>1975</v>
      </c>
      <c r="B63">
        <v>600960</v>
      </c>
      <c r="C63" t="s">
        <v>1976</v>
      </c>
      <c r="D63" t="s">
        <v>198</v>
      </c>
      <c r="E63" t="s">
        <v>28</v>
      </c>
      <c r="F63" t="s">
        <v>1977</v>
      </c>
      <c r="G63" t="s">
        <v>152</v>
      </c>
      <c r="H63" t="s">
        <v>174</v>
      </c>
      <c r="I63" t="s">
        <v>154</v>
      </c>
      <c r="J63">
        <v>20040407</v>
      </c>
    </row>
    <row r="64" spans="1:10">
      <c r="A64" t="s">
        <v>1978</v>
      </c>
      <c r="B64">
        <v>601058</v>
      </c>
      <c r="C64" t="s">
        <v>1979</v>
      </c>
      <c r="D64" t="s">
        <v>198</v>
      </c>
      <c r="E64" t="s">
        <v>28</v>
      </c>
      <c r="F64" t="s">
        <v>1980</v>
      </c>
      <c r="G64" t="s">
        <v>152</v>
      </c>
      <c r="H64" t="s">
        <v>174</v>
      </c>
      <c r="I64" t="s">
        <v>154</v>
      </c>
      <c r="J64">
        <v>20110630</v>
      </c>
    </row>
    <row r="65" spans="1:10">
      <c r="A65" t="s">
        <v>1981</v>
      </c>
      <c r="B65">
        <v>601127</v>
      </c>
      <c r="C65" t="s">
        <v>1982</v>
      </c>
      <c r="D65" t="s">
        <v>937</v>
      </c>
      <c r="E65" t="s">
        <v>36</v>
      </c>
      <c r="F65" t="s">
        <v>1983</v>
      </c>
      <c r="G65" t="s">
        <v>152</v>
      </c>
      <c r="H65" t="s">
        <v>174</v>
      </c>
      <c r="I65" t="s">
        <v>154</v>
      </c>
      <c r="J65">
        <v>20160615</v>
      </c>
    </row>
    <row r="66" spans="1:10">
      <c r="A66" t="s">
        <v>1984</v>
      </c>
      <c r="B66">
        <v>601163</v>
      </c>
      <c r="C66" t="s">
        <v>1985</v>
      </c>
      <c r="D66" t="s">
        <v>198</v>
      </c>
      <c r="E66" t="s">
        <v>28</v>
      </c>
      <c r="F66" t="s">
        <v>1986</v>
      </c>
      <c r="G66" t="s">
        <v>152</v>
      </c>
      <c r="H66" t="s">
        <v>174</v>
      </c>
      <c r="I66" t="s">
        <v>154</v>
      </c>
      <c r="J66">
        <v>20160909</v>
      </c>
    </row>
    <row r="67" spans="1:10">
      <c r="A67" t="s">
        <v>1987</v>
      </c>
      <c r="B67">
        <v>601238</v>
      </c>
      <c r="C67" t="s">
        <v>1988</v>
      </c>
      <c r="D67" t="s">
        <v>223</v>
      </c>
      <c r="E67" t="s">
        <v>36</v>
      </c>
      <c r="F67" t="s">
        <v>1989</v>
      </c>
      <c r="G67" t="s">
        <v>152</v>
      </c>
      <c r="H67" t="s">
        <v>174</v>
      </c>
      <c r="I67" t="s">
        <v>154</v>
      </c>
      <c r="J67">
        <v>20120329</v>
      </c>
    </row>
    <row r="68" spans="1:10">
      <c r="A68" t="s">
        <v>1990</v>
      </c>
      <c r="B68">
        <v>601258</v>
      </c>
      <c r="C68" t="s">
        <v>1991</v>
      </c>
      <c r="D68" t="s">
        <v>279</v>
      </c>
      <c r="E68" t="s">
        <v>18</v>
      </c>
      <c r="F68" t="s">
        <v>1992</v>
      </c>
      <c r="G68" t="s">
        <v>152</v>
      </c>
      <c r="H68" t="s">
        <v>174</v>
      </c>
      <c r="I68" t="s">
        <v>154</v>
      </c>
      <c r="J68">
        <v>20110428</v>
      </c>
    </row>
    <row r="69" spans="1:10">
      <c r="A69" t="s">
        <v>1993</v>
      </c>
      <c r="B69">
        <v>601279</v>
      </c>
      <c r="C69" t="s">
        <v>1994</v>
      </c>
      <c r="D69" t="s">
        <v>312</v>
      </c>
      <c r="E69" t="s">
        <v>28</v>
      </c>
      <c r="F69" t="s">
        <v>1995</v>
      </c>
      <c r="G69" t="s">
        <v>152</v>
      </c>
      <c r="H69" t="s">
        <v>174</v>
      </c>
      <c r="I69" t="s">
        <v>154</v>
      </c>
      <c r="J69">
        <v>20210415</v>
      </c>
    </row>
    <row r="70" spans="1:10">
      <c r="A70" t="s">
        <v>1996</v>
      </c>
      <c r="B70">
        <v>601500</v>
      </c>
      <c r="C70" t="s">
        <v>1997</v>
      </c>
      <c r="D70" t="s">
        <v>212</v>
      </c>
      <c r="E70" t="s">
        <v>28</v>
      </c>
      <c r="F70" t="s">
        <v>1998</v>
      </c>
      <c r="G70" t="s">
        <v>152</v>
      </c>
      <c r="H70" t="s">
        <v>174</v>
      </c>
      <c r="I70" t="s">
        <v>154</v>
      </c>
      <c r="J70">
        <v>20160919</v>
      </c>
    </row>
    <row r="71" spans="1:10">
      <c r="A71" t="s">
        <v>1999</v>
      </c>
      <c r="B71">
        <v>601633</v>
      </c>
      <c r="C71" t="s">
        <v>2000</v>
      </c>
      <c r="D71" t="s">
        <v>279</v>
      </c>
      <c r="E71" t="s">
        <v>36</v>
      </c>
      <c r="F71" t="s">
        <v>2001</v>
      </c>
      <c r="G71" t="s">
        <v>152</v>
      </c>
      <c r="H71" t="s">
        <v>174</v>
      </c>
      <c r="I71" t="s">
        <v>154</v>
      </c>
      <c r="J71">
        <v>20110928</v>
      </c>
    </row>
    <row r="72" spans="1:10">
      <c r="A72" t="s">
        <v>2002</v>
      </c>
      <c r="B72">
        <v>601689</v>
      </c>
      <c r="C72" t="s">
        <v>2003</v>
      </c>
      <c r="D72" t="s">
        <v>423</v>
      </c>
      <c r="E72" t="s">
        <v>28</v>
      </c>
      <c r="F72" t="s">
        <v>2004</v>
      </c>
      <c r="G72" t="s">
        <v>152</v>
      </c>
      <c r="H72" t="s">
        <v>174</v>
      </c>
      <c r="I72" t="s">
        <v>154</v>
      </c>
      <c r="J72">
        <v>20150319</v>
      </c>
    </row>
    <row r="73" spans="1:10">
      <c r="A73" s="3" t="s">
        <v>2005</v>
      </c>
      <c r="B73" s="3">
        <v>601717</v>
      </c>
      <c r="C73" s="3" t="s">
        <v>2006</v>
      </c>
      <c r="D73" s="3" t="s">
        <v>292</v>
      </c>
      <c r="E73" s="3" t="s">
        <v>28</v>
      </c>
      <c r="F73" s="3" t="s">
        <v>2007</v>
      </c>
      <c r="G73" s="3" t="s">
        <v>152</v>
      </c>
      <c r="H73" s="3" t="s">
        <v>174</v>
      </c>
      <c r="I73" s="3" t="s">
        <v>154</v>
      </c>
      <c r="J73" s="3">
        <v>20100803</v>
      </c>
    </row>
    <row r="74" spans="1:10">
      <c r="A74" t="s">
        <v>2008</v>
      </c>
      <c r="B74">
        <v>601777</v>
      </c>
      <c r="C74" t="s">
        <v>2009</v>
      </c>
      <c r="D74" t="s">
        <v>937</v>
      </c>
      <c r="E74" t="s">
        <v>43</v>
      </c>
      <c r="F74" t="s">
        <v>2010</v>
      </c>
      <c r="G74" t="s">
        <v>152</v>
      </c>
      <c r="H74" t="s">
        <v>174</v>
      </c>
      <c r="I74" t="s">
        <v>154</v>
      </c>
      <c r="J74">
        <v>20101125</v>
      </c>
    </row>
    <row r="75" spans="1:10">
      <c r="A75" t="s">
        <v>2011</v>
      </c>
      <c r="B75">
        <v>601799</v>
      </c>
      <c r="C75" t="s">
        <v>2012</v>
      </c>
      <c r="D75" t="s">
        <v>212</v>
      </c>
      <c r="E75" t="s">
        <v>28</v>
      </c>
      <c r="F75" t="s">
        <v>2013</v>
      </c>
      <c r="G75" t="s">
        <v>152</v>
      </c>
      <c r="H75" t="s">
        <v>174</v>
      </c>
      <c r="I75" t="s">
        <v>154</v>
      </c>
      <c r="J75">
        <v>20110201</v>
      </c>
    </row>
    <row r="76" spans="1:10">
      <c r="A76" t="s">
        <v>2014</v>
      </c>
      <c r="B76">
        <v>601965</v>
      </c>
      <c r="C76" t="s">
        <v>2015</v>
      </c>
      <c r="D76" t="s">
        <v>937</v>
      </c>
      <c r="E76" t="s">
        <v>18</v>
      </c>
      <c r="F76" t="s">
        <v>2016</v>
      </c>
      <c r="G76" t="s">
        <v>152</v>
      </c>
      <c r="H76" t="s">
        <v>174</v>
      </c>
      <c r="I76" t="s">
        <v>154</v>
      </c>
      <c r="J76">
        <v>20120611</v>
      </c>
    </row>
    <row r="77" spans="1:10">
      <c r="A77" t="s">
        <v>2017</v>
      </c>
      <c r="B77">
        <v>601966</v>
      </c>
      <c r="C77" t="s">
        <v>2018</v>
      </c>
      <c r="D77" t="s">
        <v>198</v>
      </c>
      <c r="E77" t="s">
        <v>28</v>
      </c>
      <c r="F77" t="s">
        <v>2019</v>
      </c>
      <c r="G77" t="s">
        <v>152</v>
      </c>
      <c r="H77" t="s">
        <v>174</v>
      </c>
      <c r="I77" t="s">
        <v>154</v>
      </c>
      <c r="J77">
        <v>20160706</v>
      </c>
    </row>
    <row r="78" spans="1:10">
      <c r="A78" t="s">
        <v>2020</v>
      </c>
      <c r="B78">
        <v>603006</v>
      </c>
      <c r="C78" t="s">
        <v>2021</v>
      </c>
      <c r="D78" t="s">
        <v>172</v>
      </c>
      <c r="E78" t="s">
        <v>28</v>
      </c>
      <c r="F78" t="s">
        <v>2022</v>
      </c>
      <c r="G78" t="s">
        <v>152</v>
      </c>
      <c r="H78" t="s">
        <v>174</v>
      </c>
      <c r="I78" t="s">
        <v>154</v>
      </c>
      <c r="J78">
        <v>20140630</v>
      </c>
    </row>
    <row r="79" spans="1:10">
      <c r="A79" t="s">
        <v>2023</v>
      </c>
      <c r="B79">
        <v>603009</v>
      </c>
      <c r="C79" t="s">
        <v>2024</v>
      </c>
      <c r="D79" t="s">
        <v>172</v>
      </c>
      <c r="E79" t="s">
        <v>28</v>
      </c>
      <c r="F79" t="s">
        <v>2025</v>
      </c>
      <c r="G79" t="s">
        <v>152</v>
      </c>
      <c r="H79" t="s">
        <v>174</v>
      </c>
      <c r="I79" t="s">
        <v>154</v>
      </c>
      <c r="J79">
        <v>20140718</v>
      </c>
    </row>
    <row r="80" spans="1:10">
      <c r="A80" s="3" t="s">
        <v>2026</v>
      </c>
      <c r="B80" s="3">
        <v>603013</v>
      </c>
      <c r="C80" s="3" t="s">
        <v>2027</v>
      </c>
      <c r="D80" s="3" t="s">
        <v>212</v>
      </c>
      <c r="E80" s="3" t="s">
        <v>28</v>
      </c>
      <c r="F80" s="3" t="s">
        <v>2028</v>
      </c>
      <c r="G80" s="3" t="s">
        <v>152</v>
      </c>
      <c r="H80" s="3" t="s">
        <v>174</v>
      </c>
      <c r="I80" s="3" t="s">
        <v>154</v>
      </c>
      <c r="J80" s="3">
        <v>20180509</v>
      </c>
    </row>
    <row r="81" spans="1:10">
      <c r="A81" t="s">
        <v>2029</v>
      </c>
      <c r="B81">
        <v>603023</v>
      </c>
      <c r="C81" t="s">
        <v>2030</v>
      </c>
      <c r="D81" t="s">
        <v>194</v>
      </c>
      <c r="E81" t="s">
        <v>28</v>
      </c>
      <c r="F81" t="s">
        <v>2031</v>
      </c>
      <c r="G81" t="s">
        <v>152</v>
      </c>
      <c r="H81" t="s">
        <v>174</v>
      </c>
      <c r="I81" t="s">
        <v>154</v>
      </c>
      <c r="J81">
        <v>20150527</v>
      </c>
    </row>
    <row r="82" spans="1:10">
      <c r="A82" t="s">
        <v>2032</v>
      </c>
      <c r="B82">
        <v>603035</v>
      </c>
      <c r="C82" t="s">
        <v>2033</v>
      </c>
      <c r="D82" t="s">
        <v>212</v>
      </c>
      <c r="E82" t="s">
        <v>28</v>
      </c>
      <c r="F82" t="s">
        <v>2034</v>
      </c>
      <c r="G82" t="s">
        <v>152</v>
      </c>
      <c r="H82" t="s">
        <v>174</v>
      </c>
      <c r="I82" t="s">
        <v>154</v>
      </c>
      <c r="J82">
        <v>20170105</v>
      </c>
    </row>
    <row r="83" spans="1:10">
      <c r="A83" t="s">
        <v>2035</v>
      </c>
      <c r="B83">
        <v>603037</v>
      </c>
      <c r="C83" t="s">
        <v>2036</v>
      </c>
      <c r="D83" t="s">
        <v>172</v>
      </c>
      <c r="E83" t="s">
        <v>28</v>
      </c>
      <c r="F83" t="s">
        <v>2037</v>
      </c>
      <c r="G83" t="s">
        <v>152</v>
      </c>
      <c r="H83" t="s">
        <v>174</v>
      </c>
      <c r="I83" t="s">
        <v>154</v>
      </c>
      <c r="J83">
        <v>20170120</v>
      </c>
    </row>
    <row r="84" spans="1:10">
      <c r="A84" t="s">
        <v>2038</v>
      </c>
      <c r="B84">
        <v>603040</v>
      </c>
      <c r="C84" t="s">
        <v>2039</v>
      </c>
      <c r="D84" t="s">
        <v>423</v>
      </c>
      <c r="E84" t="s">
        <v>28</v>
      </c>
      <c r="F84" t="s">
        <v>2040</v>
      </c>
      <c r="G84" t="s">
        <v>152</v>
      </c>
      <c r="H84" t="s">
        <v>174</v>
      </c>
      <c r="I84" t="s">
        <v>154</v>
      </c>
      <c r="J84">
        <v>20170209</v>
      </c>
    </row>
    <row r="85" spans="1:10">
      <c r="A85" t="s">
        <v>2041</v>
      </c>
      <c r="B85">
        <v>603048</v>
      </c>
      <c r="C85" t="s">
        <v>2042</v>
      </c>
      <c r="D85" t="s">
        <v>423</v>
      </c>
      <c r="E85" t="s">
        <v>28</v>
      </c>
      <c r="F85" t="s">
        <v>2043</v>
      </c>
      <c r="G85" t="s">
        <v>152</v>
      </c>
      <c r="H85" t="s">
        <v>174</v>
      </c>
      <c r="I85" t="s">
        <v>154</v>
      </c>
      <c r="J85">
        <v>20211116</v>
      </c>
    </row>
    <row r="86" spans="1:10">
      <c r="A86" t="s">
        <v>2044</v>
      </c>
      <c r="B86">
        <v>603085</v>
      </c>
      <c r="C86" t="s">
        <v>2045</v>
      </c>
      <c r="D86" t="s">
        <v>423</v>
      </c>
      <c r="E86" t="s">
        <v>28</v>
      </c>
      <c r="F86" t="s">
        <v>2046</v>
      </c>
      <c r="G86" t="s">
        <v>152</v>
      </c>
      <c r="H86" t="s">
        <v>174</v>
      </c>
      <c r="I86" t="s">
        <v>154</v>
      </c>
      <c r="J86">
        <v>20150630</v>
      </c>
    </row>
    <row r="87" spans="1:10">
      <c r="A87" t="s">
        <v>2047</v>
      </c>
      <c r="B87">
        <v>603089</v>
      </c>
      <c r="C87" t="s">
        <v>2048</v>
      </c>
      <c r="D87" t="s">
        <v>423</v>
      </c>
      <c r="E87" t="s">
        <v>28</v>
      </c>
      <c r="F87" t="s">
        <v>2049</v>
      </c>
      <c r="G87" t="s">
        <v>152</v>
      </c>
      <c r="H87" t="s">
        <v>174</v>
      </c>
      <c r="I87" t="s">
        <v>154</v>
      </c>
      <c r="J87">
        <v>20170126</v>
      </c>
    </row>
    <row r="88" spans="1:10">
      <c r="A88" t="s">
        <v>2050</v>
      </c>
      <c r="B88">
        <v>603121</v>
      </c>
      <c r="C88" t="s">
        <v>2051</v>
      </c>
      <c r="D88" t="s">
        <v>172</v>
      </c>
      <c r="E88" t="s">
        <v>28</v>
      </c>
      <c r="F88" t="s">
        <v>2052</v>
      </c>
      <c r="G88" t="s">
        <v>152</v>
      </c>
      <c r="H88" t="s">
        <v>174</v>
      </c>
      <c r="I88" t="s">
        <v>154</v>
      </c>
      <c r="J88">
        <v>20190111</v>
      </c>
    </row>
    <row r="89" spans="1:10">
      <c r="A89" t="s">
        <v>2053</v>
      </c>
      <c r="B89">
        <v>603129</v>
      </c>
      <c r="C89" t="s">
        <v>2054</v>
      </c>
      <c r="D89" t="s">
        <v>423</v>
      </c>
      <c r="E89" t="s">
        <v>43</v>
      </c>
      <c r="F89" t="s">
        <v>2055</v>
      </c>
      <c r="G89" t="s">
        <v>152</v>
      </c>
      <c r="H89" t="s">
        <v>174</v>
      </c>
      <c r="I89" t="s">
        <v>154</v>
      </c>
      <c r="J89">
        <v>20170818</v>
      </c>
    </row>
    <row r="90" spans="1:10">
      <c r="A90" t="s">
        <v>2056</v>
      </c>
      <c r="B90">
        <v>603158</v>
      </c>
      <c r="C90" t="s">
        <v>2057</v>
      </c>
      <c r="D90" t="s">
        <v>212</v>
      </c>
      <c r="E90" t="s">
        <v>28</v>
      </c>
      <c r="F90" t="s">
        <v>2058</v>
      </c>
      <c r="G90" t="s">
        <v>152</v>
      </c>
      <c r="H90" t="s">
        <v>174</v>
      </c>
      <c r="I90" t="s">
        <v>154</v>
      </c>
      <c r="J90">
        <v>20150320</v>
      </c>
    </row>
    <row r="91" spans="1:10">
      <c r="A91" t="s">
        <v>2059</v>
      </c>
      <c r="B91">
        <v>603161</v>
      </c>
      <c r="C91" t="s">
        <v>2060</v>
      </c>
      <c r="D91" t="s">
        <v>212</v>
      </c>
      <c r="E91" t="s">
        <v>28</v>
      </c>
      <c r="F91" t="s">
        <v>2061</v>
      </c>
      <c r="G91" t="s">
        <v>152</v>
      </c>
      <c r="H91" t="s">
        <v>174</v>
      </c>
      <c r="I91" t="s">
        <v>154</v>
      </c>
      <c r="J91">
        <v>20180105</v>
      </c>
    </row>
    <row r="92" spans="1:10">
      <c r="A92" t="s">
        <v>2062</v>
      </c>
      <c r="B92">
        <v>603166</v>
      </c>
      <c r="C92" t="s">
        <v>2063</v>
      </c>
      <c r="D92" t="s">
        <v>345</v>
      </c>
      <c r="E92" t="s">
        <v>28</v>
      </c>
      <c r="F92" t="s">
        <v>2064</v>
      </c>
      <c r="G92" t="s">
        <v>152</v>
      </c>
      <c r="H92" t="s">
        <v>174</v>
      </c>
      <c r="I92" t="s">
        <v>154</v>
      </c>
      <c r="J92">
        <v>20141127</v>
      </c>
    </row>
    <row r="93" spans="1:10">
      <c r="A93" t="s">
        <v>2065</v>
      </c>
      <c r="B93">
        <v>603178</v>
      </c>
      <c r="C93" t="s">
        <v>2066</v>
      </c>
      <c r="D93" t="s">
        <v>423</v>
      </c>
      <c r="E93" t="s">
        <v>28</v>
      </c>
      <c r="F93" t="s">
        <v>2067</v>
      </c>
      <c r="G93" t="s">
        <v>152</v>
      </c>
      <c r="H93" t="s">
        <v>174</v>
      </c>
      <c r="I93" t="s">
        <v>154</v>
      </c>
      <c r="J93">
        <v>20170328</v>
      </c>
    </row>
    <row r="94" spans="1:10">
      <c r="A94" t="s">
        <v>2068</v>
      </c>
      <c r="B94">
        <v>603179</v>
      </c>
      <c r="C94" t="s">
        <v>2069</v>
      </c>
      <c r="D94" t="s">
        <v>212</v>
      </c>
      <c r="E94" t="s">
        <v>28</v>
      </c>
      <c r="F94" t="s">
        <v>2070</v>
      </c>
      <c r="G94" t="s">
        <v>152</v>
      </c>
      <c r="H94" t="s">
        <v>174</v>
      </c>
      <c r="I94" t="s">
        <v>154</v>
      </c>
      <c r="J94">
        <v>20170317</v>
      </c>
    </row>
    <row r="95" spans="1:10">
      <c r="A95" t="s">
        <v>2071</v>
      </c>
      <c r="B95">
        <v>603197</v>
      </c>
      <c r="C95" t="s">
        <v>2072</v>
      </c>
      <c r="D95" t="s">
        <v>172</v>
      </c>
      <c r="E95" t="s">
        <v>28</v>
      </c>
      <c r="F95" t="s">
        <v>2073</v>
      </c>
      <c r="G95" t="s">
        <v>152</v>
      </c>
      <c r="H95" t="s">
        <v>174</v>
      </c>
      <c r="I95" t="s">
        <v>154</v>
      </c>
      <c r="J95">
        <v>20170519</v>
      </c>
    </row>
    <row r="96" spans="1:10">
      <c r="A96" t="s">
        <v>2074</v>
      </c>
      <c r="B96">
        <v>603201</v>
      </c>
      <c r="C96" t="s">
        <v>2075</v>
      </c>
      <c r="D96" t="s">
        <v>212</v>
      </c>
      <c r="E96" t="s">
        <v>28</v>
      </c>
      <c r="F96" t="s">
        <v>2076</v>
      </c>
      <c r="G96" t="s">
        <v>152</v>
      </c>
      <c r="H96" t="s">
        <v>174</v>
      </c>
      <c r="I96" t="s">
        <v>154</v>
      </c>
      <c r="J96">
        <v>20220729</v>
      </c>
    </row>
    <row r="97" spans="1:10">
      <c r="A97" t="s">
        <v>2077</v>
      </c>
      <c r="B97">
        <v>603211</v>
      </c>
      <c r="C97" t="s">
        <v>2078</v>
      </c>
      <c r="D97" t="s">
        <v>172</v>
      </c>
      <c r="E97" t="s">
        <v>28</v>
      </c>
      <c r="F97" t="s">
        <v>2079</v>
      </c>
      <c r="G97" t="s">
        <v>152</v>
      </c>
      <c r="H97" t="s">
        <v>174</v>
      </c>
      <c r="I97" t="s">
        <v>154</v>
      </c>
      <c r="J97">
        <v>20220725</v>
      </c>
    </row>
    <row r="98" spans="1:10">
      <c r="A98" t="s">
        <v>2080</v>
      </c>
      <c r="B98">
        <v>603239</v>
      </c>
      <c r="C98" t="s">
        <v>2081</v>
      </c>
      <c r="D98" t="s">
        <v>423</v>
      </c>
      <c r="E98" t="s">
        <v>28</v>
      </c>
      <c r="F98" t="s">
        <v>2082</v>
      </c>
      <c r="G98" t="s">
        <v>152</v>
      </c>
      <c r="H98" t="s">
        <v>174</v>
      </c>
      <c r="I98" t="s">
        <v>154</v>
      </c>
      <c r="J98">
        <v>20161230</v>
      </c>
    </row>
    <row r="99" spans="1:10">
      <c r="A99" t="s">
        <v>2083</v>
      </c>
      <c r="B99">
        <v>603266</v>
      </c>
      <c r="C99" t="s">
        <v>2084</v>
      </c>
      <c r="D99" t="s">
        <v>423</v>
      </c>
      <c r="E99" t="s">
        <v>28</v>
      </c>
      <c r="F99" t="s">
        <v>2085</v>
      </c>
      <c r="G99" t="s">
        <v>152</v>
      </c>
      <c r="H99" t="s">
        <v>174</v>
      </c>
      <c r="I99" t="s">
        <v>154</v>
      </c>
      <c r="J99">
        <v>20170110</v>
      </c>
    </row>
    <row r="100" spans="1:10">
      <c r="A100" t="s">
        <v>2086</v>
      </c>
      <c r="B100">
        <v>603286</v>
      </c>
      <c r="C100" t="s">
        <v>2087</v>
      </c>
      <c r="D100" t="s">
        <v>212</v>
      </c>
      <c r="E100" t="s">
        <v>28</v>
      </c>
      <c r="F100" t="s">
        <v>2088</v>
      </c>
      <c r="G100" t="s">
        <v>152</v>
      </c>
      <c r="H100" t="s">
        <v>174</v>
      </c>
      <c r="I100" t="s">
        <v>154</v>
      </c>
      <c r="J100">
        <v>20170627</v>
      </c>
    </row>
    <row r="101" spans="1:10">
      <c r="A101" t="s">
        <v>2089</v>
      </c>
      <c r="B101">
        <v>603305</v>
      </c>
      <c r="C101" t="s">
        <v>2090</v>
      </c>
      <c r="D101" t="s">
        <v>423</v>
      </c>
      <c r="E101" t="s">
        <v>28</v>
      </c>
      <c r="F101" t="s">
        <v>2091</v>
      </c>
      <c r="G101" t="s">
        <v>152</v>
      </c>
      <c r="H101" t="s">
        <v>174</v>
      </c>
      <c r="I101" t="s">
        <v>154</v>
      </c>
      <c r="J101">
        <v>20170710</v>
      </c>
    </row>
    <row r="102" spans="1:10">
      <c r="A102" t="s">
        <v>2092</v>
      </c>
      <c r="B102">
        <v>603306</v>
      </c>
      <c r="C102" t="s">
        <v>2093</v>
      </c>
      <c r="D102" t="s">
        <v>150</v>
      </c>
      <c r="E102" t="s">
        <v>28</v>
      </c>
      <c r="F102" t="s">
        <v>2094</v>
      </c>
      <c r="G102" t="s">
        <v>152</v>
      </c>
      <c r="H102" t="s">
        <v>174</v>
      </c>
      <c r="I102" t="s">
        <v>154</v>
      </c>
      <c r="J102">
        <v>20140926</v>
      </c>
    </row>
    <row r="103" spans="1:10">
      <c r="A103" t="s">
        <v>2095</v>
      </c>
      <c r="B103">
        <v>603319</v>
      </c>
      <c r="C103" t="s">
        <v>2096</v>
      </c>
      <c r="D103" t="s">
        <v>168</v>
      </c>
      <c r="E103" t="s">
        <v>28</v>
      </c>
      <c r="F103" t="s">
        <v>2097</v>
      </c>
      <c r="G103" t="s">
        <v>152</v>
      </c>
      <c r="H103" t="s">
        <v>174</v>
      </c>
      <c r="I103" t="s">
        <v>154</v>
      </c>
      <c r="J103">
        <v>20161130</v>
      </c>
    </row>
    <row r="104" spans="1:10">
      <c r="A104" t="s">
        <v>2098</v>
      </c>
      <c r="B104">
        <v>603335</v>
      </c>
      <c r="C104" t="s">
        <v>2099</v>
      </c>
      <c r="D104" t="s">
        <v>223</v>
      </c>
      <c r="E104" t="s">
        <v>28</v>
      </c>
      <c r="F104" t="s">
        <v>2100</v>
      </c>
      <c r="G104" t="s">
        <v>152</v>
      </c>
      <c r="H104" t="s">
        <v>174</v>
      </c>
      <c r="I104" t="s">
        <v>154</v>
      </c>
      <c r="J104">
        <v>20170620</v>
      </c>
    </row>
    <row r="105" spans="1:10">
      <c r="A105" t="s">
        <v>2101</v>
      </c>
      <c r="B105">
        <v>603348</v>
      </c>
      <c r="C105" t="s">
        <v>2102</v>
      </c>
      <c r="D105" t="s">
        <v>223</v>
      </c>
      <c r="E105" t="s">
        <v>28</v>
      </c>
      <c r="F105" t="s">
        <v>2103</v>
      </c>
      <c r="G105" t="s">
        <v>152</v>
      </c>
      <c r="H105" t="s">
        <v>174</v>
      </c>
      <c r="I105" t="s">
        <v>154</v>
      </c>
      <c r="J105">
        <v>20180426</v>
      </c>
    </row>
    <row r="106" spans="1:10">
      <c r="A106" t="s">
        <v>2104</v>
      </c>
      <c r="B106">
        <v>603358</v>
      </c>
      <c r="C106" t="s">
        <v>2105</v>
      </c>
      <c r="D106" t="s">
        <v>212</v>
      </c>
      <c r="E106" t="s">
        <v>28</v>
      </c>
      <c r="F106" t="s">
        <v>2106</v>
      </c>
      <c r="G106" t="s">
        <v>152</v>
      </c>
      <c r="H106" t="s">
        <v>174</v>
      </c>
      <c r="I106" t="s">
        <v>154</v>
      </c>
      <c r="J106">
        <v>20170125</v>
      </c>
    </row>
    <row r="107" spans="1:10">
      <c r="A107" t="s">
        <v>2107</v>
      </c>
      <c r="B107">
        <v>603377</v>
      </c>
      <c r="C107" t="s">
        <v>2108</v>
      </c>
      <c r="D107" t="s">
        <v>164</v>
      </c>
      <c r="E107" t="s">
        <v>18</v>
      </c>
      <c r="F107" t="s">
        <v>2109</v>
      </c>
      <c r="G107" t="s">
        <v>152</v>
      </c>
      <c r="H107" t="s">
        <v>174</v>
      </c>
      <c r="I107" t="s">
        <v>154</v>
      </c>
      <c r="J107">
        <v>20160205</v>
      </c>
    </row>
    <row r="108" spans="1:10">
      <c r="A108" t="s">
        <v>2110</v>
      </c>
      <c r="B108">
        <v>603390</v>
      </c>
      <c r="C108" t="s">
        <v>2111</v>
      </c>
      <c r="D108" t="s">
        <v>223</v>
      </c>
      <c r="E108" t="s">
        <v>28</v>
      </c>
      <c r="F108" t="s">
        <v>2112</v>
      </c>
      <c r="G108" t="s">
        <v>152</v>
      </c>
      <c r="H108" t="s">
        <v>174</v>
      </c>
      <c r="I108" t="s">
        <v>154</v>
      </c>
      <c r="J108">
        <v>20191125</v>
      </c>
    </row>
    <row r="109" spans="1:10">
      <c r="A109" t="s">
        <v>2113</v>
      </c>
      <c r="B109">
        <v>603529</v>
      </c>
      <c r="C109" t="s">
        <v>2114</v>
      </c>
      <c r="D109" t="s">
        <v>576</v>
      </c>
      <c r="E109" t="s">
        <v>43</v>
      </c>
      <c r="F109" t="s">
        <v>2115</v>
      </c>
      <c r="G109" t="s">
        <v>152</v>
      </c>
      <c r="H109" t="s">
        <v>174</v>
      </c>
      <c r="I109" t="s">
        <v>154</v>
      </c>
      <c r="J109">
        <v>20210615</v>
      </c>
    </row>
    <row r="110" spans="1:10">
      <c r="A110" t="s">
        <v>2116</v>
      </c>
      <c r="B110">
        <v>603586</v>
      </c>
      <c r="C110" t="s">
        <v>2117</v>
      </c>
      <c r="D110" t="s">
        <v>198</v>
      </c>
      <c r="E110" t="s">
        <v>28</v>
      </c>
      <c r="F110" t="s">
        <v>2118</v>
      </c>
      <c r="G110" t="s">
        <v>152</v>
      </c>
      <c r="H110" t="s">
        <v>174</v>
      </c>
      <c r="I110" t="s">
        <v>154</v>
      </c>
      <c r="J110">
        <v>20170406</v>
      </c>
    </row>
    <row r="111" spans="1:10">
      <c r="A111" t="s">
        <v>2119</v>
      </c>
      <c r="B111">
        <v>603596</v>
      </c>
      <c r="C111" t="s">
        <v>2120</v>
      </c>
      <c r="D111" t="s">
        <v>160</v>
      </c>
      <c r="E111" t="s">
        <v>28</v>
      </c>
      <c r="F111" t="s">
        <v>2121</v>
      </c>
      <c r="G111" t="s">
        <v>152</v>
      </c>
      <c r="H111" t="s">
        <v>174</v>
      </c>
      <c r="I111" t="s">
        <v>154</v>
      </c>
      <c r="J111">
        <v>20180427</v>
      </c>
    </row>
    <row r="112" spans="1:10">
      <c r="A112" t="s">
        <v>2122</v>
      </c>
      <c r="B112">
        <v>603655</v>
      </c>
      <c r="C112" t="s">
        <v>2123</v>
      </c>
      <c r="D112" t="s">
        <v>212</v>
      </c>
      <c r="E112" t="s">
        <v>28</v>
      </c>
      <c r="F112" t="s">
        <v>2124</v>
      </c>
      <c r="G112" t="s">
        <v>152</v>
      </c>
      <c r="H112" t="s">
        <v>174</v>
      </c>
      <c r="I112" t="s">
        <v>154</v>
      </c>
      <c r="J112">
        <v>20171229</v>
      </c>
    </row>
    <row r="113" spans="1:10">
      <c r="A113" t="s">
        <v>2125</v>
      </c>
      <c r="B113">
        <v>603701</v>
      </c>
      <c r="C113" t="s">
        <v>2126</v>
      </c>
      <c r="D113" t="s">
        <v>423</v>
      </c>
      <c r="E113" t="s">
        <v>28</v>
      </c>
      <c r="F113" t="s">
        <v>2127</v>
      </c>
      <c r="G113" t="s">
        <v>152</v>
      </c>
      <c r="H113" t="s">
        <v>174</v>
      </c>
      <c r="I113" t="s">
        <v>154</v>
      </c>
      <c r="J113">
        <v>20160412</v>
      </c>
    </row>
    <row r="114" spans="1:10">
      <c r="A114" t="s">
        <v>2128</v>
      </c>
      <c r="B114">
        <v>603730</v>
      </c>
      <c r="C114" t="s">
        <v>2129</v>
      </c>
      <c r="D114" t="s">
        <v>172</v>
      </c>
      <c r="E114" t="s">
        <v>28</v>
      </c>
      <c r="F114" t="s">
        <v>2130</v>
      </c>
      <c r="G114" t="s">
        <v>152</v>
      </c>
      <c r="H114" t="s">
        <v>174</v>
      </c>
      <c r="I114" t="s">
        <v>154</v>
      </c>
      <c r="J114">
        <v>20170728</v>
      </c>
    </row>
    <row r="115" spans="1:10">
      <c r="A115" t="s">
        <v>2131</v>
      </c>
      <c r="B115">
        <v>603758</v>
      </c>
      <c r="C115" t="s">
        <v>2132</v>
      </c>
      <c r="D115" t="s">
        <v>937</v>
      </c>
      <c r="E115" t="s">
        <v>28</v>
      </c>
      <c r="F115" t="s">
        <v>2133</v>
      </c>
      <c r="G115" t="s">
        <v>152</v>
      </c>
      <c r="H115" t="s">
        <v>174</v>
      </c>
      <c r="I115" t="s">
        <v>154</v>
      </c>
      <c r="J115">
        <v>20170517</v>
      </c>
    </row>
    <row r="116" spans="1:10">
      <c r="A116" t="s">
        <v>2134</v>
      </c>
      <c r="B116">
        <v>603766</v>
      </c>
      <c r="C116" t="s">
        <v>2135</v>
      </c>
      <c r="D116" t="s">
        <v>937</v>
      </c>
      <c r="E116" t="s">
        <v>43</v>
      </c>
      <c r="F116" t="s">
        <v>2136</v>
      </c>
      <c r="G116" t="s">
        <v>152</v>
      </c>
      <c r="H116" t="s">
        <v>174</v>
      </c>
      <c r="I116" t="s">
        <v>154</v>
      </c>
      <c r="J116">
        <v>20120810</v>
      </c>
    </row>
    <row r="117" spans="1:10">
      <c r="A117" t="s">
        <v>2137</v>
      </c>
      <c r="B117">
        <v>603767</v>
      </c>
      <c r="C117" t="s">
        <v>2138</v>
      </c>
      <c r="D117" t="s">
        <v>423</v>
      </c>
      <c r="E117" t="s">
        <v>28</v>
      </c>
      <c r="F117" t="s">
        <v>2139</v>
      </c>
      <c r="G117" t="s">
        <v>152</v>
      </c>
      <c r="H117" t="s">
        <v>174</v>
      </c>
      <c r="I117" t="s">
        <v>154</v>
      </c>
      <c r="J117">
        <v>20170613</v>
      </c>
    </row>
    <row r="118" spans="1:10">
      <c r="A118" t="s">
        <v>2140</v>
      </c>
      <c r="B118">
        <v>603768</v>
      </c>
      <c r="C118" t="s">
        <v>2141</v>
      </c>
      <c r="D118" t="s">
        <v>160</v>
      </c>
      <c r="E118" t="s">
        <v>28</v>
      </c>
      <c r="F118" t="s">
        <v>2142</v>
      </c>
      <c r="G118" t="s">
        <v>152</v>
      </c>
      <c r="H118" t="s">
        <v>174</v>
      </c>
      <c r="I118" t="s">
        <v>154</v>
      </c>
      <c r="J118">
        <v>20170324</v>
      </c>
    </row>
    <row r="119" spans="1:10">
      <c r="A119" t="s">
        <v>2143</v>
      </c>
      <c r="B119">
        <v>603786</v>
      </c>
      <c r="C119" t="s">
        <v>2144</v>
      </c>
      <c r="D119" t="s">
        <v>172</v>
      </c>
      <c r="E119" t="s">
        <v>28</v>
      </c>
      <c r="F119" t="s">
        <v>2145</v>
      </c>
      <c r="G119" t="s">
        <v>152</v>
      </c>
      <c r="H119" t="s">
        <v>174</v>
      </c>
      <c r="I119" t="s">
        <v>154</v>
      </c>
      <c r="J119">
        <v>20191015</v>
      </c>
    </row>
    <row r="120" spans="1:10">
      <c r="A120" t="s">
        <v>2146</v>
      </c>
      <c r="B120">
        <v>603787</v>
      </c>
      <c r="C120" t="s">
        <v>2147</v>
      </c>
      <c r="D120" t="s">
        <v>212</v>
      </c>
      <c r="E120" t="s">
        <v>43</v>
      </c>
      <c r="F120" t="s">
        <v>2148</v>
      </c>
      <c r="G120" t="s">
        <v>152</v>
      </c>
      <c r="H120" t="s">
        <v>174</v>
      </c>
      <c r="I120" t="s">
        <v>154</v>
      </c>
      <c r="J120">
        <v>20170427</v>
      </c>
    </row>
    <row r="121" spans="1:10">
      <c r="A121" t="s">
        <v>2149</v>
      </c>
      <c r="B121">
        <v>603788</v>
      </c>
      <c r="C121" t="s">
        <v>2150</v>
      </c>
      <c r="D121" t="s">
        <v>423</v>
      </c>
      <c r="E121" t="s">
        <v>28</v>
      </c>
      <c r="F121" t="s">
        <v>2151</v>
      </c>
      <c r="G121" t="s">
        <v>152</v>
      </c>
      <c r="H121" t="s">
        <v>174</v>
      </c>
      <c r="I121" t="s">
        <v>154</v>
      </c>
      <c r="J121">
        <v>20150120</v>
      </c>
    </row>
    <row r="122" spans="1:10">
      <c r="A122" t="s">
        <v>2152</v>
      </c>
      <c r="B122">
        <v>603809</v>
      </c>
      <c r="C122" t="s">
        <v>2153</v>
      </c>
      <c r="D122" t="s">
        <v>219</v>
      </c>
      <c r="E122" t="s">
        <v>28</v>
      </c>
      <c r="F122" t="s">
        <v>2154</v>
      </c>
      <c r="G122" t="s">
        <v>152</v>
      </c>
      <c r="H122" t="s">
        <v>174</v>
      </c>
      <c r="I122" t="s">
        <v>154</v>
      </c>
      <c r="J122">
        <v>20171128</v>
      </c>
    </row>
    <row r="123" spans="1:10">
      <c r="A123" t="s">
        <v>2155</v>
      </c>
      <c r="B123">
        <v>603917</v>
      </c>
      <c r="C123" t="s">
        <v>2156</v>
      </c>
      <c r="D123" t="s">
        <v>423</v>
      </c>
      <c r="E123" t="s">
        <v>28</v>
      </c>
      <c r="F123" t="s">
        <v>2157</v>
      </c>
      <c r="G123" t="s">
        <v>152</v>
      </c>
      <c r="H123" t="s">
        <v>174</v>
      </c>
      <c r="I123" t="s">
        <v>154</v>
      </c>
      <c r="J123">
        <v>20171204</v>
      </c>
    </row>
    <row r="124" spans="1:10">
      <c r="A124" t="s">
        <v>2158</v>
      </c>
      <c r="B124">
        <v>603922</v>
      </c>
      <c r="C124" t="s">
        <v>2159</v>
      </c>
      <c r="D124" t="s">
        <v>212</v>
      </c>
      <c r="E124" t="s">
        <v>28</v>
      </c>
      <c r="F124" t="s">
        <v>2160</v>
      </c>
      <c r="G124" t="s">
        <v>152</v>
      </c>
      <c r="H124" t="s">
        <v>174</v>
      </c>
      <c r="I124" t="s">
        <v>154</v>
      </c>
      <c r="J124">
        <v>20171023</v>
      </c>
    </row>
    <row r="125" spans="1:10">
      <c r="A125" t="s">
        <v>2161</v>
      </c>
      <c r="B125">
        <v>603926</v>
      </c>
      <c r="C125" t="s">
        <v>2162</v>
      </c>
      <c r="D125" t="s">
        <v>423</v>
      </c>
      <c r="E125" t="s">
        <v>28</v>
      </c>
      <c r="F125" t="s">
        <v>2163</v>
      </c>
      <c r="G125" t="s">
        <v>152</v>
      </c>
      <c r="H125" t="s">
        <v>174</v>
      </c>
      <c r="I125" t="s">
        <v>154</v>
      </c>
      <c r="J125">
        <v>20170510</v>
      </c>
    </row>
    <row r="126" spans="1:10">
      <c r="A126" t="s">
        <v>2164</v>
      </c>
      <c r="B126">
        <v>603949</v>
      </c>
      <c r="C126" t="s">
        <v>2165</v>
      </c>
      <c r="D126" t="s">
        <v>423</v>
      </c>
      <c r="E126" t="s">
        <v>28</v>
      </c>
      <c r="F126" t="s">
        <v>2166</v>
      </c>
      <c r="G126" t="s">
        <v>152</v>
      </c>
      <c r="H126" t="s">
        <v>174</v>
      </c>
      <c r="I126" t="s">
        <v>154</v>
      </c>
      <c r="J126">
        <v>20200310</v>
      </c>
    </row>
    <row r="127" spans="1:10">
      <c r="A127" t="s">
        <v>2167</v>
      </c>
      <c r="B127">
        <v>603950</v>
      </c>
      <c r="C127" t="s">
        <v>2168</v>
      </c>
      <c r="D127" t="s">
        <v>316</v>
      </c>
      <c r="E127" t="s">
        <v>28</v>
      </c>
      <c r="F127" t="s">
        <v>2169</v>
      </c>
      <c r="G127" t="s">
        <v>152</v>
      </c>
      <c r="H127" t="s">
        <v>174</v>
      </c>
      <c r="I127" t="s">
        <v>154</v>
      </c>
      <c r="J127">
        <v>20200526</v>
      </c>
    </row>
    <row r="128" spans="1:10">
      <c r="A128" t="s">
        <v>2170</v>
      </c>
      <c r="B128">
        <v>603960</v>
      </c>
      <c r="C128" t="s">
        <v>2171</v>
      </c>
      <c r="D128" t="s">
        <v>172</v>
      </c>
      <c r="E128" t="s">
        <v>28</v>
      </c>
      <c r="F128" t="s">
        <v>2172</v>
      </c>
      <c r="G128" t="s">
        <v>152</v>
      </c>
      <c r="H128" t="s">
        <v>174</v>
      </c>
      <c r="I128" t="s">
        <v>154</v>
      </c>
      <c r="J128">
        <v>20170314</v>
      </c>
    </row>
    <row r="129" spans="1:10">
      <c r="A129" t="s">
        <v>2173</v>
      </c>
      <c r="B129">
        <v>603982</v>
      </c>
      <c r="C129" t="s">
        <v>2174</v>
      </c>
      <c r="D129" t="s">
        <v>212</v>
      </c>
      <c r="E129" t="s">
        <v>28</v>
      </c>
      <c r="F129" t="s">
        <v>2175</v>
      </c>
      <c r="G129" t="s">
        <v>152</v>
      </c>
      <c r="H129" t="s">
        <v>174</v>
      </c>
      <c r="I129" t="s">
        <v>154</v>
      </c>
      <c r="J129">
        <v>20190522</v>
      </c>
    </row>
    <row r="130" spans="1:10">
      <c r="A130" t="s">
        <v>2176</v>
      </c>
      <c r="B130">
        <v>603997</v>
      </c>
      <c r="C130" t="s">
        <v>2177</v>
      </c>
      <c r="D130" t="s">
        <v>423</v>
      </c>
      <c r="E130" t="s">
        <v>28</v>
      </c>
      <c r="F130" t="s">
        <v>2178</v>
      </c>
      <c r="G130" t="s">
        <v>152</v>
      </c>
      <c r="H130" t="s">
        <v>174</v>
      </c>
      <c r="I130" t="s">
        <v>154</v>
      </c>
      <c r="J130">
        <v>20150302</v>
      </c>
    </row>
    <row r="131" spans="1:10">
      <c r="A131" t="s">
        <v>2179</v>
      </c>
      <c r="B131">
        <v>605005</v>
      </c>
      <c r="C131" t="s">
        <v>2180</v>
      </c>
      <c r="D131" t="s">
        <v>423</v>
      </c>
      <c r="E131" t="s">
        <v>28</v>
      </c>
      <c r="F131" t="s">
        <v>2181</v>
      </c>
      <c r="G131" t="s">
        <v>152</v>
      </c>
      <c r="H131" t="s">
        <v>174</v>
      </c>
      <c r="I131" t="s">
        <v>154</v>
      </c>
      <c r="J131">
        <v>20210119</v>
      </c>
    </row>
    <row r="132" spans="1:10">
      <c r="A132" t="s">
        <v>2182</v>
      </c>
      <c r="B132">
        <v>605018</v>
      </c>
      <c r="C132" t="s">
        <v>2183</v>
      </c>
      <c r="D132" t="s">
        <v>423</v>
      </c>
      <c r="E132" t="s">
        <v>28</v>
      </c>
      <c r="F132" t="s">
        <v>2184</v>
      </c>
      <c r="G132" t="s">
        <v>152</v>
      </c>
      <c r="H132" t="s">
        <v>174</v>
      </c>
      <c r="I132" t="s">
        <v>154</v>
      </c>
      <c r="J132">
        <v>20200929</v>
      </c>
    </row>
    <row r="133" spans="1:10">
      <c r="A133" t="s">
        <v>2185</v>
      </c>
      <c r="B133">
        <v>605068</v>
      </c>
      <c r="C133" t="s">
        <v>2186</v>
      </c>
      <c r="D133" t="s">
        <v>423</v>
      </c>
      <c r="E133" t="s">
        <v>28</v>
      </c>
      <c r="F133" t="s">
        <v>2187</v>
      </c>
      <c r="G133" t="s">
        <v>152</v>
      </c>
      <c r="H133" t="s">
        <v>174</v>
      </c>
      <c r="I133" t="s">
        <v>154</v>
      </c>
      <c r="J133">
        <v>20201123</v>
      </c>
    </row>
    <row r="134" spans="1:10">
      <c r="A134" t="s">
        <v>2188</v>
      </c>
      <c r="B134">
        <v>605088</v>
      </c>
      <c r="C134" t="s">
        <v>2189</v>
      </c>
      <c r="D134" t="s">
        <v>423</v>
      </c>
      <c r="E134" t="s">
        <v>28</v>
      </c>
      <c r="F134" t="s">
        <v>2190</v>
      </c>
      <c r="G134" t="s">
        <v>152</v>
      </c>
      <c r="H134" t="s">
        <v>174</v>
      </c>
      <c r="I134" t="s">
        <v>154</v>
      </c>
      <c r="J134">
        <v>20200817</v>
      </c>
    </row>
    <row r="135" spans="1:10">
      <c r="A135" t="s">
        <v>2191</v>
      </c>
      <c r="B135">
        <v>605128</v>
      </c>
      <c r="C135" t="s">
        <v>2192</v>
      </c>
      <c r="D135" t="s">
        <v>172</v>
      </c>
      <c r="E135" t="s">
        <v>28</v>
      </c>
      <c r="F135" t="s">
        <v>2193</v>
      </c>
      <c r="G135" t="s">
        <v>152</v>
      </c>
      <c r="H135" t="s">
        <v>174</v>
      </c>
      <c r="I135" t="s">
        <v>154</v>
      </c>
      <c r="J135">
        <v>20200915</v>
      </c>
    </row>
    <row r="136" spans="1:10">
      <c r="A136" t="s">
        <v>2194</v>
      </c>
      <c r="B136">
        <v>605133</v>
      </c>
      <c r="C136" t="s">
        <v>2195</v>
      </c>
      <c r="D136" t="s">
        <v>212</v>
      </c>
      <c r="E136" t="s">
        <v>28</v>
      </c>
      <c r="F136" t="s">
        <v>2196</v>
      </c>
      <c r="G136" t="s">
        <v>152</v>
      </c>
      <c r="H136" t="s">
        <v>174</v>
      </c>
      <c r="I136" t="s">
        <v>154</v>
      </c>
      <c r="J136">
        <v>20210224</v>
      </c>
    </row>
    <row r="137" spans="1:10">
      <c r="A137" t="s">
        <v>2197</v>
      </c>
      <c r="B137">
        <v>605151</v>
      </c>
      <c r="C137" t="s">
        <v>2198</v>
      </c>
      <c r="D137" t="s">
        <v>172</v>
      </c>
      <c r="E137" t="s">
        <v>28</v>
      </c>
      <c r="F137" t="s">
        <v>2199</v>
      </c>
      <c r="G137" t="s">
        <v>152</v>
      </c>
      <c r="H137" t="s">
        <v>174</v>
      </c>
      <c r="I137" t="s">
        <v>154</v>
      </c>
      <c r="J137">
        <v>20201215</v>
      </c>
    </row>
    <row r="138" spans="1:10">
      <c r="A138" t="s">
        <v>2200</v>
      </c>
      <c r="B138">
        <v>605228</v>
      </c>
      <c r="C138" t="s">
        <v>2201</v>
      </c>
      <c r="D138" t="s">
        <v>423</v>
      </c>
      <c r="E138" t="s">
        <v>28</v>
      </c>
      <c r="F138" t="s">
        <v>2202</v>
      </c>
      <c r="G138" t="s">
        <v>152</v>
      </c>
      <c r="H138" t="s">
        <v>174</v>
      </c>
      <c r="I138" t="s">
        <v>154</v>
      </c>
      <c r="J138">
        <v>20210120</v>
      </c>
    </row>
    <row r="139" spans="1:10">
      <c r="A139" t="s">
        <v>2203</v>
      </c>
      <c r="B139">
        <v>605255</v>
      </c>
      <c r="C139" t="s">
        <v>2204</v>
      </c>
      <c r="D139" t="s">
        <v>423</v>
      </c>
      <c r="E139" t="s">
        <v>28</v>
      </c>
      <c r="F139" t="s">
        <v>2205</v>
      </c>
      <c r="G139" t="s">
        <v>152</v>
      </c>
      <c r="H139" t="s">
        <v>174</v>
      </c>
      <c r="I139" t="s">
        <v>154</v>
      </c>
      <c r="J139">
        <v>20200825</v>
      </c>
    </row>
    <row r="140" spans="1:10">
      <c r="A140" t="s">
        <v>2206</v>
      </c>
      <c r="B140">
        <v>605319</v>
      </c>
      <c r="C140" t="s">
        <v>2207</v>
      </c>
      <c r="D140" t="s">
        <v>212</v>
      </c>
      <c r="E140" t="s">
        <v>28</v>
      </c>
      <c r="F140" t="s">
        <v>2208</v>
      </c>
      <c r="G140" t="s">
        <v>152</v>
      </c>
      <c r="H140" t="s">
        <v>174</v>
      </c>
      <c r="I140" t="s">
        <v>154</v>
      </c>
      <c r="J140">
        <v>20210607</v>
      </c>
    </row>
    <row r="141" spans="1:10">
      <c r="A141" t="s">
        <v>2209</v>
      </c>
      <c r="B141">
        <v>605333</v>
      </c>
      <c r="C141" t="s">
        <v>2210</v>
      </c>
      <c r="D141" t="s">
        <v>212</v>
      </c>
      <c r="E141" t="s">
        <v>28</v>
      </c>
      <c r="F141" t="s">
        <v>2211</v>
      </c>
      <c r="G141" t="s">
        <v>152</v>
      </c>
      <c r="H141" t="s">
        <v>174</v>
      </c>
      <c r="I141" t="s">
        <v>154</v>
      </c>
      <c r="J141">
        <v>20200818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2" sqref="A2:J2"/>
    </sheetView>
  </sheetViews>
  <sheetFormatPr defaultColWidth="9" defaultRowHeight="13.5"/>
  <cols>
    <col min="1" max="1" width="17.375" customWidth="1"/>
  </cols>
  <sheetData>
    <row r="1" spans="1:10">
      <c r="A1" s="3" t="s">
        <v>2212</v>
      </c>
      <c r="B1" s="3">
        <v>16</v>
      </c>
      <c r="C1" s="3" t="s">
        <v>2213</v>
      </c>
      <c r="D1" s="3" t="s">
        <v>243</v>
      </c>
      <c r="E1" s="3" t="s">
        <v>8</v>
      </c>
      <c r="F1" s="3" t="s">
        <v>2214</v>
      </c>
      <c r="G1" s="3" t="s">
        <v>152</v>
      </c>
      <c r="H1" s="3" t="s">
        <v>153</v>
      </c>
      <c r="I1" s="3" t="s">
        <v>154</v>
      </c>
      <c r="J1" s="3">
        <v>19920327</v>
      </c>
    </row>
    <row r="2" spans="1:10">
      <c r="A2" t="s">
        <v>2215</v>
      </c>
      <c r="B2">
        <v>333</v>
      </c>
      <c r="C2" t="s">
        <v>2216</v>
      </c>
      <c r="D2" t="s">
        <v>223</v>
      </c>
      <c r="E2" t="s">
        <v>8</v>
      </c>
      <c r="F2" t="s">
        <v>2217</v>
      </c>
      <c r="G2" t="s">
        <v>152</v>
      </c>
      <c r="H2" t="s">
        <v>153</v>
      </c>
      <c r="I2" t="s">
        <v>154</v>
      </c>
      <c r="J2">
        <v>20130918</v>
      </c>
    </row>
    <row r="3" spans="1:15">
      <c r="A3" t="s">
        <v>2218</v>
      </c>
      <c r="B3">
        <v>404</v>
      </c>
      <c r="C3" t="s">
        <v>2219</v>
      </c>
      <c r="D3" t="s">
        <v>406</v>
      </c>
      <c r="E3" t="s">
        <v>8</v>
      </c>
      <c r="F3" t="s">
        <v>2220</v>
      </c>
      <c r="G3" t="s">
        <v>152</v>
      </c>
      <c r="H3" t="s">
        <v>153</v>
      </c>
      <c r="I3" t="s">
        <v>154</v>
      </c>
      <c r="J3">
        <v>19960619</v>
      </c>
      <c r="O3" s="6">
        <f ca="1">RAND()*39</f>
        <v>35.5967567052945</v>
      </c>
    </row>
    <row r="4" spans="1:10">
      <c r="A4" t="s">
        <v>2221</v>
      </c>
      <c r="B4">
        <v>521</v>
      </c>
      <c r="C4" t="s">
        <v>2222</v>
      </c>
      <c r="D4" t="s">
        <v>160</v>
      </c>
      <c r="E4" t="s">
        <v>8</v>
      </c>
      <c r="F4" t="s">
        <v>2223</v>
      </c>
      <c r="G4" t="s">
        <v>152</v>
      </c>
      <c r="H4" t="s">
        <v>153</v>
      </c>
      <c r="I4" t="s">
        <v>154</v>
      </c>
      <c r="J4">
        <v>19931018</v>
      </c>
    </row>
    <row r="5" spans="1:10">
      <c r="A5" t="s">
        <v>2224</v>
      </c>
      <c r="B5">
        <v>541</v>
      </c>
      <c r="C5" t="s">
        <v>2225</v>
      </c>
      <c r="D5" t="s">
        <v>223</v>
      </c>
      <c r="E5" t="s">
        <v>8</v>
      </c>
      <c r="F5" t="s">
        <v>2226</v>
      </c>
      <c r="G5" t="s">
        <v>152</v>
      </c>
      <c r="H5" t="s">
        <v>153</v>
      </c>
      <c r="I5" t="s">
        <v>154</v>
      </c>
      <c r="J5">
        <v>19931123</v>
      </c>
    </row>
    <row r="6" spans="1:10">
      <c r="A6" t="s">
        <v>2227</v>
      </c>
      <c r="B6">
        <v>651</v>
      </c>
      <c r="C6" t="s">
        <v>2228</v>
      </c>
      <c r="D6" t="s">
        <v>223</v>
      </c>
      <c r="E6" t="s">
        <v>8</v>
      </c>
      <c r="F6" t="s">
        <v>2229</v>
      </c>
      <c r="G6" t="s">
        <v>152</v>
      </c>
      <c r="H6" t="s">
        <v>153</v>
      </c>
      <c r="I6" t="s">
        <v>154</v>
      </c>
      <c r="J6">
        <v>19961118</v>
      </c>
    </row>
    <row r="7" spans="1:10">
      <c r="A7" t="s">
        <v>2230</v>
      </c>
      <c r="B7">
        <v>801</v>
      </c>
      <c r="C7" t="s">
        <v>2231</v>
      </c>
      <c r="D7" t="s">
        <v>219</v>
      </c>
      <c r="E7" t="s">
        <v>8</v>
      </c>
      <c r="F7" t="s">
        <v>2232</v>
      </c>
      <c r="G7" t="s">
        <v>152</v>
      </c>
      <c r="H7" t="s">
        <v>153</v>
      </c>
      <c r="I7" t="s">
        <v>154</v>
      </c>
      <c r="J7">
        <v>19980506</v>
      </c>
    </row>
    <row r="8" spans="1:10">
      <c r="A8" t="s">
        <v>2233</v>
      </c>
      <c r="B8">
        <v>810</v>
      </c>
      <c r="C8" t="s">
        <v>2234</v>
      </c>
      <c r="D8" t="s">
        <v>219</v>
      </c>
      <c r="E8" t="s">
        <v>8</v>
      </c>
      <c r="F8" t="s">
        <v>2235</v>
      </c>
      <c r="G8" t="s">
        <v>152</v>
      </c>
      <c r="H8" t="s">
        <v>153</v>
      </c>
      <c r="I8" t="s">
        <v>154</v>
      </c>
      <c r="J8">
        <v>19980602</v>
      </c>
    </row>
    <row r="9" spans="1:10">
      <c r="A9" t="s">
        <v>2236</v>
      </c>
      <c r="B9">
        <v>921</v>
      </c>
      <c r="C9" t="s">
        <v>2237</v>
      </c>
      <c r="D9" t="s">
        <v>223</v>
      </c>
      <c r="E9" t="s">
        <v>8</v>
      </c>
      <c r="F9" t="s">
        <v>2238</v>
      </c>
      <c r="G9" t="s">
        <v>152</v>
      </c>
      <c r="H9" t="s">
        <v>153</v>
      </c>
      <c r="I9" t="s">
        <v>154</v>
      </c>
      <c r="J9">
        <v>19990713</v>
      </c>
    </row>
    <row r="10" spans="1:10">
      <c r="A10" t="s">
        <v>2239</v>
      </c>
      <c r="B10">
        <v>1259</v>
      </c>
      <c r="C10" t="s">
        <v>2240</v>
      </c>
      <c r="D10" t="s">
        <v>164</v>
      </c>
      <c r="E10" t="s">
        <v>8</v>
      </c>
      <c r="F10" t="s">
        <v>2241</v>
      </c>
      <c r="G10" t="s">
        <v>152</v>
      </c>
      <c r="H10" t="s">
        <v>153</v>
      </c>
      <c r="I10" t="s">
        <v>154</v>
      </c>
      <c r="J10">
        <v>20220831</v>
      </c>
    </row>
    <row r="11" spans="1:10">
      <c r="A11" t="s">
        <v>2242</v>
      </c>
      <c r="B11">
        <v>600060</v>
      </c>
      <c r="C11" t="s">
        <v>2243</v>
      </c>
      <c r="D11" t="s">
        <v>198</v>
      </c>
      <c r="E11" t="s">
        <v>8</v>
      </c>
      <c r="F11" t="s">
        <v>2244</v>
      </c>
      <c r="G11" t="s">
        <v>152</v>
      </c>
      <c r="H11" t="s">
        <v>174</v>
      </c>
      <c r="I11" t="s">
        <v>154</v>
      </c>
      <c r="J11">
        <v>19970422</v>
      </c>
    </row>
    <row r="12" spans="1:10">
      <c r="A12" s="3" t="s">
        <v>2245</v>
      </c>
      <c r="B12" s="3">
        <v>600261</v>
      </c>
      <c r="C12" s="3" t="s">
        <v>2246</v>
      </c>
      <c r="D12" s="3" t="s">
        <v>423</v>
      </c>
      <c r="E12" s="3" t="s">
        <v>8</v>
      </c>
      <c r="F12" s="3" t="s">
        <v>2247</v>
      </c>
      <c r="G12" s="3" t="s">
        <v>152</v>
      </c>
      <c r="H12" s="3" t="s">
        <v>174</v>
      </c>
      <c r="I12" s="3" t="s">
        <v>154</v>
      </c>
      <c r="J12" s="3">
        <v>20000720</v>
      </c>
    </row>
    <row r="13" spans="1:10">
      <c r="A13" t="s">
        <v>2248</v>
      </c>
      <c r="B13">
        <v>600336</v>
      </c>
      <c r="C13" t="s">
        <v>2249</v>
      </c>
      <c r="D13" t="s">
        <v>198</v>
      </c>
      <c r="E13" t="s">
        <v>8</v>
      </c>
      <c r="F13" t="s">
        <v>2250</v>
      </c>
      <c r="G13" t="s">
        <v>152</v>
      </c>
      <c r="H13" t="s">
        <v>174</v>
      </c>
      <c r="I13" t="s">
        <v>154</v>
      </c>
      <c r="J13">
        <v>20001229</v>
      </c>
    </row>
    <row r="14" spans="1:10">
      <c r="A14" t="s">
        <v>2251</v>
      </c>
      <c r="B14">
        <v>600619</v>
      </c>
      <c r="C14" t="s">
        <v>2252</v>
      </c>
      <c r="D14" t="s">
        <v>172</v>
      </c>
      <c r="E14" t="s">
        <v>8</v>
      </c>
      <c r="F14" t="s">
        <v>2253</v>
      </c>
      <c r="G14" t="s">
        <v>152</v>
      </c>
      <c r="H14" t="s">
        <v>174</v>
      </c>
      <c r="I14" t="s">
        <v>154</v>
      </c>
      <c r="J14">
        <v>19921116</v>
      </c>
    </row>
    <row r="15" spans="1:10">
      <c r="A15" t="s">
        <v>2254</v>
      </c>
      <c r="B15">
        <v>600690</v>
      </c>
      <c r="C15" t="s">
        <v>2255</v>
      </c>
      <c r="D15" t="s">
        <v>198</v>
      </c>
      <c r="E15" t="s">
        <v>8</v>
      </c>
      <c r="F15" t="s">
        <v>2256</v>
      </c>
      <c r="G15" t="s">
        <v>152</v>
      </c>
      <c r="H15" t="s">
        <v>174</v>
      </c>
      <c r="I15" t="s">
        <v>154</v>
      </c>
      <c r="J15">
        <v>19931119</v>
      </c>
    </row>
    <row r="16" spans="1:10">
      <c r="A16" t="s">
        <v>2257</v>
      </c>
      <c r="B16">
        <v>600839</v>
      </c>
      <c r="C16" t="s">
        <v>2258</v>
      </c>
      <c r="D16" t="s">
        <v>219</v>
      </c>
      <c r="E16" t="s">
        <v>8</v>
      </c>
      <c r="F16" t="s">
        <v>2259</v>
      </c>
      <c r="G16" t="s">
        <v>152</v>
      </c>
      <c r="H16" t="s">
        <v>174</v>
      </c>
      <c r="I16" t="s">
        <v>154</v>
      </c>
      <c r="J16">
        <v>19940311</v>
      </c>
    </row>
    <row r="17" spans="1:10">
      <c r="A17" t="s">
        <v>2260</v>
      </c>
      <c r="B17">
        <v>600854</v>
      </c>
      <c r="C17" t="s">
        <v>2261</v>
      </c>
      <c r="D17" t="s">
        <v>212</v>
      </c>
      <c r="E17" t="s">
        <v>8</v>
      </c>
      <c r="F17" t="s">
        <v>2262</v>
      </c>
      <c r="G17" t="s">
        <v>152</v>
      </c>
      <c r="H17" t="s">
        <v>174</v>
      </c>
      <c r="I17" t="s">
        <v>154</v>
      </c>
      <c r="J17">
        <v>19940425</v>
      </c>
    </row>
    <row r="18" spans="1:10">
      <c r="A18" t="s">
        <v>2263</v>
      </c>
      <c r="B18">
        <v>600983</v>
      </c>
      <c r="C18" t="s">
        <v>2264</v>
      </c>
      <c r="D18" t="s">
        <v>160</v>
      </c>
      <c r="E18" t="s">
        <v>8</v>
      </c>
      <c r="F18" t="s">
        <v>2265</v>
      </c>
      <c r="G18" t="s">
        <v>152</v>
      </c>
      <c r="H18" t="s">
        <v>174</v>
      </c>
      <c r="I18" t="s">
        <v>154</v>
      </c>
      <c r="J18">
        <v>20040727</v>
      </c>
    </row>
    <row r="19" spans="1:10">
      <c r="A19" t="s">
        <v>2266</v>
      </c>
      <c r="B19">
        <v>601956</v>
      </c>
      <c r="C19" t="s">
        <v>2267</v>
      </c>
      <c r="D19" t="s">
        <v>316</v>
      </c>
      <c r="E19" t="s">
        <v>8</v>
      </c>
      <c r="F19" t="s">
        <v>2268</v>
      </c>
      <c r="G19" t="s">
        <v>152</v>
      </c>
      <c r="H19" t="s">
        <v>174</v>
      </c>
      <c r="I19" t="s">
        <v>154</v>
      </c>
      <c r="J19">
        <v>20201225</v>
      </c>
    </row>
    <row r="20" spans="1:10">
      <c r="A20" t="s">
        <v>2269</v>
      </c>
      <c r="B20">
        <v>603195</v>
      </c>
      <c r="C20" t="s">
        <v>2270</v>
      </c>
      <c r="D20" t="s">
        <v>423</v>
      </c>
      <c r="E20" t="s">
        <v>8</v>
      </c>
      <c r="F20" t="s">
        <v>2271</v>
      </c>
      <c r="G20" t="s">
        <v>152</v>
      </c>
      <c r="H20" t="s">
        <v>174</v>
      </c>
      <c r="I20" t="s">
        <v>154</v>
      </c>
      <c r="J20">
        <v>20200206</v>
      </c>
    </row>
    <row r="21" spans="1:10">
      <c r="A21" t="s">
        <v>2272</v>
      </c>
      <c r="B21">
        <v>603215</v>
      </c>
      <c r="C21" t="s">
        <v>2273</v>
      </c>
      <c r="D21" t="s">
        <v>423</v>
      </c>
      <c r="E21" t="s">
        <v>8</v>
      </c>
      <c r="F21" t="s">
        <v>2274</v>
      </c>
      <c r="G21" t="s">
        <v>152</v>
      </c>
      <c r="H21" t="s">
        <v>174</v>
      </c>
      <c r="I21" t="s">
        <v>154</v>
      </c>
      <c r="J21">
        <v>20220218</v>
      </c>
    </row>
    <row r="22" spans="1:10">
      <c r="A22" t="s">
        <v>2275</v>
      </c>
      <c r="B22">
        <v>603219</v>
      </c>
      <c r="C22" t="s">
        <v>2276</v>
      </c>
      <c r="D22" t="s">
        <v>423</v>
      </c>
      <c r="E22" t="s">
        <v>8</v>
      </c>
      <c r="F22" t="s">
        <v>2277</v>
      </c>
      <c r="G22" t="s">
        <v>152</v>
      </c>
      <c r="H22" t="s">
        <v>174</v>
      </c>
      <c r="I22" t="s">
        <v>154</v>
      </c>
      <c r="J22">
        <v>20211122</v>
      </c>
    </row>
    <row r="23" spans="1:10">
      <c r="A23" t="s">
        <v>2278</v>
      </c>
      <c r="B23">
        <v>603303</v>
      </c>
      <c r="C23" t="s">
        <v>2279</v>
      </c>
      <c r="D23" t="s">
        <v>423</v>
      </c>
      <c r="E23" t="s">
        <v>8</v>
      </c>
      <c r="F23" t="s">
        <v>2280</v>
      </c>
      <c r="G23" t="s">
        <v>152</v>
      </c>
      <c r="H23" t="s">
        <v>174</v>
      </c>
      <c r="I23" t="s">
        <v>154</v>
      </c>
      <c r="J23">
        <v>20170330</v>
      </c>
    </row>
    <row r="24" spans="1:10">
      <c r="A24" t="s">
        <v>2281</v>
      </c>
      <c r="B24">
        <v>603311</v>
      </c>
      <c r="C24" t="s">
        <v>2282</v>
      </c>
      <c r="D24" t="s">
        <v>423</v>
      </c>
      <c r="E24" t="s">
        <v>8</v>
      </c>
      <c r="F24" t="s">
        <v>2283</v>
      </c>
      <c r="G24" t="s">
        <v>152</v>
      </c>
      <c r="H24" t="s">
        <v>174</v>
      </c>
      <c r="I24" t="s">
        <v>154</v>
      </c>
      <c r="J24">
        <v>20150518</v>
      </c>
    </row>
    <row r="25" spans="1:10">
      <c r="A25" t="s">
        <v>2284</v>
      </c>
      <c r="B25">
        <v>603355</v>
      </c>
      <c r="C25" t="s">
        <v>2285</v>
      </c>
      <c r="D25" t="s">
        <v>212</v>
      </c>
      <c r="E25" t="s">
        <v>8</v>
      </c>
      <c r="F25" t="s">
        <v>2286</v>
      </c>
      <c r="G25" t="s">
        <v>152</v>
      </c>
      <c r="H25" t="s">
        <v>174</v>
      </c>
      <c r="I25" t="s">
        <v>154</v>
      </c>
      <c r="J25">
        <v>20150513</v>
      </c>
    </row>
    <row r="26" spans="1:10">
      <c r="A26" t="s">
        <v>2287</v>
      </c>
      <c r="B26">
        <v>603366</v>
      </c>
      <c r="C26" t="s">
        <v>2288</v>
      </c>
      <c r="D26" t="s">
        <v>212</v>
      </c>
      <c r="E26" t="s">
        <v>8</v>
      </c>
      <c r="F26" t="s">
        <v>2289</v>
      </c>
      <c r="G26" t="s">
        <v>152</v>
      </c>
      <c r="H26" t="s">
        <v>174</v>
      </c>
      <c r="I26" t="s">
        <v>154</v>
      </c>
      <c r="J26">
        <v>20120521</v>
      </c>
    </row>
    <row r="27" spans="1:10">
      <c r="A27" t="s">
        <v>2290</v>
      </c>
      <c r="B27">
        <v>603486</v>
      </c>
      <c r="C27" t="s">
        <v>2291</v>
      </c>
      <c r="D27" t="s">
        <v>212</v>
      </c>
      <c r="E27" t="s">
        <v>8</v>
      </c>
      <c r="F27" t="s">
        <v>2292</v>
      </c>
      <c r="G27" t="s">
        <v>152</v>
      </c>
      <c r="H27" t="s">
        <v>174</v>
      </c>
      <c r="I27" t="s">
        <v>154</v>
      </c>
      <c r="J27">
        <v>20180528</v>
      </c>
    </row>
    <row r="28" spans="1:10">
      <c r="A28" t="s">
        <v>2293</v>
      </c>
      <c r="B28">
        <v>603515</v>
      </c>
      <c r="C28" t="s">
        <v>2294</v>
      </c>
      <c r="D28" t="s">
        <v>172</v>
      </c>
      <c r="E28" t="s">
        <v>8</v>
      </c>
      <c r="F28" t="s">
        <v>2295</v>
      </c>
      <c r="G28" t="s">
        <v>152</v>
      </c>
      <c r="H28" t="s">
        <v>174</v>
      </c>
      <c r="I28" t="s">
        <v>154</v>
      </c>
      <c r="J28">
        <v>20160819</v>
      </c>
    </row>
    <row r="29" spans="1:10">
      <c r="A29" t="s">
        <v>2296</v>
      </c>
      <c r="B29">
        <v>603519</v>
      </c>
      <c r="C29" t="s">
        <v>2297</v>
      </c>
      <c r="D29" t="s">
        <v>212</v>
      </c>
      <c r="E29" t="s">
        <v>8</v>
      </c>
      <c r="F29" t="s">
        <v>2298</v>
      </c>
      <c r="G29" t="s">
        <v>152</v>
      </c>
      <c r="H29" t="s">
        <v>174</v>
      </c>
      <c r="I29" t="s">
        <v>154</v>
      </c>
      <c r="J29">
        <v>20150319</v>
      </c>
    </row>
    <row r="30" spans="1:10">
      <c r="A30" t="s">
        <v>2299</v>
      </c>
      <c r="B30">
        <v>603579</v>
      </c>
      <c r="C30" t="s">
        <v>2300</v>
      </c>
      <c r="D30" t="s">
        <v>172</v>
      </c>
      <c r="E30" t="s">
        <v>8</v>
      </c>
      <c r="F30" t="s">
        <v>2301</v>
      </c>
      <c r="G30" t="s">
        <v>152</v>
      </c>
      <c r="H30" t="s">
        <v>174</v>
      </c>
      <c r="I30" t="s">
        <v>154</v>
      </c>
      <c r="J30">
        <v>20170111</v>
      </c>
    </row>
    <row r="31" spans="1:10">
      <c r="A31" t="s">
        <v>2302</v>
      </c>
      <c r="B31">
        <v>603657</v>
      </c>
      <c r="C31" t="s">
        <v>2303</v>
      </c>
      <c r="D31" t="s">
        <v>423</v>
      </c>
      <c r="E31" t="s">
        <v>8</v>
      </c>
      <c r="F31" t="s">
        <v>2304</v>
      </c>
      <c r="G31" t="s">
        <v>152</v>
      </c>
      <c r="H31" t="s">
        <v>174</v>
      </c>
      <c r="I31" t="s">
        <v>154</v>
      </c>
      <c r="J31">
        <v>20180730</v>
      </c>
    </row>
    <row r="32" spans="1:10">
      <c r="A32" t="s">
        <v>2305</v>
      </c>
      <c r="B32">
        <v>603677</v>
      </c>
      <c r="C32" t="s">
        <v>2306</v>
      </c>
      <c r="D32" t="s">
        <v>423</v>
      </c>
      <c r="E32" t="s">
        <v>8</v>
      </c>
      <c r="F32" t="s">
        <v>2307</v>
      </c>
      <c r="G32" t="s">
        <v>152</v>
      </c>
      <c r="H32" t="s">
        <v>174</v>
      </c>
      <c r="I32" t="s">
        <v>154</v>
      </c>
      <c r="J32">
        <v>20170206</v>
      </c>
    </row>
    <row r="33" spans="1:10">
      <c r="A33" t="s">
        <v>2308</v>
      </c>
      <c r="B33">
        <v>603726</v>
      </c>
      <c r="C33" t="s">
        <v>2309</v>
      </c>
      <c r="D33" t="s">
        <v>423</v>
      </c>
      <c r="E33" t="s">
        <v>8</v>
      </c>
      <c r="F33" t="s">
        <v>2310</v>
      </c>
      <c r="G33" t="s">
        <v>152</v>
      </c>
      <c r="H33" t="s">
        <v>174</v>
      </c>
      <c r="I33" t="s">
        <v>154</v>
      </c>
      <c r="J33">
        <v>20160421</v>
      </c>
    </row>
    <row r="34" spans="1:10">
      <c r="A34" t="s">
        <v>2311</v>
      </c>
      <c r="B34">
        <v>603868</v>
      </c>
      <c r="C34" t="s">
        <v>2312</v>
      </c>
      <c r="D34" t="s">
        <v>172</v>
      </c>
      <c r="E34" t="s">
        <v>8</v>
      </c>
      <c r="F34" t="s">
        <v>2313</v>
      </c>
      <c r="G34" t="s">
        <v>152</v>
      </c>
      <c r="H34" t="s">
        <v>174</v>
      </c>
      <c r="I34" t="s">
        <v>154</v>
      </c>
      <c r="J34">
        <v>20160418</v>
      </c>
    </row>
    <row r="35" spans="1:10">
      <c r="A35" t="s">
        <v>2314</v>
      </c>
      <c r="B35">
        <v>605117</v>
      </c>
      <c r="C35" t="s">
        <v>2315</v>
      </c>
      <c r="D35" t="s">
        <v>423</v>
      </c>
      <c r="E35" t="s">
        <v>8</v>
      </c>
      <c r="F35" t="s">
        <v>2316</v>
      </c>
      <c r="G35" t="s">
        <v>152</v>
      </c>
      <c r="H35" t="s">
        <v>174</v>
      </c>
      <c r="I35" t="s">
        <v>154</v>
      </c>
      <c r="J35">
        <v>20210420</v>
      </c>
    </row>
    <row r="36" spans="1:10">
      <c r="A36" t="s">
        <v>2317</v>
      </c>
      <c r="B36">
        <v>605336</v>
      </c>
      <c r="C36" t="s">
        <v>2318</v>
      </c>
      <c r="D36" t="s">
        <v>423</v>
      </c>
      <c r="E36" t="s">
        <v>8</v>
      </c>
      <c r="F36" t="s">
        <v>2319</v>
      </c>
      <c r="G36" t="s">
        <v>152</v>
      </c>
      <c r="H36" t="s">
        <v>174</v>
      </c>
      <c r="I36" t="s">
        <v>154</v>
      </c>
      <c r="J36">
        <v>20201019</v>
      </c>
    </row>
    <row r="37" spans="1:10">
      <c r="A37" t="s">
        <v>2320</v>
      </c>
      <c r="B37">
        <v>605365</v>
      </c>
      <c r="C37" t="s">
        <v>2321</v>
      </c>
      <c r="D37" t="s">
        <v>150</v>
      </c>
      <c r="E37" t="s">
        <v>8</v>
      </c>
      <c r="F37" t="s">
        <v>2322</v>
      </c>
      <c r="G37" t="s">
        <v>152</v>
      </c>
      <c r="H37" t="s">
        <v>174</v>
      </c>
      <c r="I37" t="s">
        <v>154</v>
      </c>
      <c r="J37">
        <v>20210720</v>
      </c>
    </row>
    <row r="38" spans="1:10">
      <c r="A38" t="s">
        <v>2323</v>
      </c>
      <c r="B38">
        <v>605555</v>
      </c>
      <c r="C38" t="s">
        <v>2324</v>
      </c>
      <c r="D38" t="s">
        <v>423</v>
      </c>
      <c r="E38" t="s">
        <v>8</v>
      </c>
      <c r="F38" t="s">
        <v>2325</v>
      </c>
      <c r="G38" t="s">
        <v>152</v>
      </c>
      <c r="H38" t="s">
        <v>174</v>
      </c>
      <c r="I38" t="s">
        <v>154</v>
      </c>
      <c r="J38">
        <v>20211021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C15" sqref="C15"/>
    </sheetView>
  </sheetViews>
  <sheetFormatPr defaultColWidth="9" defaultRowHeight="13.5"/>
  <cols>
    <col min="1" max="1" width="13.5" customWidth="1"/>
    <col min="4" max="4" width="10.25" customWidth="1"/>
    <col min="10" max="10" width="9.375"/>
  </cols>
  <sheetData>
    <row r="1" spans="1:10">
      <c r="A1" t="s">
        <v>2326</v>
      </c>
      <c r="B1">
        <v>505</v>
      </c>
      <c r="C1" t="s">
        <v>2327</v>
      </c>
      <c r="D1" t="s">
        <v>250</v>
      </c>
      <c r="E1" t="s">
        <v>19</v>
      </c>
      <c r="F1" t="s">
        <v>2328</v>
      </c>
      <c r="G1" t="s">
        <v>152</v>
      </c>
      <c r="H1" t="s">
        <v>153</v>
      </c>
      <c r="I1" t="s">
        <v>154</v>
      </c>
      <c r="J1">
        <v>19921221</v>
      </c>
    </row>
    <row r="2" spans="1:10">
      <c r="A2" t="s">
        <v>2329</v>
      </c>
      <c r="B2">
        <v>568</v>
      </c>
      <c r="C2" t="s">
        <v>2330</v>
      </c>
      <c r="D2" t="s">
        <v>219</v>
      </c>
      <c r="E2" t="s">
        <v>12</v>
      </c>
      <c r="F2" t="s">
        <v>2331</v>
      </c>
      <c r="G2" t="s">
        <v>152</v>
      </c>
      <c r="H2" t="s">
        <v>153</v>
      </c>
      <c r="I2" t="s">
        <v>154</v>
      </c>
      <c r="J2">
        <v>19940509</v>
      </c>
    </row>
    <row r="3" spans="1:12">
      <c r="A3" t="s">
        <v>2332</v>
      </c>
      <c r="B3">
        <v>576</v>
      </c>
      <c r="C3" t="s">
        <v>2333</v>
      </c>
      <c r="D3" t="s">
        <v>223</v>
      </c>
      <c r="E3" t="s">
        <v>19</v>
      </c>
      <c r="F3" t="s">
        <v>2334</v>
      </c>
      <c r="G3" t="s">
        <v>152</v>
      </c>
      <c r="H3" t="s">
        <v>153</v>
      </c>
      <c r="I3" t="s">
        <v>154</v>
      </c>
      <c r="J3">
        <v>19940907</v>
      </c>
      <c r="L3" s="6">
        <f ca="1">RAND()*99</f>
        <v>60.0514132868812</v>
      </c>
    </row>
    <row r="4" spans="1:10">
      <c r="A4" t="s">
        <v>2335</v>
      </c>
      <c r="B4">
        <v>596</v>
      </c>
      <c r="C4" t="s">
        <v>2336</v>
      </c>
      <c r="D4" t="s">
        <v>160</v>
      </c>
      <c r="E4" t="s">
        <v>12</v>
      </c>
      <c r="F4" t="s">
        <v>2337</v>
      </c>
      <c r="G4" t="s">
        <v>152</v>
      </c>
      <c r="H4" t="s">
        <v>153</v>
      </c>
      <c r="I4" t="s">
        <v>154</v>
      </c>
      <c r="J4">
        <v>19960927</v>
      </c>
    </row>
    <row r="5" spans="1:10">
      <c r="A5" t="s">
        <v>2338</v>
      </c>
      <c r="B5">
        <v>639</v>
      </c>
      <c r="C5" t="s">
        <v>2339</v>
      </c>
      <c r="D5" t="s">
        <v>198</v>
      </c>
      <c r="E5" t="s">
        <v>19</v>
      </c>
      <c r="F5" t="s">
        <v>2340</v>
      </c>
      <c r="G5" t="s">
        <v>152</v>
      </c>
      <c r="H5" t="s">
        <v>153</v>
      </c>
      <c r="I5" t="s">
        <v>154</v>
      </c>
      <c r="J5">
        <v>19961126</v>
      </c>
    </row>
    <row r="6" spans="1:10">
      <c r="A6" t="s">
        <v>2341</v>
      </c>
      <c r="B6">
        <v>716</v>
      </c>
      <c r="C6" t="s">
        <v>2342</v>
      </c>
      <c r="D6" t="s">
        <v>345</v>
      </c>
      <c r="E6" t="s">
        <v>19</v>
      </c>
      <c r="F6" t="s">
        <v>2343</v>
      </c>
      <c r="G6" t="s">
        <v>152</v>
      </c>
      <c r="H6" t="s">
        <v>153</v>
      </c>
      <c r="I6" t="s">
        <v>154</v>
      </c>
      <c r="J6">
        <v>19970418</v>
      </c>
    </row>
    <row r="7" spans="1:10">
      <c r="A7" t="s">
        <v>2344</v>
      </c>
      <c r="B7">
        <v>729</v>
      </c>
      <c r="C7" t="s">
        <v>2345</v>
      </c>
      <c r="D7" t="s">
        <v>164</v>
      </c>
      <c r="E7" t="s">
        <v>49</v>
      </c>
      <c r="F7" t="s">
        <v>2346</v>
      </c>
      <c r="G7" t="s">
        <v>152</v>
      </c>
      <c r="H7" t="s">
        <v>153</v>
      </c>
      <c r="I7" t="s">
        <v>154</v>
      </c>
      <c r="J7">
        <v>19970716</v>
      </c>
    </row>
    <row r="8" spans="1:10">
      <c r="A8" t="s">
        <v>2347</v>
      </c>
      <c r="B8">
        <v>752</v>
      </c>
      <c r="C8" t="s">
        <v>2348</v>
      </c>
      <c r="D8" t="s">
        <v>1001</v>
      </c>
      <c r="E8" t="s">
        <v>49</v>
      </c>
      <c r="F8" t="s">
        <v>2349</v>
      </c>
      <c r="G8" t="s">
        <v>152</v>
      </c>
      <c r="H8" t="s">
        <v>153</v>
      </c>
      <c r="I8" t="s">
        <v>154</v>
      </c>
      <c r="J8">
        <v>19970625</v>
      </c>
    </row>
    <row r="9" spans="1:10">
      <c r="A9" t="s">
        <v>2350</v>
      </c>
      <c r="B9">
        <v>799</v>
      </c>
      <c r="C9" t="s">
        <v>2351</v>
      </c>
      <c r="D9" t="s">
        <v>168</v>
      </c>
      <c r="E9" t="s">
        <v>12</v>
      </c>
      <c r="F9" t="s">
        <v>2352</v>
      </c>
      <c r="G9" t="s">
        <v>152</v>
      </c>
      <c r="H9" t="s">
        <v>153</v>
      </c>
      <c r="I9" t="s">
        <v>154</v>
      </c>
      <c r="J9">
        <v>19970718</v>
      </c>
    </row>
    <row r="10" spans="1:10">
      <c r="A10" t="s">
        <v>2353</v>
      </c>
      <c r="B10">
        <v>833</v>
      </c>
      <c r="C10" t="s">
        <v>2354</v>
      </c>
      <c r="D10" t="s">
        <v>345</v>
      </c>
      <c r="E10" t="s">
        <v>19</v>
      </c>
      <c r="F10" t="s">
        <v>2355</v>
      </c>
      <c r="G10" t="s">
        <v>152</v>
      </c>
      <c r="H10" t="s">
        <v>153</v>
      </c>
      <c r="I10" t="s">
        <v>154</v>
      </c>
      <c r="J10">
        <v>19981111</v>
      </c>
    </row>
    <row r="11" spans="1:10">
      <c r="A11" t="s">
        <v>2356</v>
      </c>
      <c r="B11">
        <v>848</v>
      </c>
      <c r="C11" t="s">
        <v>2357</v>
      </c>
      <c r="D11" t="s">
        <v>279</v>
      </c>
      <c r="E11" t="s">
        <v>29</v>
      </c>
      <c r="F11" t="s">
        <v>2358</v>
      </c>
      <c r="G11" t="s">
        <v>152</v>
      </c>
      <c r="H11" t="s">
        <v>153</v>
      </c>
      <c r="I11" t="s">
        <v>154</v>
      </c>
      <c r="J11">
        <v>19971113</v>
      </c>
    </row>
    <row r="12" spans="1:10">
      <c r="A12" s="3" t="s">
        <v>2359</v>
      </c>
      <c r="B12" s="3">
        <v>858</v>
      </c>
      <c r="C12" s="3" t="s">
        <v>2360</v>
      </c>
      <c r="D12" s="3" t="s">
        <v>219</v>
      </c>
      <c r="E12" s="3" t="s">
        <v>12</v>
      </c>
      <c r="F12" s="3" t="s">
        <v>2361</v>
      </c>
      <c r="G12" s="3" t="s">
        <v>152</v>
      </c>
      <c r="H12" s="3" t="s">
        <v>153</v>
      </c>
      <c r="I12" s="3" t="s">
        <v>154</v>
      </c>
      <c r="J12" s="3">
        <v>19980427</v>
      </c>
    </row>
    <row r="13" spans="1:10">
      <c r="A13" t="s">
        <v>2362</v>
      </c>
      <c r="B13">
        <v>860</v>
      </c>
      <c r="C13" t="s">
        <v>2363</v>
      </c>
      <c r="D13" t="s">
        <v>164</v>
      </c>
      <c r="E13" t="s">
        <v>12</v>
      </c>
      <c r="F13" t="s">
        <v>2364</v>
      </c>
      <c r="G13" t="s">
        <v>152</v>
      </c>
      <c r="H13" t="s">
        <v>153</v>
      </c>
      <c r="I13" t="s">
        <v>154</v>
      </c>
      <c r="J13">
        <v>19981104</v>
      </c>
    </row>
    <row r="14" spans="1:10">
      <c r="A14" t="s">
        <v>2365</v>
      </c>
      <c r="B14">
        <v>869</v>
      </c>
      <c r="C14" t="s">
        <v>2366</v>
      </c>
      <c r="D14" t="s">
        <v>198</v>
      </c>
      <c r="E14" t="s">
        <v>44</v>
      </c>
      <c r="F14" t="s">
        <v>2367</v>
      </c>
      <c r="G14" t="s">
        <v>152</v>
      </c>
      <c r="H14" t="s">
        <v>153</v>
      </c>
      <c r="I14" t="s">
        <v>154</v>
      </c>
      <c r="J14">
        <v>20001026</v>
      </c>
    </row>
    <row r="15" spans="1:10">
      <c r="A15" t="s">
        <v>2368</v>
      </c>
      <c r="B15">
        <v>895</v>
      </c>
      <c r="C15" t="s">
        <v>2369</v>
      </c>
      <c r="D15" t="s">
        <v>292</v>
      </c>
      <c r="E15" t="s">
        <v>19</v>
      </c>
      <c r="F15" t="s">
        <v>2370</v>
      </c>
      <c r="G15" t="s">
        <v>152</v>
      </c>
      <c r="H15" t="s">
        <v>153</v>
      </c>
      <c r="I15" t="s">
        <v>154</v>
      </c>
      <c r="J15">
        <v>19981210</v>
      </c>
    </row>
    <row r="16" spans="1:10">
      <c r="A16" t="s">
        <v>2371</v>
      </c>
      <c r="B16">
        <v>911</v>
      </c>
      <c r="C16" t="s">
        <v>2372</v>
      </c>
      <c r="D16" t="s">
        <v>345</v>
      </c>
      <c r="E16" t="s">
        <v>19</v>
      </c>
      <c r="F16" t="s">
        <v>2373</v>
      </c>
      <c r="G16" t="s">
        <v>152</v>
      </c>
      <c r="H16" t="s">
        <v>153</v>
      </c>
      <c r="I16" t="s">
        <v>154</v>
      </c>
      <c r="J16">
        <v>19990527</v>
      </c>
    </row>
    <row r="17" spans="1:10">
      <c r="A17" t="s">
        <v>2374</v>
      </c>
      <c r="B17">
        <v>929</v>
      </c>
      <c r="C17" t="s">
        <v>2375</v>
      </c>
      <c r="D17" t="s">
        <v>177</v>
      </c>
      <c r="E17" t="s">
        <v>49</v>
      </c>
      <c r="F17" t="s">
        <v>2376</v>
      </c>
      <c r="G17" t="s">
        <v>152</v>
      </c>
      <c r="H17" t="s">
        <v>153</v>
      </c>
      <c r="I17" t="s">
        <v>154</v>
      </c>
      <c r="J17">
        <v>19990623</v>
      </c>
    </row>
    <row r="18" spans="1:10">
      <c r="A18" t="s">
        <v>2377</v>
      </c>
      <c r="B18">
        <v>972</v>
      </c>
      <c r="C18" t="s">
        <v>2378</v>
      </c>
      <c r="D18" t="s">
        <v>202</v>
      </c>
      <c r="E18" t="s">
        <v>19</v>
      </c>
      <c r="F18" t="s">
        <v>2379</v>
      </c>
      <c r="G18" t="s">
        <v>152</v>
      </c>
      <c r="H18" t="s">
        <v>153</v>
      </c>
      <c r="I18" t="s">
        <v>154</v>
      </c>
      <c r="J18">
        <v>20000926</v>
      </c>
    </row>
    <row r="19" spans="1:10">
      <c r="A19" t="s">
        <v>2380</v>
      </c>
      <c r="B19">
        <v>995</v>
      </c>
      <c r="C19" t="s">
        <v>2381</v>
      </c>
      <c r="D19" t="s">
        <v>177</v>
      </c>
      <c r="E19" t="s">
        <v>12</v>
      </c>
      <c r="F19" t="s">
        <v>2382</v>
      </c>
      <c r="G19" t="s">
        <v>152</v>
      </c>
      <c r="H19" t="s">
        <v>153</v>
      </c>
      <c r="I19" t="s">
        <v>154</v>
      </c>
      <c r="J19">
        <v>20000807</v>
      </c>
    </row>
    <row r="20" spans="1:10">
      <c r="A20" t="s">
        <v>2383</v>
      </c>
      <c r="B20">
        <v>1215</v>
      </c>
      <c r="C20" t="s">
        <v>2384</v>
      </c>
      <c r="D20" t="s">
        <v>292</v>
      </c>
      <c r="E20" t="s">
        <v>19</v>
      </c>
      <c r="F20" t="s">
        <v>2385</v>
      </c>
      <c r="G20" t="s">
        <v>152</v>
      </c>
      <c r="H20" t="s">
        <v>153</v>
      </c>
      <c r="I20" t="s">
        <v>154</v>
      </c>
      <c r="J20">
        <v>20210906</v>
      </c>
    </row>
    <row r="21" spans="1:10">
      <c r="A21" t="s">
        <v>2386</v>
      </c>
      <c r="B21">
        <v>1219</v>
      </c>
      <c r="C21" t="s">
        <v>2387</v>
      </c>
      <c r="D21" t="s">
        <v>198</v>
      </c>
      <c r="E21" t="s">
        <v>19</v>
      </c>
      <c r="F21" t="s">
        <v>2388</v>
      </c>
      <c r="G21" t="s">
        <v>152</v>
      </c>
      <c r="H21" t="s">
        <v>153</v>
      </c>
      <c r="I21" t="s">
        <v>154</v>
      </c>
      <c r="J21">
        <v>20211021</v>
      </c>
    </row>
    <row r="22" spans="1:10">
      <c r="A22" t="s">
        <v>2389</v>
      </c>
      <c r="B22">
        <v>1318</v>
      </c>
      <c r="C22" t="s">
        <v>2390</v>
      </c>
      <c r="D22" t="s">
        <v>406</v>
      </c>
      <c r="E22" t="s">
        <v>53</v>
      </c>
      <c r="F22" t="s">
        <v>2391</v>
      </c>
      <c r="G22" t="s">
        <v>152</v>
      </c>
      <c r="H22" t="s">
        <v>153</v>
      </c>
      <c r="I22" t="s">
        <v>154</v>
      </c>
      <c r="J22">
        <v>20220520</v>
      </c>
    </row>
    <row r="23" spans="1:10">
      <c r="A23" t="s">
        <v>2392</v>
      </c>
      <c r="B23">
        <v>1338</v>
      </c>
      <c r="C23" t="s">
        <v>2393</v>
      </c>
      <c r="D23" t="s">
        <v>223</v>
      </c>
      <c r="E23" t="s">
        <v>49</v>
      </c>
      <c r="F23" t="s">
        <v>2394</v>
      </c>
      <c r="G23" t="s">
        <v>152</v>
      </c>
      <c r="H23" t="s">
        <v>153</v>
      </c>
      <c r="I23" t="s">
        <v>154</v>
      </c>
      <c r="J23">
        <v>20221116</v>
      </c>
    </row>
    <row r="24" spans="1:10">
      <c r="A24" t="s">
        <v>2395</v>
      </c>
      <c r="B24">
        <v>600059</v>
      </c>
      <c r="C24" t="s">
        <v>2396</v>
      </c>
      <c r="D24" t="s">
        <v>423</v>
      </c>
      <c r="E24" t="s">
        <v>44</v>
      </c>
      <c r="F24" t="s">
        <v>2397</v>
      </c>
      <c r="G24" t="s">
        <v>152</v>
      </c>
      <c r="H24" t="s">
        <v>174</v>
      </c>
      <c r="I24" t="s">
        <v>154</v>
      </c>
      <c r="J24">
        <v>19970516</v>
      </c>
    </row>
    <row r="25" spans="1:10">
      <c r="A25" t="s">
        <v>2398</v>
      </c>
      <c r="B25">
        <v>600073</v>
      </c>
      <c r="C25" t="s">
        <v>2399</v>
      </c>
      <c r="D25" t="s">
        <v>172</v>
      </c>
      <c r="E25" t="s">
        <v>19</v>
      </c>
      <c r="F25" t="s">
        <v>2400</v>
      </c>
      <c r="G25" t="s">
        <v>152</v>
      </c>
      <c r="H25" t="s">
        <v>174</v>
      </c>
      <c r="I25" t="s">
        <v>154</v>
      </c>
      <c r="J25">
        <v>19970704</v>
      </c>
    </row>
    <row r="26" spans="1:10">
      <c r="A26" t="s">
        <v>2401</v>
      </c>
      <c r="B26">
        <v>600084</v>
      </c>
      <c r="C26" t="s">
        <v>2402</v>
      </c>
      <c r="D26" t="s">
        <v>202</v>
      </c>
      <c r="E26" t="s">
        <v>44</v>
      </c>
      <c r="F26" t="s">
        <v>2403</v>
      </c>
      <c r="G26" t="s">
        <v>152</v>
      </c>
      <c r="H26" t="s">
        <v>174</v>
      </c>
      <c r="I26" t="s">
        <v>154</v>
      </c>
      <c r="J26">
        <v>19970711</v>
      </c>
    </row>
    <row r="27" spans="1:10">
      <c r="A27" t="s">
        <v>2404</v>
      </c>
      <c r="B27">
        <v>600132</v>
      </c>
      <c r="C27" t="s">
        <v>2405</v>
      </c>
      <c r="D27" t="s">
        <v>937</v>
      </c>
      <c r="E27" t="s">
        <v>49</v>
      </c>
      <c r="F27" t="s">
        <v>2406</v>
      </c>
      <c r="G27" t="s">
        <v>152</v>
      </c>
      <c r="H27" t="s">
        <v>174</v>
      </c>
      <c r="I27" t="s">
        <v>154</v>
      </c>
      <c r="J27">
        <v>19971030</v>
      </c>
    </row>
    <row r="28" spans="1:10">
      <c r="A28" t="s">
        <v>2407</v>
      </c>
      <c r="B28">
        <v>600186</v>
      </c>
      <c r="C28" t="s">
        <v>2408</v>
      </c>
      <c r="D28" t="s">
        <v>292</v>
      </c>
      <c r="E28" t="s">
        <v>19</v>
      </c>
      <c r="F28" t="s">
        <v>2409</v>
      </c>
      <c r="G28" t="s">
        <v>152</v>
      </c>
      <c r="H28" t="s">
        <v>174</v>
      </c>
      <c r="I28" t="s">
        <v>154</v>
      </c>
      <c r="J28">
        <v>19980825</v>
      </c>
    </row>
    <row r="29" spans="1:10">
      <c r="A29" t="s">
        <v>2410</v>
      </c>
      <c r="B29">
        <v>600189</v>
      </c>
      <c r="C29" t="s">
        <v>2411</v>
      </c>
      <c r="D29" t="s">
        <v>312</v>
      </c>
      <c r="E29" t="s">
        <v>29</v>
      </c>
      <c r="F29" t="s">
        <v>2412</v>
      </c>
      <c r="G29" t="s">
        <v>152</v>
      </c>
      <c r="H29" t="s">
        <v>174</v>
      </c>
      <c r="I29" t="s">
        <v>154</v>
      </c>
      <c r="J29">
        <v>19981007</v>
      </c>
    </row>
    <row r="30" spans="1:10">
      <c r="A30" t="s">
        <v>2413</v>
      </c>
      <c r="B30">
        <v>600191</v>
      </c>
      <c r="C30" t="s">
        <v>2414</v>
      </c>
      <c r="D30" t="s">
        <v>266</v>
      </c>
      <c r="E30" t="s">
        <v>19</v>
      </c>
      <c r="F30" t="s">
        <v>2415</v>
      </c>
      <c r="G30" t="s">
        <v>152</v>
      </c>
      <c r="H30" t="s">
        <v>174</v>
      </c>
      <c r="I30" t="s">
        <v>154</v>
      </c>
      <c r="J30">
        <v>19981210</v>
      </c>
    </row>
    <row r="31" spans="1:10">
      <c r="A31" t="s">
        <v>2416</v>
      </c>
      <c r="B31">
        <v>600197</v>
      </c>
      <c r="C31" t="s">
        <v>2417</v>
      </c>
      <c r="D31" t="s">
        <v>202</v>
      </c>
      <c r="E31" t="s">
        <v>12</v>
      </c>
      <c r="F31" t="s">
        <v>2418</v>
      </c>
      <c r="G31" t="s">
        <v>152</v>
      </c>
      <c r="H31" t="s">
        <v>174</v>
      </c>
      <c r="I31" t="s">
        <v>154</v>
      </c>
      <c r="J31">
        <v>19990916</v>
      </c>
    </row>
    <row r="32" spans="1:10">
      <c r="A32" t="s">
        <v>2419</v>
      </c>
      <c r="B32">
        <v>600199</v>
      </c>
      <c r="C32" t="s">
        <v>2420</v>
      </c>
      <c r="D32" t="s">
        <v>160</v>
      </c>
      <c r="E32" t="s">
        <v>12</v>
      </c>
      <c r="F32" t="s">
        <v>2421</v>
      </c>
      <c r="G32" t="s">
        <v>152</v>
      </c>
      <c r="H32" t="s">
        <v>174</v>
      </c>
      <c r="I32" t="s">
        <v>154</v>
      </c>
      <c r="J32">
        <v>19980812</v>
      </c>
    </row>
    <row r="33" spans="1:10">
      <c r="A33" t="s">
        <v>2422</v>
      </c>
      <c r="B33">
        <v>600238</v>
      </c>
      <c r="C33" t="s">
        <v>2423</v>
      </c>
      <c r="D33" t="s">
        <v>250</v>
      </c>
      <c r="E33" t="s">
        <v>44</v>
      </c>
      <c r="F33" t="s">
        <v>2424</v>
      </c>
      <c r="G33" t="s">
        <v>152</v>
      </c>
      <c r="H33" t="s">
        <v>174</v>
      </c>
      <c r="I33" t="s">
        <v>154</v>
      </c>
      <c r="J33">
        <v>20000120</v>
      </c>
    </row>
    <row r="34" spans="1:10">
      <c r="A34" t="s">
        <v>2425</v>
      </c>
      <c r="B34">
        <v>600298</v>
      </c>
      <c r="C34" t="s">
        <v>2426</v>
      </c>
      <c r="D34" t="s">
        <v>316</v>
      </c>
      <c r="E34" t="s">
        <v>19</v>
      </c>
      <c r="F34" t="s">
        <v>2427</v>
      </c>
      <c r="G34" t="s">
        <v>152</v>
      </c>
      <c r="H34" t="s">
        <v>174</v>
      </c>
      <c r="I34" t="s">
        <v>154</v>
      </c>
      <c r="J34">
        <v>20000818</v>
      </c>
    </row>
    <row r="35" spans="1:10">
      <c r="A35" t="s">
        <v>2428</v>
      </c>
      <c r="B35">
        <v>600300</v>
      </c>
      <c r="C35" t="s">
        <v>2429</v>
      </c>
      <c r="D35" t="s">
        <v>212</v>
      </c>
      <c r="E35" t="s">
        <v>29</v>
      </c>
      <c r="F35" t="s">
        <v>2430</v>
      </c>
      <c r="G35" t="s">
        <v>152</v>
      </c>
      <c r="H35" t="s">
        <v>174</v>
      </c>
      <c r="I35" t="s">
        <v>154</v>
      </c>
      <c r="J35">
        <v>20000630</v>
      </c>
    </row>
    <row r="36" spans="1:10">
      <c r="A36" t="s">
        <v>2431</v>
      </c>
      <c r="B36">
        <v>600305</v>
      </c>
      <c r="C36" t="s">
        <v>2432</v>
      </c>
      <c r="D36" t="s">
        <v>212</v>
      </c>
      <c r="E36" t="s">
        <v>19</v>
      </c>
      <c r="F36" t="s">
        <v>2433</v>
      </c>
      <c r="G36" t="s">
        <v>152</v>
      </c>
      <c r="H36" t="s">
        <v>174</v>
      </c>
      <c r="I36" t="s">
        <v>154</v>
      </c>
      <c r="J36">
        <v>20010206</v>
      </c>
    </row>
    <row r="37" spans="1:10">
      <c r="A37" t="s">
        <v>2434</v>
      </c>
      <c r="B37">
        <v>600365</v>
      </c>
      <c r="C37" t="s">
        <v>2435</v>
      </c>
      <c r="D37" t="s">
        <v>312</v>
      </c>
      <c r="E37" t="s">
        <v>44</v>
      </c>
      <c r="F37" t="s">
        <v>2436</v>
      </c>
      <c r="G37" t="s">
        <v>152</v>
      </c>
      <c r="H37" t="s">
        <v>174</v>
      </c>
      <c r="I37" t="s">
        <v>154</v>
      </c>
      <c r="J37">
        <v>20010115</v>
      </c>
    </row>
    <row r="38" spans="1:10">
      <c r="A38" t="s">
        <v>2437</v>
      </c>
      <c r="B38">
        <v>600419</v>
      </c>
      <c r="C38" t="s">
        <v>2438</v>
      </c>
      <c r="D38" t="s">
        <v>202</v>
      </c>
      <c r="E38" t="s">
        <v>53</v>
      </c>
      <c r="F38" t="s">
        <v>2439</v>
      </c>
      <c r="G38" t="s">
        <v>152</v>
      </c>
      <c r="H38" t="s">
        <v>174</v>
      </c>
      <c r="I38" t="s">
        <v>154</v>
      </c>
      <c r="J38">
        <v>20010628</v>
      </c>
    </row>
    <row r="39" spans="1:10">
      <c r="A39" t="s">
        <v>2440</v>
      </c>
      <c r="B39">
        <v>600429</v>
      </c>
      <c r="C39" t="s">
        <v>2441</v>
      </c>
      <c r="D39" t="s">
        <v>164</v>
      </c>
      <c r="E39" t="s">
        <v>53</v>
      </c>
      <c r="F39" t="s">
        <v>2442</v>
      </c>
      <c r="G39" t="s">
        <v>152</v>
      </c>
      <c r="H39" t="s">
        <v>174</v>
      </c>
      <c r="I39" t="s">
        <v>154</v>
      </c>
      <c r="J39">
        <v>20030915</v>
      </c>
    </row>
    <row r="40" spans="1:10">
      <c r="A40" t="s">
        <v>2443</v>
      </c>
      <c r="B40">
        <v>600519</v>
      </c>
      <c r="C40" t="s">
        <v>2444</v>
      </c>
      <c r="D40" t="s">
        <v>463</v>
      </c>
      <c r="E40" t="s">
        <v>12</v>
      </c>
      <c r="F40" t="s">
        <v>2445</v>
      </c>
      <c r="G40" t="s">
        <v>152</v>
      </c>
      <c r="H40" t="s">
        <v>174</v>
      </c>
      <c r="I40" t="s">
        <v>154</v>
      </c>
      <c r="J40">
        <v>20010827</v>
      </c>
    </row>
    <row r="41" spans="1:10">
      <c r="A41" t="s">
        <v>2446</v>
      </c>
      <c r="B41">
        <v>600543</v>
      </c>
      <c r="C41" t="s">
        <v>2447</v>
      </c>
      <c r="D41" t="s">
        <v>177</v>
      </c>
      <c r="E41" t="s">
        <v>44</v>
      </c>
      <c r="F41" t="s">
        <v>2448</v>
      </c>
      <c r="G41" t="s">
        <v>152</v>
      </c>
      <c r="H41" t="s">
        <v>174</v>
      </c>
      <c r="I41" t="s">
        <v>154</v>
      </c>
      <c r="J41">
        <v>20040324</v>
      </c>
    </row>
    <row r="42" spans="1:10">
      <c r="A42" t="s">
        <v>2449</v>
      </c>
      <c r="B42">
        <v>600559</v>
      </c>
      <c r="C42" t="s">
        <v>2450</v>
      </c>
      <c r="D42" t="s">
        <v>279</v>
      </c>
      <c r="E42" t="s">
        <v>12</v>
      </c>
      <c r="F42" t="s">
        <v>2451</v>
      </c>
      <c r="G42" t="s">
        <v>152</v>
      </c>
      <c r="H42" t="s">
        <v>174</v>
      </c>
      <c r="I42" t="s">
        <v>154</v>
      </c>
      <c r="J42">
        <v>20021029</v>
      </c>
    </row>
    <row r="43" spans="1:10">
      <c r="A43" t="s">
        <v>2452</v>
      </c>
      <c r="B43">
        <v>600573</v>
      </c>
      <c r="C43" t="s">
        <v>2453</v>
      </c>
      <c r="D43" t="s">
        <v>150</v>
      </c>
      <c r="E43" t="s">
        <v>49</v>
      </c>
      <c r="F43" t="s">
        <v>2454</v>
      </c>
      <c r="G43" t="s">
        <v>152</v>
      </c>
      <c r="H43" t="s">
        <v>174</v>
      </c>
      <c r="I43" t="s">
        <v>154</v>
      </c>
      <c r="J43">
        <v>20030226</v>
      </c>
    </row>
    <row r="44" spans="1:10">
      <c r="A44" t="s">
        <v>2455</v>
      </c>
      <c r="B44">
        <v>600597</v>
      </c>
      <c r="C44" t="s">
        <v>2456</v>
      </c>
      <c r="D44" t="s">
        <v>172</v>
      </c>
      <c r="E44" t="s">
        <v>53</v>
      </c>
      <c r="F44" t="s">
        <v>2457</v>
      </c>
      <c r="G44" t="s">
        <v>152</v>
      </c>
      <c r="H44" t="s">
        <v>174</v>
      </c>
      <c r="I44" t="s">
        <v>154</v>
      </c>
      <c r="J44">
        <v>20020828</v>
      </c>
    </row>
    <row r="45" spans="1:10">
      <c r="A45" t="s">
        <v>2458</v>
      </c>
      <c r="B45">
        <v>600600</v>
      </c>
      <c r="C45" t="s">
        <v>2459</v>
      </c>
      <c r="D45" t="s">
        <v>198</v>
      </c>
      <c r="E45" t="s">
        <v>49</v>
      </c>
      <c r="F45" t="s">
        <v>2460</v>
      </c>
      <c r="G45" t="s">
        <v>152</v>
      </c>
      <c r="H45" t="s">
        <v>174</v>
      </c>
      <c r="I45" t="s">
        <v>154</v>
      </c>
      <c r="J45">
        <v>19930827</v>
      </c>
    </row>
    <row r="46" spans="1:10">
      <c r="A46" t="s">
        <v>2461</v>
      </c>
      <c r="B46">
        <v>600616</v>
      </c>
      <c r="C46" t="s">
        <v>2462</v>
      </c>
      <c r="D46" t="s">
        <v>172</v>
      </c>
      <c r="E46" t="s">
        <v>44</v>
      </c>
      <c r="F46" t="s">
        <v>2463</v>
      </c>
      <c r="G46" t="s">
        <v>152</v>
      </c>
      <c r="H46" t="s">
        <v>174</v>
      </c>
      <c r="I46" t="s">
        <v>154</v>
      </c>
      <c r="J46">
        <v>19920929</v>
      </c>
    </row>
    <row r="47" spans="1:10">
      <c r="A47" t="s">
        <v>2464</v>
      </c>
      <c r="B47">
        <v>600696</v>
      </c>
      <c r="C47" t="s">
        <v>2465</v>
      </c>
      <c r="D47" t="s">
        <v>172</v>
      </c>
      <c r="E47" t="s">
        <v>12</v>
      </c>
      <c r="F47" t="s">
        <v>2466</v>
      </c>
      <c r="G47" t="s">
        <v>152</v>
      </c>
      <c r="H47" t="s">
        <v>174</v>
      </c>
      <c r="I47" t="s">
        <v>154</v>
      </c>
      <c r="J47">
        <v>19931206</v>
      </c>
    </row>
    <row r="48" spans="1:10">
      <c r="A48" t="s">
        <v>2467</v>
      </c>
      <c r="B48">
        <v>600702</v>
      </c>
      <c r="C48" t="s">
        <v>2468</v>
      </c>
      <c r="D48" t="s">
        <v>219</v>
      </c>
      <c r="E48" t="s">
        <v>12</v>
      </c>
      <c r="F48" t="s">
        <v>2469</v>
      </c>
      <c r="G48" t="s">
        <v>152</v>
      </c>
      <c r="H48" t="s">
        <v>174</v>
      </c>
      <c r="I48" t="s">
        <v>154</v>
      </c>
      <c r="J48">
        <v>19960524</v>
      </c>
    </row>
    <row r="49" spans="1:10">
      <c r="A49" t="s">
        <v>2470</v>
      </c>
      <c r="B49">
        <v>600737</v>
      </c>
      <c r="C49" t="s">
        <v>2471</v>
      </c>
      <c r="D49" t="s">
        <v>202</v>
      </c>
      <c r="E49" t="s">
        <v>19</v>
      </c>
      <c r="F49" t="s">
        <v>2472</v>
      </c>
      <c r="G49" t="s">
        <v>152</v>
      </c>
      <c r="H49" t="s">
        <v>174</v>
      </c>
      <c r="I49" t="s">
        <v>154</v>
      </c>
      <c r="J49">
        <v>19960731</v>
      </c>
    </row>
    <row r="50" spans="1:10">
      <c r="A50" t="s">
        <v>2473</v>
      </c>
      <c r="B50">
        <v>600779</v>
      </c>
      <c r="C50" t="s">
        <v>2474</v>
      </c>
      <c r="D50" t="s">
        <v>219</v>
      </c>
      <c r="E50" t="s">
        <v>12</v>
      </c>
      <c r="F50" t="s">
        <v>2475</v>
      </c>
      <c r="G50" t="s">
        <v>152</v>
      </c>
      <c r="H50" t="s">
        <v>174</v>
      </c>
      <c r="I50" t="s">
        <v>154</v>
      </c>
      <c r="J50">
        <v>19961206</v>
      </c>
    </row>
    <row r="51" spans="1:10">
      <c r="A51" t="s">
        <v>2476</v>
      </c>
      <c r="B51">
        <v>600809</v>
      </c>
      <c r="C51" t="s">
        <v>2477</v>
      </c>
      <c r="D51" t="s">
        <v>557</v>
      </c>
      <c r="E51" t="s">
        <v>12</v>
      </c>
      <c r="F51" t="s">
        <v>2478</v>
      </c>
      <c r="G51" t="s">
        <v>152</v>
      </c>
      <c r="H51" t="s">
        <v>174</v>
      </c>
      <c r="I51" t="s">
        <v>154</v>
      </c>
      <c r="J51">
        <v>19940106</v>
      </c>
    </row>
    <row r="52" spans="1:10">
      <c r="A52" t="s">
        <v>2479</v>
      </c>
      <c r="B52">
        <v>600866</v>
      </c>
      <c r="C52" t="s">
        <v>2480</v>
      </c>
      <c r="D52" t="s">
        <v>223</v>
      </c>
      <c r="E52" t="s">
        <v>19</v>
      </c>
      <c r="F52" t="s">
        <v>2481</v>
      </c>
      <c r="G52" t="s">
        <v>152</v>
      </c>
      <c r="H52" t="s">
        <v>174</v>
      </c>
      <c r="I52" t="s">
        <v>154</v>
      </c>
      <c r="J52">
        <v>19940818</v>
      </c>
    </row>
    <row r="53" spans="1:10">
      <c r="A53" t="s">
        <v>2482</v>
      </c>
      <c r="B53">
        <v>600872</v>
      </c>
      <c r="C53" t="s">
        <v>2483</v>
      </c>
      <c r="D53" t="s">
        <v>223</v>
      </c>
      <c r="E53" t="s">
        <v>19</v>
      </c>
      <c r="F53" t="s">
        <v>2484</v>
      </c>
      <c r="G53" t="s">
        <v>152</v>
      </c>
      <c r="H53" t="s">
        <v>174</v>
      </c>
      <c r="I53" t="s">
        <v>154</v>
      </c>
      <c r="J53">
        <v>19950124</v>
      </c>
    </row>
    <row r="54" spans="1:10">
      <c r="A54" t="s">
        <v>2485</v>
      </c>
      <c r="B54">
        <v>600873</v>
      </c>
      <c r="C54" t="s">
        <v>2486</v>
      </c>
      <c r="D54" t="s">
        <v>1001</v>
      </c>
      <c r="E54" t="s">
        <v>19</v>
      </c>
      <c r="F54" t="s">
        <v>2487</v>
      </c>
      <c r="G54" t="s">
        <v>152</v>
      </c>
      <c r="H54" t="s">
        <v>174</v>
      </c>
      <c r="I54" t="s">
        <v>154</v>
      </c>
      <c r="J54">
        <v>19950217</v>
      </c>
    </row>
    <row r="55" spans="1:10">
      <c r="A55" t="s">
        <v>2488</v>
      </c>
      <c r="B55">
        <v>600882</v>
      </c>
      <c r="C55" t="s">
        <v>2489</v>
      </c>
      <c r="D55" t="s">
        <v>172</v>
      </c>
      <c r="E55" t="s">
        <v>53</v>
      </c>
      <c r="F55" t="s">
        <v>2490</v>
      </c>
      <c r="G55" t="s">
        <v>152</v>
      </c>
      <c r="H55" t="s">
        <v>174</v>
      </c>
      <c r="I55" t="s">
        <v>154</v>
      </c>
      <c r="J55">
        <v>19951206</v>
      </c>
    </row>
    <row r="56" spans="1:10">
      <c r="A56" t="s">
        <v>2491</v>
      </c>
      <c r="B56">
        <v>600887</v>
      </c>
      <c r="C56" t="s">
        <v>2492</v>
      </c>
      <c r="D56" t="s">
        <v>266</v>
      </c>
      <c r="E56" t="s">
        <v>53</v>
      </c>
      <c r="F56" t="s">
        <v>2493</v>
      </c>
      <c r="G56" t="s">
        <v>152</v>
      </c>
      <c r="H56" t="s">
        <v>174</v>
      </c>
      <c r="I56" t="s">
        <v>154</v>
      </c>
      <c r="J56">
        <v>19960312</v>
      </c>
    </row>
    <row r="57" spans="1:10">
      <c r="A57" t="s">
        <v>2494</v>
      </c>
      <c r="B57">
        <v>600929</v>
      </c>
      <c r="C57" t="s">
        <v>2495</v>
      </c>
      <c r="D57" t="s">
        <v>168</v>
      </c>
      <c r="E57" t="s">
        <v>19</v>
      </c>
      <c r="F57" t="s">
        <v>2496</v>
      </c>
      <c r="G57" t="s">
        <v>152</v>
      </c>
      <c r="H57" t="s">
        <v>174</v>
      </c>
      <c r="I57" t="s">
        <v>154</v>
      </c>
      <c r="J57">
        <v>20180326</v>
      </c>
    </row>
    <row r="58" spans="1:10">
      <c r="A58" t="s">
        <v>2497</v>
      </c>
      <c r="B58">
        <v>600962</v>
      </c>
      <c r="C58" t="s">
        <v>2498</v>
      </c>
      <c r="D58" t="s">
        <v>164</v>
      </c>
      <c r="E58" t="s">
        <v>29</v>
      </c>
      <c r="F58" t="s">
        <v>2499</v>
      </c>
      <c r="G58" t="s">
        <v>152</v>
      </c>
      <c r="H58" t="s">
        <v>174</v>
      </c>
      <c r="I58" t="s">
        <v>154</v>
      </c>
      <c r="J58">
        <v>20040622</v>
      </c>
    </row>
    <row r="59" spans="1:10">
      <c r="A59" t="s">
        <v>2500</v>
      </c>
      <c r="B59">
        <v>601579</v>
      </c>
      <c r="C59" t="s">
        <v>2501</v>
      </c>
      <c r="D59" t="s">
        <v>423</v>
      </c>
      <c r="E59" t="s">
        <v>44</v>
      </c>
      <c r="F59" t="s">
        <v>2502</v>
      </c>
      <c r="G59" t="s">
        <v>152</v>
      </c>
      <c r="H59" t="s">
        <v>174</v>
      </c>
      <c r="I59" t="s">
        <v>154</v>
      </c>
      <c r="J59">
        <v>20140825</v>
      </c>
    </row>
    <row r="60" spans="1:10">
      <c r="A60" t="s">
        <v>2503</v>
      </c>
      <c r="B60">
        <v>603020</v>
      </c>
      <c r="C60" t="s">
        <v>2504</v>
      </c>
      <c r="D60" t="s">
        <v>172</v>
      </c>
      <c r="E60" t="s">
        <v>19</v>
      </c>
      <c r="F60" t="s">
        <v>2505</v>
      </c>
      <c r="G60" t="s">
        <v>152</v>
      </c>
      <c r="H60" t="s">
        <v>174</v>
      </c>
      <c r="I60" t="s">
        <v>154</v>
      </c>
      <c r="J60">
        <v>20150325</v>
      </c>
    </row>
    <row r="61" spans="1:10">
      <c r="A61" t="s">
        <v>2506</v>
      </c>
      <c r="B61">
        <v>603027</v>
      </c>
      <c r="C61" t="s">
        <v>2507</v>
      </c>
      <c r="D61" t="s">
        <v>219</v>
      </c>
      <c r="E61" t="s">
        <v>19</v>
      </c>
      <c r="F61" t="s">
        <v>2508</v>
      </c>
      <c r="G61" t="s">
        <v>152</v>
      </c>
      <c r="H61" t="s">
        <v>174</v>
      </c>
      <c r="I61" t="s">
        <v>154</v>
      </c>
      <c r="J61">
        <v>20160307</v>
      </c>
    </row>
    <row r="62" spans="1:10">
      <c r="A62" t="s">
        <v>2509</v>
      </c>
      <c r="B62">
        <v>603043</v>
      </c>
      <c r="C62" t="s">
        <v>2510</v>
      </c>
      <c r="D62" t="s">
        <v>223</v>
      </c>
      <c r="E62" t="s">
        <v>19</v>
      </c>
      <c r="F62" t="s">
        <v>2511</v>
      </c>
      <c r="G62" t="s">
        <v>152</v>
      </c>
      <c r="H62" t="s">
        <v>174</v>
      </c>
      <c r="I62" t="s">
        <v>154</v>
      </c>
      <c r="J62">
        <v>20170627</v>
      </c>
    </row>
    <row r="63" spans="1:10">
      <c r="A63" t="s">
        <v>2512</v>
      </c>
      <c r="B63">
        <v>603057</v>
      </c>
      <c r="C63" t="s">
        <v>2513</v>
      </c>
      <c r="D63" t="s">
        <v>172</v>
      </c>
      <c r="E63" t="s">
        <v>19</v>
      </c>
      <c r="F63" t="s">
        <v>2514</v>
      </c>
      <c r="G63" t="s">
        <v>152</v>
      </c>
      <c r="H63" t="s">
        <v>174</v>
      </c>
      <c r="I63" t="s">
        <v>154</v>
      </c>
      <c r="J63">
        <v>20220926</v>
      </c>
    </row>
    <row r="64" spans="1:10">
      <c r="A64" t="s">
        <v>2515</v>
      </c>
      <c r="B64">
        <v>603079</v>
      </c>
      <c r="C64" t="s">
        <v>2516</v>
      </c>
      <c r="D64" t="s">
        <v>423</v>
      </c>
      <c r="E64" t="s">
        <v>19</v>
      </c>
      <c r="F64" t="s">
        <v>2517</v>
      </c>
      <c r="G64" t="s">
        <v>152</v>
      </c>
      <c r="H64" t="s">
        <v>174</v>
      </c>
      <c r="I64" t="s">
        <v>154</v>
      </c>
      <c r="J64">
        <v>20170823</v>
      </c>
    </row>
    <row r="65" spans="1:10">
      <c r="A65" t="s">
        <v>2518</v>
      </c>
      <c r="B65">
        <v>603156</v>
      </c>
      <c r="C65" t="s">
        <v>2519</v>
      </c>
      <c r="D65" t="s">
        <v>279</v>
      </c>
      <c r="E65" t="s">
        <v>29</v>
      </c>
      <c r="F65" t="s">
        <v>2520</v>
      </c>
      <c r="G65" t="s">
        <v>152</v>
      </c>
      <c r="H65" t="s">
        <v>174</v>
      </c>
      <c r="I65" t="s">
        <v>154</v>
      </c>
      <c r="J65">
        <v>20180212</v>
      </c>
    </row>
    <row r="66" spans="1:10">
      <c r="A66" t="s">
        <v>2521</v>
      </c>
      <c r="B66">
        <v>603170</v>
      </c>
      <c r="C66" t="s">
        <v>2522</v>
      </c>
      <c r="D66" t="s">
        <v>172</v>
      </c>
      <c r="E66" t="s">
        <v>19</v>
      </c>
      <c r="F66" t="s">
        <v>2523</v>
      </c>
      <c r="G66" t="s">
        <v>152</v>
      </c>
      <c r="H66" t="s">
        <v>174</v>
      </c>
      <c r="I66" t="s">
        <v>154</v>
      </c>
      <c r="J66">
        <v>20220715</v>
      </c>
    </row>
    <row r="67" spans="1:10">
      <c r="A67" t="s">
        <v>2524</v>
      </c>
      <c r="B67">
        <v>603182</v>
      </c>
      <c r="C67" t="s">
        <v>2525</v>
      </c>
      <c r="D67" t="s">
        <v>198</v>
      </c>
      <c r="E67" t="s">
        <v>19</v>
      </c>
      <c r="F67" t="s">
        <v>2526</v>
      </c>
      <c r="G67" t="s">
        <v>152</v>
      </c>
      <c r="H67" t="s">
        <v>174</v>
      </c>
      <c r="I67" t="s">
        <v>154</v>
      </c>
      <c r="J67">
        <v>20220909</v>
      </c>
    </row>
    <row r="68" spans="1:10">
      <c r="A68" t="s">
        <v>2527</v>
      </c>
      <c r="B68">
        <v>603198</v>
      </c>
      <c r="C68" t="s">
        <v>2528</v>
      </c>
      <c r="D68" t="s">
        <v>160</v>
      </c>
      <c r="E68" t="s">
        <v>12</v>
      </c>
      <c r="F68" t="s">
        <v>2529</v>
      </c>
      <c r="G68" t="s">
        <v>152</v>
      </c>
      <c r="H68" t="s">
        <v>174</v>
      </c>
      <c r="I68" t="s">
        <v>154</v>
      </c>
      <c r="J68">
        <v>20150528</v>
      </c>
    </row>
    <row r="69" spans="1:10">
      <c r="A69" t="s">
        <v>2530</v>
      </c>
      <c r="B69">
        <v>603237</v>
      </c>
      <c r="C69" t="s">
        <v>2531</v>
      </c>
      <c r="D69" t="s">
        <v>423</v>
      </c>
      <c r="E69" t="s">
        <v>19</v>
      </c>
      <c r="F69" t="s">
        <v>2532</v>
      </c>
      <c r="G69" t="s">
        <v>152</v>
      </c>
      <c r="H69" t="s">
        <v>174</v>
      </c>
      <c r="I69" t="s">
        <v>154</v>
      </c>
      <c r="J69">
        <v>20220831</v>
      </c>
    </row>
    <row r="70" spans="1:10">
      <c r="A70" t="s">
        <v>2533</v>
      </c>
      <c r="B70">
        <v>603288</v>
      </c>
      <c r="C70" t="s">
        <v>2534</v>
      </c>
      <c r="D70" t="s">
        <v>223</v>
      </c>
      <c r="E70" t="s">
        <v>19</v>
      </c>
      <c r="F70" t="s">
        <v>2535</v>
      </c>
      <c r="G70" t="s">
        <v>152</v>
      </c>
      <c r="H70" t="s">
        <v>174</v>
      </c>
      <c r="I70" t="s">
        <v>154</v>
      </c>
      <c r="J70">
        <v>20140211</v>
      </c>
    </row>
    <row r="71" spans="1:10">
      <c r="A71" t="s">
        <v>2536</v>
      </c>
      <c r="B71">
        <v>603299</v>
      </c>
      <c r="C71" t="s">
        <v>2537</v>
      </c>
      <c r="D71" t="s">
        <v>212</v>
      </c>
      <c r="E71" t="s">
        <v>19</v>
      </c>
      <c r="F71" t="s">
        <v>2538</v>
      </c>
      <c r="G71" t="s">
        <v>152</v>
      </c>
      <c r="H71" t="s">
        <v>174</v>
      </c>
      <c r="I71" t="s">
        <v>154</v>
      </c>
      <c r="J71">
        <v>20151231</v>
      </c>
    </row>
    <row r="72" spans="1:10">
      <c r="A72" t="s">
        <v>2539</v>
      </c>
      <c r="B72">
        <v>603317</v>
      </c>
      <c r="C72" t="s">
        <v>2540</v>
      </c>
      <c r="D72" t="s">
        <v>219</v>
      </c>
      <c r="E72" t="s">
        <v>19</v>
      </c>
      <c r="F72" t="s">
        <v>2541</v>
      </c>
      <c r="G72" t="s">
        <v>152</v>
      </c>
      <c r="H72" t="s">
        <v>174</v>
      </c>
      <c r="I72" t="s">
        <v>154</v>
      </c>
      <c r="J72">
        <v>20190416</v>
      </c>
    </row>
    <row r="73" spans="1:10">
      <c r="A73" t="s">
        <v>2542</v>
      </c>
      <c r="B73">
        <v>603345</v>
      </c>
      <c r="C73" t="s">
        <v>2543</v>
      </c>
      <c r="D73" t="s">
        <v>150</v>
      </c>
      <c r="E73" t="s">
        <v>19</v>
      </c>
      <c r="F73" t="s">
        <v>2544</v>
      </c>
      <c r="G73" t="s">
        <v>152</v>
      </c>
      <c r="H73" t="s">
        <v>174</v>
      </c>
      <c r="I73" t="s">
        <v>154</v>
      </c>
      <c r="J73">
        <v>20170222</v>
      </c>
    </row>
    <row r="74" spans="1:10">
      <c r="A74" t="s">
        <v>2545</v>
      </c>
      <c r="B74">
        <v>603369</v>
      </c>
      <c r="C74" t="s">
        <v>2546</v>
      </c>
      <c r="D74" t="s">
        <v>212</v>
      </c>
      <c r="E74" t="s">
        <v>12</v>
      </c>
      <c r="F74" t="s">
        <v>2547</v>
      </c>
      <c r="G74" t="s">
        <v>152</v>
      </c>
      <c r="H74" t="s">
        <v>174</v>
      </c>
      <c r="I74" t="s">
        <v>154</v>
      </c>
      <c r="J74">
        <v>20140703</v>
      </c>
    </row>
    <row r="75" spans="1:10">
      <c r="A75" t="s">
        <v>2548</v>
      </c>
      <c r="B75">
        <v>603517</v>
      </c>
      <c r="C75" t="s">
        <v>2549</v>
      </c>
      <c r="D75" t="s">
        <v>168</v>
      </c>
      <c r="E75" t="s">
        <v>19</v>
      </c>
      <c r="F75" t="s">
        <v>2550</v>
      </c>
      <c r="G75" t="s">
        <v>152</v>
      </c>
      <c r="H75" t="s">
        <v>174</v>
      </c>
      <c r="I75" t="s">
        <v>154</v>
      </c>
      <c r="J75">
        <v>20170317</v>
      </c>
    </row>
    <row r="76" spans="1:10">
      <c r="A76" t="s">
        <v>2551</v>
      </c>
      <c r="B76">
        <v>603536</v>
      </c>
      <c r="C76" t="s">
        <v>2552</v>
      </c>
      <c r="D76" t="s">
        <v>198</v>
      </c>
      <c r="E76" t="s">
        <v>19</v>
      </c>
      <c r="F76" t="s">
        <v>2553</v>
      </c>
      <c r="G76" t="s">
        <v>152</v>
      </c>
      <c r="H76" t="s">
        <v>174</v>
      </c>
      <c r="I76" t="s">
        <v>154</v>
      </c>
      <c r="J76">
        <v>20170613</v>
      </c>
    </row>
    <row r="77" spans="1:10">
      <c r="A77" t="s">
        <v>2554</v>
      </c>
      <c r="B77">
        <v>603589</v>
      </c>
      <c r="C77" t="s">
        <v>2555</v>
      </c>
      <c r="D77" t="s">
        <v>160</v>
      </c>
      <c r="E77" t="s">
        <v>12</v>
      </c>
      <c r="F77" t="s">
        <v>2556</v>
      </c>
      <c r="G77" t="s">
        <v>152</v>
      </c>
      <c r="H77" t="s">
        <v>174</v>
      </c>
      <c r="I77" t="s">
        <v>154</v>
      </c>
      <c r="J77">
        <v>20150629</v>
      </c>
    </row>
    <row r="78" spans="1:10">
      <c r="A78" t="s">
        <v>2557</v>
      </c>
      <c r="B78">
        <v>603696</v>
      </c>
      <c r="C78" t="s">
        <v>2558</v>
      </c>
      <c r="D78" t="s">
        <v>150</v>
      </c>
      <c r="E78" t="s">
        <v>19</v>
      </c>
      <c r="F78" t="s">
        <v>2559</v>
      </c>
      <c r="G78" t="s">
        <v>152</v>
      </c>
      <c r="H78" t="s">
        <v>174</v>
      </c>
      <c r="I78" t="s">
        <v>154</v>
      </c>
      <c r="J78">
        <v>20151209</v>
      </c>
    </row>
    <row r="79" spans="1:10">
      <c r="A79" t="s">
        <v>2560</v>
      </c>
      <c r="B79">
        <v>603697</v>
      </c>
      <c r="C79" t="s">
        <v>2561</v>
      </c>
      <c r="D79" t="s">
        <v>937</v>
      </c>
      <c r="E79" t="s">
        <v>19</v>
      </c>
      <c r="F79" t="s">
        <v>2562</v>
      </c>
      <c r="G79" t="s">
        <v>152</v>
      </c>
      <c r="H79" t="s">
        <v>174</v>
      </c>
      <c r="I79" t="s">
        <v>154</v>
      </c>
      <c r="J79">
        <v>20190508</v>
      </c>
    </row>
    <row r="80" spans="1:10">
      <c r="A80" t="s">
        <v>2563</v>
      </c>
      <c r="B80">
        <v>603711</v>
      </c>
      <c r="C80" t="s">
        <v>2564</v>
      </c>
      <c r="D80" t="s">
        <v>423</v>
      </c>
      <c r="E80" t="s">
        <v>29</v>
      </c>
      <c r="F80" t="s">
        <v>2565</v>
      </c>
      <c r="G80" t="s">
        <v>152</v>
      </c>
      <c r="H80" t="s">
        <v>174</v>
      </c>
      <c r="I80" t="s">
        <v>154</v>
      </c>
      <c r="J80">
        <v>20171130</v>
      </c>
    </row>
    <row r="81" spans="1:10">
      <c r="A81" t="s">
        <v>2566</v>
      </c>
      <c r="B81">
        <v>603719</v>
      </c>
      <c r="C81" t="s">
        <v>2567</v>
      </c>
      <c r="D81" t="s">
        <v>316</v>
      </c>
      <c r="E81" t="s">
        <v>19</v>
      </c>
      <c r="F81" t="s">
        <v>2568</v>
      </c>
      <c r="G81" t="s">
        <v>152</v>
      </c>
      <c r="H81" t="s">
        <v>174</v>
      </c>
      <c r="I81" t="s">
        <v>154</v>
      </c>
      <c r="J81">
        <v>20200224</v>
      </c>
    </row>
    <row r="82" spans="1:10">
      <c r="A82" t="s">
        <v>2569</v>
      </c>
      <c r="B82">
        <v>603755</v>
      </c>
      <c r="C82" t="s">
        <v>2570</v>
      </c>
      <c r="D82" t="s">
        <v>198</v>
      </c>
      <c r="E82" t="s">
        <v>19</v>
      </c>
      <c r="F82" t="s">
        <v>2571</v>
      </c>
      <c r="G82" t="s">
        <v>152</v>
      </c>
      <c r="H82" t="s">
        <v>174</v>
      </c>
      <c r="I82" t="s">
        <v>154</v>
      </c>
      <c r="J82">
        <v>20190828</v>
      </c>
    </row>
    <row r="83" spans="1:10">
      <c r="A83" t="s">
        <v>2572</v>
      </c>
      <c r="B83">
        <v>603777</v>
      </c>
      <c r="C83" t="s">
        <v>2573</v>
      </c>
      <c r="D83" t="s">
        <v>172</v>
      </c>
      <c r="E83" t="s">
        <v>19</v>
      </c>
      <c r="F83" t="s">
        <v>2574</v>
      </c>
      <c r="G83" t="s">
        <v>152</v>
      </c>
      <c r="H83" t="s">
        <v>174</v>
      </c>
      <c r="I83" t="s">
        <v>154</v>
      </c>
      <c r="J83">
        <v>20161012</v>
      </c>
    </row>
    <row r="84" spans="1:10">
      <c r="A84" t="s">
        <v>2575</v>
      </c>
      <c r="B84">
        <v>603779</v>
      </c>
      <c r="C84" t="s">
        <v>2576</v>
      </c>
      <c r="D84" t="s">
        <v>198</v>
      </c>
      <c r="E84" t="s">
        <v>44</v>
      </c>
      <c r="F84" t="s">
        <v>2577</v>
      </c>
      <c r="G84" t="s">
        <v>152</v>
      </c>
      <c r="H84" t="s">
        <v>174</v>
      </c>
      <c r="I84" t="s">
        <v>154</v>
      </c>
      <c r="J84">
        <v>20160516</v>
      </c>
    </row>
    <row r="85" spans="1:10">
      <c r="A85" t="s">
        <v>2578</v>
      </c>
      <c r="B85">
        <v>603866</v>
      </c>
      <c r="C85" t="s">
        <v>2579</v>
      </c>
      <c r="D85" t="s">
        <v>236</v>
      </c>
      <c r="E85" t="s">
        <v>19</v>
      </c>
      <c r="F85" t="s">
        <v>2580</v>
      </c>
      <c r="G85" t="s">
        <v>152</v>
      </c>
      <c r="H85" t="s">
        <v>174</v>
      </c>
      <c r="I85" t="s">
        <v>154</v>
      </c>
      <c r="J85">
        <v>20151222</v>
      </c>
    </row>
    <row r="86" spans="1:10">
      <c r="A86" t="s">
        <v>2581</v>
      </c>
      <c r="B86">
        <v>603886</v>
      </c>
      <c r="C86" t="s">
        <v>2582</v>
      </c>
      <c r="D86" t="s">
        <v>172</v>
      </c>
      <c r="E86" t="s">
        <v>19</v>
      </c>
      <c r="F86" t="s">
        <v>2583</v>
      </c>
      <c r="G86" t="s">
        <v>152</v>
      </c>
      <c r="H86" t="s">
        <v>174</v>
      </c>
      <c r="I86" t="s">
        <v>154</v>
      </c>
      <c r="J86">
        <v>20161228</v>
      </c>
    </row>
    <row r="87" spans="1:10">
      <c r="A87" t="s">
        <v>2584</v>
      </c>
      <c r="B87">
        <v>603919</v>
      </c>
      <c r="C87" t="s">
        <v>2585</v>
      </c>
      <c r="D87" t="s">
        <v>177</v>
      </c>
      <c r="E87" t="s">
        <v>12</v>
      </c>
      <c r="F87" t="s">
        <v>2586</v>
      </c>
      <c r="G87" t="s">
        <v>152</v>
      </c>
      <c r="H87" t="s">
        <v>174</v>
      </c>
      <c r="I87" t="s">
        <v>154</v>
      </c>
      <c r="J87">
        <v>20160310</v>
      </c>
    </row>
    <row r="88" spans="1:10">
      <c r="A88" t="s">
        <v>2587</v>
      </c>
      <c r="B88">
        <v>605016</v>
      </c>
      <c r="C88" t="s">
        <v>2588</v>
      </c>
      <c r="D88" t="s">
        <v>198</v>
      </c>
      <c r="E88" t="s">
        <v>19</v>
      </c>
      <c r="F88" t="s">
        <v>2589</v>
      </c>
      <c r="G88" t="s">
        <v>152</v>
      </c>
      <c r="H88" t="s">
        <v>174</v>
      </c>
      <c r="I88" t="s">
        <v>154</v>
      </c>
      <c r="J88">
        <v>20210421</v>
      </c>
    </row>
    <row r="89" spans="1:10">
      <c r="A89" t="s">
        <v>2590</v>
      </c>
      <c r="B89">
        <v>605077</v>
      </c>
      <c r="C89" t="s">
        <v>2591</v>
      </c>
      <c r="D89" t="s">
        <v>423</v>
      </c>
      <c r="E89" t="s">
        <v>19</v>
      </c>
      <c r="F89" t="s">
        <v>2592</v>
      </c>
      <c r="G89" t="s">
        <v>152</v>
      </c>
      <c r="H89" t="s">
        <v>174</v>
      </c>
      <c r="I89" t="s">
        <v>154</v>
      </c>
      <c r="J89">
        <v>20210209</v>
      </c>
    </row>
    <row r="90" spans="1:10">
      <c r="A90" t="s">
        <v>2593</v>
      </c>
      <c r="B90">
        <v>605089</v>
      </c>
      <c r="C90" t="s">
        <v>2594</v>
      </c>
      <c r="D90" t="s">
        <v>212</v>
      </c>
      <c r="E90" t="s">
        <v>19</v>
      </c>
      <c r="F90" t="s">
        <v>2595</v>
      </c>
      <c r="G90" t="s">
        <v>152</v>
      </c>
      <c r="H90" t="s">
        <v>174</v>
      </c>
      <c r="I90" t="s">
        <v>154</v>
      </c>
      <c r="J90">
        <v>20210427</v>
      </c>
    </row>
    <row r="91" spans="1:10">
      <c r="A91" t="s">
        <v>2596</v>
      </c>
      <c r="B91">
        <v>605179</v>
      </c>
      <c r="C91" t="s">
        <v>2597</v>
      </c>
      <c r="D91" t="s">
        <v>423</v>
      </c>
      <c r="E91" t="s">
        <v>53</v>
      </c>
      <c r="F91" t="s">
        <v>2598</v>
      </c>
      <c r="G91" t="s">
        <v>152</v>
      </c>
      <c r="H91" t="s">
        <v>174</v>
      </c>
      <c r="I91" t="s">
        <v>154</v>
      </c>
      <c r="J91">
        <v>20201228</v>
      </c>
    </row>
    <row r="92" spans="1:10">
      <c r="A92" t="s">
        <v>2599</v>
      </c>
      <c r="B92">
        <v>605198</v>
      </c>
      <c r="C92" t="s">
        <v>2600</v>
      </c>
      <c r="D92" t="s">
        <v>198</v>
      </c>
      <c r="E92" t="s">
        <v>29</v>
      </c>
      <c r="F92" t="s">
        <v>2601</v>
      </c>
      <c r="G92" t="s">
        <v>152</v>
      </c>
      <c r="H92" t="s">
        <v>174</v>
      </c>
      <c r="I92" t="s">
        <v>154</v>
      </c>
      <c r="J92">
        <v>20200918</v>
      </c>
    </row>
    <row r="93" spans="1:10">
      <c r="A93" t="s">
        <v>2602</v>
      </c>
      <c r="B93">
        <v>605300</v>
      </c>
      <c r="C93" t="s">
        <v>2603</v>
      </c>
      <c r="D93" t="s">
        <v>212</v>
      </c>
      <c r="E93" t="s">
        <v>53</v>
      </c>
      <c r="F93" t="s">
        <v>2604</v>
      </c>
      <c r="G93" t="s">
        <v>152</v>
      </c>
      <c r="H93" t="s">
        <v>174</v>
      </c>
      <c r="I93" t="s">
        <v>154</v>
      </c>
      <c r="J93">
        <v>20210430</v>
      </c>
    </row>
    <row r="94" spans="1:10">
      <c r="A94" t="s">
        <v>2605</v>
      </c>
      <c r="B94">
        <v>605337</v>
      </c>
      <c r="C94" t="s">
        <v>2606</v>
      </c>
      <c r="D94" t="s">
        <v>423</v>
      </c>
      <c r="E94" t="s">
        <v>53</v>
      </c>
      <c r="F94" t="s">
        <v>2607</v>
      </c>
      <c r="G94" t="s">
        <v>152</v>
      </c>
      <c r="H94" t="s">
        <v>174</v>
      </c>
      <c r="I94" t="s">
        <v>154</v>
      </c>
      <c r="J94">
        <v>20210208</v>
      </c>
    </row>
    <row r="95" spans="1:10">
      <c r="A95" t="s">
        <v>2608</v>
      </c>
      <c r="B95">
        <v>605338</v>
      </c>
      <c r="C95" t="s">
        <v>2609</v>
      </c>
      <c r="D95" t="s">
        <v>172</v>
      </c>
      <c r="E95" t="s">
        <v>19</v>
      </c>
      <c r="F95" t="s">
        <v>2610</v>
      </c>
      <c r="G95" t="s">
        <v>152</v>
      </c>
      <c r="H95" t="s">
        <v>174</v>
      </c>
      <c r="I95" t="s">
        <v>154</v>
      </c>
      <c r="J95">
        <v>20201012</v>
      </c>
    </row>
    <row r="96" spans="1:10">
      <c r="A96" t="s">
        <v>2611</v>
      </c>
      <c r="B96">
        <v>605339</v>
      </c>
      <c r="C96" t="s">
        <v>2612</v>
      </c>
      <c r="D96" t="s">
        <v>172</v>
      </c>
      <c r="E96" t="s">
        <v>19</v>
      </c>
      <c r="F96" t="s">
        <v>2613</v>
      </c>
      <c r="G96" t="s">
        <v>152</v>
      </c>
      <c r="H96" t="s">
        <v>174</v>
      </c>
      <c r="I96" t="s">
        <v>154</v>
      </c>
      <c r="J96">
        <v>20210518</v>
      </c>
    </row>
    <row r="97" spans="1:10">
      <c r="A97" t="s">
        <v>2614</v>
      </c>
      <c r="B97">
        <v>605388</v>
      </c>
      <c r="C97" t="s">
        <v>2615</v>
      </c>
      <c r="D97" t="s">
        <v>316</v>
      </c>
      <c r="E97" t="s">
        <v>53</v>
      </c>
      <c r="F97" t="s">
        <v>2616</v>
      </c>
      <c r="G97" t="s">
        <v>152</v>
      </c>
      <c r="H97" t="s">
        <v>174</v>
      </c>
      <c r="I97" t="s">
        <v>154</v>
      </c>
      <c r="J97">
        <v>20200818</v>
      </c>
    </row>
    <row r="98" spans="1:10">
      <c r="A98" t="s">
        <v>2617</v>
      </c>
      <c r="B98">
        <v>605499</v>
      </c>
      <c r="C98" t="s">
        <v>2618</v>
      </c>
      <c r="D98" t="s">
        <v>243</v>
      </c>
      <c r="E98" t="s">
        <v>29</v>
      </c>
      <c r="F98" t="s">
        <v>2619</v>
      </c>
      <c r="G98" t="s">
        <v>152</v>
      </c>
      <c r="H98" t="s">
        <v>174</v>
      </c>
      <c r="I98" t="s">
        <v>154</v>
      </c>
      <c r="J98">
        <v>20210527</v>
      </c>
    </row>
    <row r="99" spans="1:10">
      <c r="A99" t="s">
        <v>2620</v>
      </c>
      <c r="B99">
        <v>605567</v>
      </c>
      <c r="C99" t="s">
        <v>2621</v>
      </c>
      <c r="D99" t="s">
        <v>198</v>
      </c>
      <c r="E99" t="s">
        <v>19</v>
      </c>
      <c r="F99" t="s">
        <v>2622</v>
      </c>
      <c r="G99" t="s">
        <v>152</v>
      </c>
      <c r="H99" t="s">
        <v>174</v>
      </c>
      <c r="I99" t="s">
        <v>154</v>
      </c>
      <c r="J99">
        <v>20211013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J21" sqref="J21"/>
    </sheetView>
  </sheetViews>
  <sheetFormatPr defaultColWidth="9" defaultRowHeight="13.5"/>
  <cols>
    <col min="6" max="6" width="16" customWidth="1"/>
    <col min="10" max="10" width="9.375"/>
  </cols>
  <sheetData>
    <row r="1" spans="1:10">
      <c r="A1" t="s">
        <v>2623</v>
      </c>
      <c r="B1">
        <v>17</v>
      </c>
      <c r="C1" t="s">
        <v>2624</v>
      </c>
      <c r="D1" t="s">
        <v>243</v>
      </c>
      <c r="E1" t="s">
        <v>20</v>
      </c>
      <c r="F1" t="s">
        <v>2625</v>
      </c>
      <c r="G1" t="s">
        <v>152</v>
      </c>
      <c r="H1" t="s">
        <v>153</v>
      </c>
      <c r="I1" t="s">
        <v>154</v>
      </c>
      <c r="J1">
        <v>19920331</v>
      </c>
    </row>
    <row r="2" spans="1:10">
      <c r="A2" t="s">
        <v>2626</v>
      </c>
      <c r="B2">
        <v>26</v>
      </c>
      <c r="C2" t="s">
        <v>2627</v>
      </c>
      <c r="D2" t="s">
        <v>243</v>
      </c>
      <c r="E2" t="s">
        <v>20</v>
      </c>
      <c r="F2" t="s">
        <v>2628</v>
      </c>
      <c r="G2" t="s">
        <v>152</v>
      </c>
      <c r="H2" t="s">
        <v>153</v>
      </c>
      <c r="I2" t="s">
        <v>154</v>
      </c>
      <c r="J2">
        <v>19930603</v>
      </c>
    </row>
    <row r="3" spans="1:10">
      <c r="A3" t="s">
        <v>2629</v>
      </c>
      <c r="B3">
        <v>587</v>
      </c>
      <c r="C3" t="s">
        <v>2630</v>
      </c>
      <c r="D3" t="s">
        <v>194</v>
      </c>
      <c r="E3" t="s">
        <v>20</v>
      </c>
      <c r="F3" t="s">
        <v>2631</v>
      </c>
      <c r="G3" t="s">
        <v>152</v>
      </c>
      <c r="H3" t="s">
        <v>153</v>
      </c>
      <c r="I3" t="s">
        <v>154</v>
      </c>
      <c r="J3">
        <v>19960425</v>
      </c>
    </row>
    <row r="4" spans="1:12">
      <c r="A4" t="s">
        <v>2632</v>
      </c>
      <c r="B4">
        <v>1209</v>
      </c>
      <c r="C4" t="s">
        <v>2633</v>
      </c>
      <c r="D4" t="s">
        <v>223</v>
      </c>
      <c r="E4" t="s">
        <v>20</v>
      </c>
      <c r="F4" t="s">
        <v>2634</v>
      </c>
      <c r="G4" t="s">
        <v>152</v>
      </c>
      <c r="H4" t="s">
        <v>153</v>
      </c>
      <c r="I4" t="s">
        <v>154</v>
      </c>
      <c r="J4">
        <v>20210723</v>
      </c>
      <c r="L4" s="6">
        <f ca="1">RAND()*30</f>
        <v>13.2503048612521</v>
      </c>
    </row>
    <row r="5" spans="1:10">
      <c r="A5" t="s">
        <v>2635</v>
      </c>
      <c r="B5">
        <v>1234</v>
      </c>
      <c r="C5" t="s">
        <v>2636</v>
      </c>
      <c r="D5" t="s">
        <v>212</v>
      </c>
      <c r="E5" t="s">
        <v>20</v>
      </c>
      <c r="F5" t="s">
        <v>2637</v>
      </c>
      <c r="G5" t="s">
        <v>152</v>
      </c>
      <c r="H5" t="s">
        <v>153</v>
      </c>
      <c r="I5" t="s">
        <v>154</v>
      </c>
      <c r="J5">
        <v>20220111</v>
      </c>
    </row>
    <row r="6" spans="1:10">
      <c r="A6" t="s">
        <v>2638</v>
      </c>
      <c r="B6">
        <v>600107</v>
      </c>
      <c r="C6" t="s">
        <v>2639</v>
      </c>
      <c r="D6" t="s">
        <v>316</v>
      </c>
      <c r="E6" t="s">
        <v>20</v>
      </c>
      <c r="F6" t="s">
        <v>2640</v>
      </c>
      <c r="G6" t="s">
        <v>152</v>
      </c>
      <c r="H6" t="s">
        <v>174</v>
      </c>
      <c r="I6" t="s">
        <v>154</v>
      </c>
      <c r="J6">
        <v>19971106</v>
      </c>
    </row>
    <row r="7" spans="1:10">
      <c r="A7" t="s">
        <v>2641</v>
      </c>
      <c r="B7">
        <v>600137</v>
      </c>
      <c r="C7" t="s">
        <v>2642</v>
      </c>
      <c r="D7" t="s">
        <v>219</v>
      </c>
      <c r="E7" t="s">
        <v>20</v>
      </c>
      <c r="F7" t="s">
        <v>2643</v>
      </c>
      <c r="G7" t="s">
        <v>152</v>
      </c>
      <c r="H7" t="s">
        <v>174</v>
      </c>
      <c r="I7" t="s">
        <v>154</v>
      </c>
      <c r="J7">
        <v>19980416</v>
      </c>
    </row>
    <row r="8" spans="1:10">
      <c r="A8" t="s">
        <v>2644</v>
      </c>
      <c r="B8">
        <v>600177</v>
      </c>
      <c r="C8" t="s">
        <v>2645</v>
      </c>
      <c r="D8" t="s">
        <v>423</v>
      </c>
      <c r="E8" t="s">
        <v>20</v>
      </c>
      <c r="F8" t="s">
        <v>2646</v>
      </c>
      <c r="G8" t="s">
        <v>152</v>
      </c>
      <c r="H8" t="s">
        <v>174</v>
      </c>
      <c r="I8" t="s">
        <v>154</v>
      </c>
      <c r="J8">
        <v>19981119</v>
      </c>
    </row>
    <row r="9" spans="1:10">
      <c r="A9" t="s">
        <v>2647</v>
      </c>
      <c r="B9">
        <v>600398</v>
      </c>
      <c r="C9" t="s">
        <v>2648</v>
      </c>
      <c r="D9" t="s">
        <v>212</v>
      </c>
      <c r="E9" t="s">
        <v>20</v>
      </c>
      <c r="F9" t="s">
        <v>2649</v>
      </c>
      <c r="G9" t="s">
        <v>152</v>
      </c>
      <c r="H9" t="s">
        <v>174</v>
      </c>
      <c r="I9" t="s">
        <v>154</v>
      </c>
      <c r="J9">
        <v>20001228</v>
      </c>
    </row>
    <row r="10" spans="1:10">
      <c r="A10" t="s">
        <v>2650</v>
      </c>
      <c r="B10">
        <v>600400</v>
      </c>
      <c r="C10" t="s">
        <v>2651</v>
      </c>
      <c r="D10" t="s">
        <v>212</v>
      </c>
      <c r="E10" t="s">
        <v>20</v>
      </c>
      <c r="F10" t="s">
        <v>2652</v>
      </c>
      <c r="G10" t="s">
        <v>152</v>
      </c>
      <c r="H10" t="s">
        <v>174</v>
      </c>
      <c r="I10" t="s">
        <v>154</v>
      </c>
      <c r="J10">
        <v>20010108</v>
      </c>
    </row>
    <row r="11" spans="1:10">
      <c r="A11" t="s">
        <v>2653</v>
      </c>
      <c r="B11">
        <v>600439</v>
      </c>
      <c r="C11" t="s">
        <v>2654</v>
      </c>
      <c r="D11" t="s">
        <v>292</v>
      </c>
      <c r="E11" t="s">
        <v>20</v>
      </c>
      <c r="F11" t="s">
        <v>2655</v>
      </c>
      <c r="G11" t="s">
        <v>152</v>
      </c>
      <c r="H11" t="s">
        <v>174</v>
      </c>
      <c r="I11" t="s">
        <v>154</v>
      </c>
      <c r="J11">
        <v>20030710</v>
      </c>
    </row>
    <row r="12" spans="1:10">
      <c r="A12" s="3" t="s">
        <v>2656</v>
      </c>
      <c r="B12" s="3">
        <v>600612</v>
      </c>
      <c r="C12" s="3" t="s">
        <v>2657</v>
      </c>
      <c r="D12" s="3" t="s">
        <v>172</v>
      </c>
      <c r="E12" s="3" t="s">
        <v>20</v>
      </c>
      <c r="F12" s="3" t="s">
        <v>2658</v>
      </c>
      <c r="G12" s="3" t="s">
        <v>152</v>
      </c>
      <c r="H12" s="3" t="s">
        <v>174</v>
      </c>
      <c r="I12" s="3" t="s">
        <v>154</v>
      </c>
      <c r="J12" s="3">
        <v>19920814</v>
      </c>
    </row>
    <row r="13" spans="1:10">
      <c r="A13" t="s">
        <v>2659</v>
      </c>
      <c r="B13">
        <v>600735</v>
      </c>
      <c r="C13" t="s">
        <v>2660</v>
      </c>
      <c r="D13" t="s">
        <v>198</v>
      </c>
      <c r="E13" t="s">
        <v>20</v>
      </c>
      <c r="F13" t="s">
        <v>2661</v>
      </c>
      <c r="G13" t="s">
        <v>152</v>
      </c>
      <c r="H13" t="s">
        <v>174</v>
      </c>
      <c r="I13" t="s">
        <v>154</v>
      </c>
      <c r="J13">
        <v>19960726</v>
      </c>
    </row>
    <row r="14" spans="1:10">
      <c r="A14" t="s">
        <v>2662</v>
      </c>
      <c r="B14">
        <v>601566</v>
      </c>
      <c r="C14" t="s">
        <v>2663</v>
      </c>
      <c r="D14" t="s">
        <v>150</v>
      </c>
      <c r="E14" t="s">
        <v>20</v>
      </c>
      <c r="F14" t="s">
        <v>2664</v>
      </c>
      <c r="G14" t="s">
        <v>152</v>
      </c>
      <c r="H14" t="s">
        <v>174</v>
      </c>
      <c r="I14" t="s">
        <v>154</v>
      </c>
      <c r="J14">
        <v>20110530</v>
      </c>
    </row>
    <row r="15" spans="1:10">
      <c r="A15" t="s">
        <v>2665</v>
      </c>
      <c r="B15">
        <v>601718</v>
      </c>
      <c r="C15" t="s">
        <v>2666</v>
      </c>
      <c r="D15" t="s">
        <v>164</v>
      </c>
      <c r="E15" t="s">
        <v>20</v>
      </c>
      <c r="F15" t="s">
        <v>2667</v>
      </c>
      <c r="G15" t="s">
        <v>152</v>
      </c>
      <c r="H15" t="s">
        <v>174</v>
      </c>
      <c r="I15" t="s">
        <v>154</v>
      </c>
      <c r="J15">
        <v>20100816</v>
      </c>
    </row>
    <row r="16" spans="1:10">
      <c r="A16" t="s">
        <v>2668</v>
      </c>
      <c r="B16">
        <v>603001</v>
      </c>
      <c r="C16" t="s">
        <v>2669</v>
      </c>
      <c r="D16" t="s">
        <v>423</v>
      </c>
      <c r="E16" t="s">
        <v>20</v>
      </c>
      <c r="F16" t="s">
        <v>2670</v>
      </c>
      <c r="G16" t="s">
        <v>152</v>
      </c>
      <c r="H16" t="s">
        <v>174</v>
      </c>
      <c r="I16" t="s">
        <v>154</v>
      </c>
      <c r="J16">
        <v>20120426</v>
      </c>
    </row>
    <row r="17" spans="1:10">
      <c r="A17" t="s">
        <v>2671</v>
      </c>
      <c r="B17">
        <v>603116</v>
      </c>
      <c r="C17" t="s">
        <v>2672</v>
      </c>
      <c r="D17" t="s">
        <v>423</v>
      </c>
      <c r="E17" t="s">
        <v>20</v>
      </c>
      <c r="F17" t="s">
        <v>2673</v>
      </c>
      <c r="G17" t="s">
        <v>152</v>
      </c>
      <c r="H17" t="s">
        <v>174</v>
      </c>
      <c r="I17" t="s">
        <v>154</v>
      </c>
      <c r="J17">
        <v>20150629</v>
      </c>
    </row>
    <row r="18" spans="1:10">
      <c r="A18" t="s">
        <v>2674</v>
      </c>
      <c r="B18">
        <v>603196</v>
      </c>
      <c r="C18" t="s">
        <v>2675</v>
      </c>
      <c r="D18" t="s">
        <v>172</v>
      </c>
      <c r="E18" t="s">
        <v>20</v>
      </c>
      <c r="F18" t="s">
        <v>2676</v>
      </c>
      <c r="G18" t="s">
        <v>152</v>
      </c>
      <c r="H18" t="s">
        <v>174</v>
      </c>
      <c r="I18" t="s">
        <v>154</v>
      </c>
      <c r="J18">
        <v>20170531</v>
      </c>
    </row>
    <row r="19" spans="1:10">
      <c r="A19" t="s">
        <v>2677</v>
      </c>
      <c r="B19">
        <v>603511</v>
      </c>
      <c r="C19" t="s">
        <v>2678</v>
      </c>
      <c r="D19" t="s">
        <v>164</v>
      </c>
      <c r="E19" t="s">
        <v>20</v>
      </c>
      <c r="F19" t="s">
        <v>2679</v>
      </c>
      <c r="G19" t="s">
        <v>152</v>
      </c>
      <c r="H19" t="s">
        <v>174</v>
      </c>
      <c r="I19" t="s">
        <v>154</v>
      </c>
      <c r="J19">
        <v>20210531</v>
      </c>
    </row>
    <row r="20" spans="1:10">
      <c r="A20" t="s">
        <v>2680</v>
      </c>
      <c r="B20">
        <v>603518</v>
      </c>
      <c r="C20" t="s">
        <v>2681</v>
      </c>
      <c r="D20" t="s">
        <v>212</v>
      </c>
      <c r="E20" t="s">
        <v>20</v>
      </c>
      <c r="F20" t="s">
        <v>2682</v>
      </c>
      <c r="G20" t="s">
        <v>152</v>
      </c>
      <c r="H20" t="s">
        <v>174</v>
      </c>
      <c r="I20" t="s">
        <v>154</v>
      </c>
      <c r="J20">
        <v>20141203</v>
      </c>
    </row>
    <row r="21" spans="1:10">
      <c r="A21" t="s">
        <v>2683</v>
      </c>
      <c r="B21">
        <v>603555</v>
      </c>
      <c r="C21" t="s">
        <v>2684</v>
      </c>
      <c r="D21" t="s">
        <v>150</v>
      </c>
      <c r="E21" t="s">
        <v>20</v>
      </c>
      <c r="F21" t="s">
        <v>2685</v>
      </c>
      <c r="G21" t="s">
        <v>152</v>
      </c>
      <c r="H21" t="s">
        <v>174</v>
      </c>
      <c r="I21" t="s">
        <v>154</v>
      </c>
      <c r="J21">
        <v>20140124</v>
      </c>
    </row>
    <row r="22" spans="1:10">
      <c r="A22" t="s">
        <v>2686</v>
      </c>
      <c r="B22">
        <v>603557</v>
      </c>
      <c r="C22" t="s">
        <v>2687</v>
      </c>
      <c r="D22" t="s">
        <v>423</v>
      </c>
      <c r="E22" t="s">
        <v>20</v>
      </c>
      <c r="F22" t="s">
        <v>2688</v>
      </c>
      <c r="G22" t="s">
        <v>152</v>
      </c>
      <c r="H22" t="s">
        <v>174</v>
      </c>
      <c r="I22" t="s">
        <v>154</v>
      </c>
      <c r="J22">
        <v>20170818</v>
      </c>
    </row>
    <row r="23" spans="1:10">
      <c r="A23" t="s">
        <v>2689</v>
      </c>
      <c r="B23">
        <v>603587</v>
      </c>
      <c r="C23" t="s">
        <v>2690</v>
      </c>
      <c r="D23" t="s">
        <v>172</v>
      </c>
      <c r="E23" t="s">
        <v>20</v>
      </c>
      <c r="F23" t="s">
        <v>2691</v>
      </c>
      <c r="G23" t="s">
        <v>152</v>
      </c>
      <c r="H23" t="s">
        <v>174</v>
      </c>
      <c r="I23" t="s">
        <v>154</v>
      </c>
      <c r="J23">
        <v>20180622</v>
      </c>
    </row>
    <row r="24" spans="1:10">
      <c r="A24" t="s">
        <v>2692</v>
      </c>
      <c r="B24">
        <v>603608</v>
      </c>
      <c r="C24" t="s">
        <v>2693</v>
      </c>
      <c r="D24" t="s">
        <v>223</v>
      </c>
      <c r="E24" t="s">
        <v>20</v>
      </c>
      <c r="F24" t="s">
        <v>2694</v>
      </c>
      <c r="G24" t="s">
        <v>152</v>
      </c>
      <c r="H24" t="s">
        <v>174</v>
      </c>
      <c r="I24" t="s">
        <v>154</v>
      </c>
      <c r="J24">
        <v>20160218</v>
      </c>
    </row>
    <row r="25" spans="1:10">
      <c r="A25" t="s">
        <v>2695</v>
      </c>
      <c r="B25">
        <v>603808</v>
      </c>
      <c r="C25" t="s">
        <v>2696</v>
      </c>
      <c r="D25" t="s">
        <v>243</v>
      </c>
      <c r="E25" t="s">
        <v>20</v>
      </c>
      <c r="F25" t="s">
        <v>2697</v>
      </c>
      <c r="G25" t="s">
        <v>152</v>
      </c>
      <c r="H25" t="s">
        <v>174</v>
      </c>
      <c r="I25" t="s">
        <v>154</v>
      </c>
      <c r="J25">
        <v>20150422</v>
      </c>
    </row>
    <row r="26" spans="1:10">
      <c r="A26" t="s">
        <v>2698</v>
      </c>
      <c r="B26">
        <v>603839</v>
      </c>
      <c r="C26" t="s">
        <v>2699</v>
      </c>
      <c r="D26" t="s">
        <v>423</v>
      </c>
      <c r="E26" t="s">
        <v>20</v>
      </c>
      <c r="F26" t="s">
        <v>2700</v>
      </c>
      <c r="G26" t="s">
        <v>152</v>
      </c>
      <c r="H26" t="s">
        <v>174</v>
      </c>
      <c r="I26" t="s">
        <v>154</v>
      </c>
      <c r="J26">
        <v>20170214</v>
      </c>
    </row>
    <row r="27" spans="1:10">
      <c r="A27" t="s">
        <v>2701</v>
      </c>
      <c r="B27">
        <v>603877</v>
      </c>
      <c r="C27" t="s">
        <v>2702</v>
      </c>
      <c r="D27" t="s">
        <v>423</v>
      </c>
      <c r="E27" t="s">
        <v>20</v>
      </c>
      <c r="F27" t="s">
        <v>2703</v>
      </c>
      <c r="G27" t="s">
        <v>152</v>
      </c>
      <c r="H27" t="s">
        <v>174</v>
      </c>
      <c r="I27" t="s">
        <v>154</v>
      </c>
      <c r="J27">
        <v>20170109</v>
      </c>
    </row>
    <row r="28" spans="1:10">
      <c r="A28" t="s">
        <v>2704</v>
      </c>
      <c r="B28">
        <v>603900</v>
      </c>
      <c r="C28" t="s">
        <v>2705</v>
      </c>
      <c r="D28" t="s">
        <v>212</v>
      </c>
      <c r="E28" t="s">
        <v>20</v>
      </c>
      <c r="F28" t="s">
        <v>2706</v>
      </c>
      <c r="G28" t="s">
        <v>152</v>
      </c>
      <c r="H28" t="s">
        <v>174</v>
      </c>
      <c r="I28" t="s">
        <v>154</v>
      </c>
      <c r="J28">
        <v>20161123</v>
      </c>
    </row>
    <row r="29" spans="1:10">
      <c r="A29" t="s">
        <v>2707</v>
      </c>
      <c r="B29">
        <v>603958</v>
      </c>
      <c r="C29" t="s">
        <v>2708</v>
      </c>
      <c r="D29" t="s">
        <v>212</v>
      </c>
      <c r="E29" t="s">
        <v>20</v>
      </c>
      <c r="F29" t="s">
        <v>2709</v>
      </c>
      <c r="G29" t="s">
        <v>152</v>
      </c>
      <c r="H29" t="s">
        <v>174</v>
      </c>
      <c r="I29" t="s">
        <v>154</v>
      </c>
      <c r="J29">
        <v>20160629</v>
      </c>
    </row>
    <row r="30" spans="1:10">
      <c r="A30" t="s">
        <v>2710</v>
      </c>
      <c r="B30">
        <v>605138</v>
      </c>
      <c r="C30" t="s">
        <v>2711</v>
      </c>
      <c r="D30" t="s">
        <v>423</v>
      </c>
      <c r="E30" t="s">
        <v>20</v>
      </c>
      <c r="F30" t="s">
        <v>2712</v>
      </c>
      <c r="G30" t="s">
        <v>152</v>
      </c>
      <c r="H30" t="s">
        <v>174</v>
      </c>
      <c r="I30" t="s">
        <v>154</v>
      </c>
      <c r="J30">
        <v>20211027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opLeftCell="A27" workbookViewId="0">
      <selection activeCell="F70" sqref="F70"/>
    </sheetView>
  </sheetViews>
  <sheetFormatPr defaultColWidth="9" defaultRowHeight="13.5"/>
  <cols>
    <col min="1" max="1" width="16.875" customWidth="1"/>
  </cols>
  <sheetData>
    <row r="1" spans="1:10">
      <c r="A1" t="s">
        <v>2713</v>
      </c>
      <c r="B1">
        <v>488</v>
      </c>
      <c r="C1" t="s">
        <v>2714</v>
      </c>
      <c r="D1" t="s">
        <v>198</v>
      </c>
      <c r="E1" t="s">
        <v>30</v>
      </c>
      <c r="F1" t="s">
        <v>2715</v>
      </c>
      <c r="G1" t="s">
        <v>152</v>
      </c>
      <c r="H1" t="s">
        <v>153</v>
      </c>
      <c r="I1" t="s">
        <v>154</v>
      </c>
      <c r="J1">
        <v>20001120</v>
      </c>
    </row>
    <row r="2" spans="1:10">
      <c r="A2" t="s">
        <v>2716</v>
      </c>
      <c r="B2">
        <v>607</v>
      </c>
      <c r="C2" t="s">
        <v>2717</v>
      </c>
      <c r="D2" t="s">
        <v>423</v>
      </c>
      <c r="E2" t="s">
        <v>37</v>
      </c>
      <c r="F2" t="s">
        <v>2718</v>
      </c>
      <c r="G2" t="s">
        <v>152</v>
      </c>
      <c r="H2" t="s">
        <v>153</v>
      </c>
      <c r="I2" t="s">
        <v>154</v>
      </c>
      <c r="J2">
        <v>19960830</v>
      </c>
    </row>
    <row r="3" spans="1:10">
      <c r="A3" t="s">
        <v>2719</v>
      </c>
      <c r="B3">
        <v>659</v>
      </c>
      <c r="C3" t="s">
        <v>2720</v>
      </c>
      <c r="D3" t="s">
        <v>223</v>
      </c>
      <c r="E3" t="s">
        <v>37</v>
      </c>
      <c r="F3" t="s">
        <v>2721</v>
      </c>
      <c r="G3" t="s">
        <v>152</v>
      </c>
      <c r="H3" t="s">
        <v>153</v>
      </c>
      <c r="I3" t="s">
        <v>154</v>
      </c>
      <c r="J3">
        <v>19961203</v>
      </c>
    </row>
    <row r="4" spans="1:12">
      <c r="A4" t="s">
        <v>2722</v>
      </c>
      <c r="B4">
        <v>695</v>
      </c>
      <c r="C4" t="s">
        <v>2723</v>
      </c>
      <c r="D4" t="s">
        <v>576</v>
      </c>
      <c r="E4" t="s">
        <v>37</v>
      </c>
      <c r="F4" t="s">
        <v>2724</v>
      </c>
      <c r="G4" t="s">
        <v>152</v>
      </c>
      <c r="H4" t="s">
        <v>153</v>
      </c>
      <c r="I4" t="s">
        <v>154</v>
      </c>
      <c r="J4">
        <v>19970218</v>
      </c>
      <c r="L4" s="6">
        <f ca="1">RAND()*75</f>
        <v>39.1502850077814</v>
      </c>
    </row>
    <row r="5" spans="1:10">
      <c r="A5" t="s">
        <v>2725</v>
      </c>
      <c r="B5">
        <v>812</v>
      </c>
      <c r="C5" t="s">
        <v>2726</v>
      </c>
      <c r="D5" t="s">
        <v>419</v>
      </c>
      <c r="E5" t="s">
        <v>37</v>
      </c>
      <c r="F5" t="s">
        <v>2727</v>
      </c>
      <c r="G5" t="s">
        <v>152</v>
      </c>
      <c r="H5" t="s">
        <v>153</v>
      </c>
      <c r="I5" t="s">
        <v>154</v>
      </c>
      <c r="J5">
        <v>19980623</v>
      </c>
    </row>
    <row r="6" spans="1:10">
      <c r="A6" t="s">
        <v>2728</v>
      </c>
      <c r="B6">
        <v>815</v>
      </c>
      <c r="C6" t="s">
        <v>2729</v>
      </c>
      <c r="D6" t="s">
        <v>332</v>
      </c>
      <c r="E6" t="s">
        <v>30</v>
      </c>
      <c r="F6" t="s">
        <v>2730</v>
      </c>
      <c r="G6" t="s">
        <v>152</v>
      </c>
      <c r="H6" t="s">
        <v>153</v>
      </c>
      <c r="I6" t="s">
        <v>154</v>
      </c>
      <c r="J6">
        <v>19980609</v>
      </c>
    </row>
    <row r="7" spans="1:10">
      <c r="A7" t="s">
        <v>2731</v>
      </c>
      <c r="B7">
        <v>910</v>
      </c>
      <c r="C7" t="s">
        <v>2732</v>
      </c>
      <c r="D7" t="s">
        <v>212</v>
      </c>
      <c r="E7" t="s">
        <v>21</v>
      </c>
      <c r="F7" t="s">
        <v>2733</v>
      </c>
      <c r="G7" t="s">
        <v>152</v>
      </c>
      <c r="H7" t="s">
        <v>153</v>
      </c>
      <c r="I7" t="s">
        <v>154</v>
      </c>
      <c r="J7">
        <v>19990630</v>
      </c>
    </row>
    <row r="8" spans="1:10">
      <c r="A8" t="s">
        <v>2734</v>
      </c>
      <c r="B8">
        <v>1206</v>
      </c>
      <c r="C8" t="s">
        <v>2735</v>
      </c>
      <c r="D8" t="s">
        <v>576</v>
      </c>
      <c r="E8" t="s">
        <v>30</v>
      </c>
      <c r="F8" t="s">
        <v>2736</v>
      </c>
      <c r="G8" t="s">
        <v>152</v>
      </c>
      <c r="H8" t="s">
        <v>153</v>
      </c>
      <c r="I8" t="s">
        <v>154</v>
      </c>
      <c r="J8">
        <v>20210518</v>
      </c>
    </row>
    <row r="9" spans="1:10">
      <c r="A9" t="s">
        <v>2737</v>
      </c>
      <c r="B9">
        <v>1211</v>
      </c>
      <c r="C9" t="s">
        <v>2738</v>
      </c>
      <c r="D9" t="s">
        <v>423</v>
      </c>
      <c r="E9" t="s">
        <v>21</v>
      </c>
      <c r="F9" t="s">
        <v>2739</v>
      </c>
      <c r="G9" t="s">
        <v>152</v>
      </c>
      <c r="H9" t="s">
        <v>153</v>
      </c>
      <c r="I9" t="s">
        <v>154</v>
      </c>
      <c r="J9">
        <v>20210805</v>
      </c>
    </row>
    <row r="10" spans="1:10">
      <c r="A10" t="s">
        <v>2740</v>
      </c>
      <c r="B10">
        <v>1216</v>
      </c>
      <c r="C10" t="s">
        <v>2741</v>
      </c>
      <c r="D10" t="s">
        <v>168</v>
      </c>
      <c r="E10" t="s">
        <v>21</v>
      </c>
      <c r="F10" t="s">
        <v>2742</v>
      </c>
      <c r="G10" t="s">
        <v>152</v>
      </c>
      <c r="H10" t="s">
        <v>153</v>
      </c>
      <c r="I10" t="s">
        <v>154</v>
      </c>
      <c r="J10">
        <v>20211019</v>
      </c>
    </row>
    <row r="11" spans="1:10">
      <c r="A11" t="s">
        <v>2743</v>
      </c>
      <c r="B11">
        <v>1238</v>
      </c>
      <c r="C11" t="s">
        <v>2744</v>
      </c>
      <c r="D11" t="s">
        <v>423</v>
      </c>
      <c r="E11" t="s">
        <v>21</v>
      </c>
      <c r="F11" t="s">
        <v>2745</v>
      </c>
      <c r="G11" t="s">
        <v>152</v>
      </c>
      <c r="H11" t="s">
        <v>153</v>
      </c>
      <c r="I11" t="s">
        <v>154</v>
      </c>
      <c r="J11">
        <v>20220919</v>
      </c>
    </row>
    <row r="12" spans="1:10">
      <c r="A12" t="s">
        <v>2746</v>
      </c>
      <c r="B12">
        <v>1322</v>
      </c>
      <c r="C12" t="s">
        <v>2747</v>
      </c>
      <c r="D12" t="s">
        <v>223</v>
      </c>
      <c r="E12" t="s">
        <v>21</v>
      </c>
      <c r="F12" t="s">
        <v>2748</v>
      </c>
      <c r="G12" t="s">
        <v>152</v>
      </c>
      <c r="H12" t="s">
        <v>153</v>
      </c>
      <c r="I12" t="s">
        <v>154</v>
      </c>
      <c r="J12">
        <v>20221026</v>
      </c>
    </row>
    <row r="13" spans="1:10">
      <c r="A13" t="s">
        <v>2749</v>
      </c>
      <c r="B13">
        <v>1323</v>
      </c>
      <c r="C13" t="s">
        <v>2750</v>
      </c>
      <c r="D13" t="s">
        <v>223</v>
      </c>
      <c r="E13" t="s">
        <v>21</v>
      </c>
      <c r="F13" t="s">
        <v>2751</v>
      </c>
      <c r="G13" t="s">
        <v>152</v>
      </c>
      <c r="H13" t="s">
        <v>153</v>
      </c>
      <c r="I13" t="s">
        <v>154</v>
      </c>
      <c r="J13">
        <v>20220623</v>
      </c>
    </row>
    <row r="14" spans="1:10">
      <c r="A14" s="1" t="s">
        <v>2752</v>
      </c>
      <c r="B14" s="1">
        <v>600103</v>
      </c>
      <c r="C14" s="1" t="s">
        <v>2753</v>
      </c>
      <c r="D14" s="1" t="s">
        <v>150</v>
      </c>
      <c r="E14" s="1" t="s">
        <v>30</v>
      </c>
      <c r="F14" s="1" t="s">
        <v>2754</v>
      </c>
      <c r="G14" s="1" t="s">
        <v>152</v>
      </c>
      <c r="H14" s="1" t="s">
        <v>174</v>
      </c>
      <c r="I14" s="1" t="s">
        <v>154</v>
      </c>
      <c r="J14" s="1">
        <v>19970703</v>
      </c>
    </row>
    <row r="15" spans="1:10">
      <c r="A15" t="s">
        <v>2755</v>
      </c>
      <c r="B15">
        <v>600210</v>
      </c>
      <c r="C15" t="s">
        <v>2756</v>
      </c>
      <c r="D15" t="s">
        <v>172</v>
      </c>
      <c r="E15" t="s">
        <v>37</v>
      </c>
      <c r="F15" t="s">
        <v>2757</v>
      </c>
      <c r="G15" t="s">
        <v>152</v>
      </c>
      <c r="H15" t="s">
        <v>174</v>
      </c>
      <c r="I15" t="s">
        <v>154</v>
      </c>
      <c r="J15">
        <v>19990824</v>
      </c>
    </row>
    <row r="16" spans="1:10">
      <c r="A16" t="s">
        <v>2758</v>
      </c>
      <c r="B16">
        <v>600235</v>
      </c>
      <c r="C16" t="s">
        <v>2759</v>
      </c>
      <c r="D16" t="s">
        <v>423</v>
      </c>
      <c r="E16" t="s">
        <v>30</v>
      </c>
      <c r="F16" t="s">
        <v>2760</v>
      </c>
      <c r="G16" t="s">
        <v>152</v>
      </c>
      <c r="H16" t="s">
        <v>174</v>
      </c>
      <c r="I16" t="s">
        <v>154</v>
      </c>
      <c r="J16">
        <v>20000615</v>
      </c>
    </row>
    <row r="17" spans="1:10">
      <c r="A17" t="s">
        <v>2761</v>
      </c>
      <c r="B17">
        <v>600308</v>
      </c>
      <c r="C17" t="s">
        <v>2762</v>
      </c>
      <c r="D17" t="s">
        <v>198</v>
      </c>
      <c r="E17" t="s">
        <v>30</v>
      </c>
      <c r="F17" t="s">
        <v>2763</v>
      </c>
      <c r="G17" t="s">
        <v>152</v>
      </c>
      <c r="H17" t="s">
        <v>174</v>
      </c>
      <c r="I17" t="s">
        <v>154</v>
      </c>
      <c r="J17">
        <v>20000928</v>
      </c>
    </row>
    <row r="18" spans="1:10">
      <c r="A18" t="s">
        <v>2764</v>
      </c>
      <c r="B18">
        <v>600337</v>
      </c>
      <c r="C18" t="s">
        <v>2765</v>
      </c>
      <c r="D18" t="s">
        <v>406</v>
      </c>
      <c r="E18" t="s">
        <v>21</v>
      </c>
      <c r="F18" t="s">
        <v>2766</v>
      </c>
      <c r="G18" t="s">
        <v>152</v>
      </c>
      <c r="H18" t="s">
        <v>174</v>
      </c>
      <c r="I18" t="s">
        <v>154</v>
      </c>
      <c r="J18">
        <v>20001127</v>
      </c>
    </row>
    <row r="19" spans="1:10">
      <c r="A19" t="s">
        <v>2767</v>
      </c>
      <c r="B19">
        <v>600356</v>
      </c>
      <c r="C19" t="s">
        <v>2768</v>
      </c>
      <c r="D19" t="s">
        <v>194</v>
      </c>
      <c r="E19" t="s">
        <v>30</v>
      </c>
      <c r="F19" t="s">
        <v>2769</v>
      </c>
      <c r="G19" t="s">
        <v>152</v>
      </c>
      <c r="H19" t="s">
        <v>174</v>
      </c>
      <c r="I19" t="s">
        <v>154</v>
      </c>
      <c r="J19">
        <v>20010419</v>
      </c>
    </row>
    <row r="20" spans="1:10">
      <c r="A20" t="s">
        <v>2770</v>
      </c>
      <c r="B20">
        <v>600433</v>
      </c>
      <c r="C20" t="s">
        <v>2771</v>
      </c>
      <c r="D20" t="s">
        <v>223</v>
      </c>
      <c r="E20" t="s">
        <v>30</v>
      </c>
      <c r="F20" t="s">
        <v>2772</v>
      </c>
      <c r="G20" t="s">
        <v>152</v>
      </c>
      <c r="H20" t="s">
        <v>174</v>
      </c>
      <c r="I20" t="s">
        <v>154</v>
      </c>
      <c r="J20">
        <v>20030619</v>
      </c>
    </row>
    <row r="21" spans="1:10">
      <c r="A21" t="s">
        <v>2773</v>
      </c>
      <c r="B21">
        <v>600462</v>
      </c>
      <c r="C21" t="s">
        <v>2774</v>
      </c>
      <c r="D21" t="s">
        <v>316</v>
      </c>
      <c r="E21" t="s">
        <v>37</v>
      </c>
      <c r="F21" t="s">
        <v>2775</v>
      </c>
      <c r="G21" t="s">
        <v>152</v>
      </c>
      <c r="H21" t="s">
        <v>174</v>
      </c>
      <c r="I21" t="s">
        <v>154</v>
      </c>
      <c r="J21">
        <v>20030903</v>
      </c>
    </row>
    <row r="22" spans="1:10">
      <c r="A22" t="s">
        <v>2776</v>
      </c>
      <c r="B22">
        <v>600567</v>
      </c>
      <c r="C22" t="s">
        <v>2777</v>
      </c>
      <c r="D22" t="s">
        <v>160</v>
      </c>
      <c r="E22" t="s">
        <v>30</v>
      </c>
      <c r="F22" t="s">
        <v>2778</v>
      </c>
      <c r="G22" t="s">
        <v>152</v>
      </c>
      <c r="H22" t="s">
        <v>174</v>
      </c>
      <c r="I22" t="s">
        <v>154</v>
      </c>
      <c r="J22">
        <v>20011218</v>
      </c>
    </row>
    <row r="23" spans="1:10">
      <c r="A23" t="s">
        <v>2779</v>
      </c>
      <c r="B23">
        <v>600793</v>
      </c>
      <c r="C23" t="s">
        <v>2780</v>
      </c>
      <c r="D23" t="s">
        <v>219</v>
      </c>
      <c r="E23" t="s">
        <v>30</v>
      </c>
      <c r="F23" t="s">
        <v>2781</v>
      </c>
      <c r="G23" t="s">
        <v>152</v>
      </c>
      <c r="H23" t="s">
        <v>174</v>
      </c>
      <c r="I23" t="s">
        <v>154</v>
      </c>
      <c r="J23">
        <v>19970220</v>
      </c>
    </row>
    <row r="24" spans="1:10">
      <c r="A24" t="s">
        <v>2782</v>
      </c>
      <c r="B24">
        <v>600836</v>
      </c>
      <c r="C24" t="s">
        <v>2783</v>
      </c>
      <c r="D24" t="s">
        <v>172</v>
      </c>
      <c r="E24" t="s">
        <v>37</v>
      </c>
      <c r="F24" t="s">
        <v>2784</v>
      </c>
      <c r="G24" t="s">
        <v>152</v>
      </c>
      <c r="H24" t="s">
        <v>174</v>
      </c>
      <c r="I24" t="s">
        <v>154</v>
      </c>
      <c r="J24">
        <v>19940224</v>
      </c>
    </row>
    <row r="25" spans="1:10">
      <c r="A25" t="s">
        <v>2785</v>
      </c>
      <c r="B25">
        <v>600880</v>
      </c>
      <c r="C25" t="s">
        <v>2786</v>
      </c>
      <c r="D25" t="s">
        <v>219</v>
      </c>
      <c r="E25" t="s">
        <v>37</v>
      </c>
      <c r="F25" t="s">
        <v>2787</v>
      </c>
      <c r="G25" t="s">
        <v>152</v>
      </c>
      <c r="H25" t="s">
        <v>174</v>
      </c>
      <c r="I25" t="s">
        <v>154</v>
      </c>
      <c r="J25">
        <v>19951115</v>
      </c>
    </row>
    <row r="26" spans="1:10">
      <c r="A26" t="s">
        <v>2788</v>
      </c>
      <c r="B26">
        <v>600963</v>
      </c>
      <c r="C26" t="s">
        <v>2789</v>
      </c>
      <c r="D26" t="s">
        <v>168</v>
      </c>
      <c r="E26" t="s">
        <v>30</v>
      </c>
      <c r="F26" t="s">
        <v>2790</v>
      </c>
      <c r="G26" t="s">
        <v>152</v>
      </c>
      <c r="H26" t="s">
        <v>174</v>
      </c>
      <c r="I26" t="s">
        <v>154</v>
      </c>
      <c r="J26">
        <v>20040525</v>
      </c>
    </row>
    <row r="27" spans="1:10">
      <c r="A27" t="s">
        <v>2791</v>
      </c>
      <c r="B27">
        <v>600966</v>
      </c>
      <c r="C27" t="s">
        <v>2792</v>
      </c>
      <c r="D27" t="s">
        <v>198</v>
      </c>
      <c r="E27" t="s">
        <v>30</v>
      </c>
      <c r="F27" t="s">
        <v>2793</v>
      </c>
      <c r="G27" t="s">
        <v>152</v>
      </c>
      <c r="H27" t="s">
        <v>174</v>
      </c>
      <c r="I27" t="s">
        <v>154</v>
      </c>
      <c r="J27">
        <v>20040608</v>
      </c>
    </row>
    <row r="28" spans="1:10">
      <c r="A28" t="s">
        <v>2794</v>
      </c>
      <c r="B28">
        <v>601515</v>
      </c>
      <c r="C28" t="s">
        <v>2795</v>
      </c>
      <c r="D28" t="s">
        <v>223</v>
      </c>
      <c r="E28" t="s">
        <v>37</v>
      </c>
      <c r="F28" t="s">
        <v>2796</v>
      </c>
      <c r="G28" t="s">
        <v>152</v>
      </c>
      <c r="H28" t="s">
        <v>174</v>
      </c>
      <c r="I28" t="s">
        <v>154</v>
      </c>
      <c r="J28">
        <v>20120216</v>
      </c>
    </row>
    <row r="29" spans="1:10">
      <c r="A29" t="s">
        <v>2797</v>
      </c>
      <c r="B29">
        <v>601968</v>
      </c>
      <c r="C29" t="s">
        <v>2798</v>
      </c>
      <c r="D29" t="s">
        <v>172</v>
      </c>
      <c r="E29" t="s">
        <v>37</v>
      </c>
      <c r="F29" t="s">
        <v>2799</v>
      </c>
      <c r="G29" t="s">
        <v>152</v>
      </c>
      <c r="H29" t="s">
        <v>174</v>
      </c>
      <c r="I29" t="s">
        <v>154</v>
      </c>
      <c r="J29">
        <v>20150611</v>
      </c>
    </row>
    <row r="30" spans="1:10">
      <c r="A30" t="s">
        <v>2800</v>
      </c>
      <c r="B30">
        <v>601996</v>
      </c>
      <c r="C30" t="s">
        <v>2801</v>
      </c>
      <c r="D30" t="s">
        <v>345</v>
      </c>
      <c r="E30" t="s">
        <v>21</v>
      </c>
      <c r="F30" t="s">
        <v>2802</v>
      </c>
      <c r="G30" t="s">
        <v>152</v>
      </c>
      <c r="H30" t="s">
        <v>174</v>
      </c>
      <c r="I30" t="s">
        <v>154</v>
      </c>
      <c r="J30">
        <v>20110929</v>
      </c>
    </row>
    <row r="31" spans="1:10">
      <c r="A31" t="s">
        <v>2803</v>
      </c>
      <c r="B31">
        <v>603008</v>
      </c>
      <c r="C31" t="s">
        <v>2804</v>
      </c>
      <c r="D31" t="s">
        <v>423</v>
      </c>
      <c r="E31" t="s">
        <v>21</v>
      </c>
      <c r="F31" t="s">
        <v>2805</v>
      </c>
      <c r="G31" t="s">
        <v>152</v>
      </c>
      <c r="H31" t="s">
        <v>174</v>
      </c>
      <c r="I31" t="s">
        <v>154</v>
      </c>
      <c r="J31">
        <v>20120717</v>
      </c>
    </row>
    <row r="32" spans="1:10">
      <c r="A32" t="s">
        <v>2806</v>
      </c>
      <c r="B32">
        <v>603021</v>
      </c>
      <c r="C32" t="s">
        <v>2807</v>
      </c>
      <c r="D32" t="s">
        <v>198</v>
      </c>
      <c r="E32" t="s">
        <v>21</v>
      </c>
      <c r="F32" t="s">
        <v>2808</v>
      </c>
      <c r="G32" t="s">
        <v>152</v>
      </c>
      <c r="H32" t="s">
        <v>174</v>
      </c>
      <c r="I32" t="s">
        <v>154</v>
      </c>
      <c r="J32">
        <v>20150423</v>
      </c>
    </row>
    <row r="33" spans="1:10">
      <c r="A33" t="s">
        <v>2809</v>
      </c>
      <c r="B33">
        <v>603022</v>
      </c>
      <c r="C33" t="s">
        <v>2810</v>
      </c>
      <c r="D33" t="s">
        <v>172</v>
      </c>
      <c r="E33" t="s">
        <v>37</v>
      </c>
      <c r="F33" t="s">
        <v>2811</v>
      </c>
      <c r="G33" t="s">
        <v>152</v>
      </c>
      <c r="H33" t="s">
        <v>174</v>
      </c>
      <c r="I33" t="s">
        <v>154</v>
      </c>
      <c r="J33">
        <v>20150518</v>
      </c>
    </row>
    <row r="34" spans="1:10">
      <c r="A34" t="s">
        <v>2812</v>
      </c>
      <c r="B34">
        <v>603038</v>
      </c>
      <c r="C34" t="s">
        <v>2813</v>
      </c>
      <c r="D34" t="s">
        <v>223</v>
      </c>
      <c r="E34" t="s">
        <v>21</v>
      </c>
      <c r="F34" t="s">
        <v>2814</v>
      </c>
      <c r="G34" t="s">
        <v>152</v>
      </c>
      <c r="H34" t="s">
        <v>174</v>
      </c>
      <c r="I34" t="s">
        <v>154</v>
      </c>
      <c r="J34">
        <v>20170116</v>
      </c>
    </row>
    <row r="35" spans="1:10">
      <c r="A35" t="s">
        <v>2815</v>
      </c>
      <c r="B35">
        <v>603058</v>
      </c>
      <c r="C35" t="s">
        <v>2816</v>
      </c>
      <c r="D35" t="s">
        <v>463</v>
      </c>
      <c r="E35" t="s">
        <v>37</v>
      </c>
      <c r="F35" t="s">
        <v>2817</v>
      </c>
      <c r="G35" t="s">
        <v>152</v>
      </c>
      <c r="H35" t="s">
        <v>174</v>
      </c>
      <c r="I35" t="s">
        <v>154</v>
      </c>
      <c r="J35">
        <v>20161223</v>
      </c>
    </row>
    <row r="36" spans="1:10">
      <c r="A36" t="s">
        <v>2818</v>
      </c>
      <c r="B36">
        <v>603165</v>
      </c>
      <c r="C36" t="s">
        <v>2819</v>
      </c>
      <c r="D36" t="s">
        <v>423</v>
      </c>
      <c r="E36" t="s">
        <v>30</v>
      </c>
      <c r="F36" t="s">
        <v>2820</v>
      </c>
      <c r="G36" t="s">
        <v>152</v>
      </c>
      <c r="H36" t="s">
        <v>174</v>
      </c>
      <c r="I36" t="s">
        <v>154</v>
      </c>
      <c r="J36">
        <v>20170117</v>
      </c>
    </row>
    <row r="37" spans="1:10">
      <c r="A37" t="s">
        <v>2821</v>
      </c>
      <c r="B37">
        <v>603180</v>
      </c>
      <c r="C37" t="s">
        <v>2822</v>
      </c>
      <c r="D37" t="s">
        <v>150</v>
      </c>
      <c r="E37" t="s">
        <v>21</v>
      </c>
      <c r="F37" t="s">
        <v>2823</v>
      </c>
      <c r="G37" t="s">
        <v>152</v>
      </c>
      <c r="H37" t="s">
        <v>174</v>
      </c>
      <c r="I37" t="s">
        <v>154</v>
      </c>
      <c r="J37">
        <v>20170512</v>
      </c>
    </row>
    <row r="38" spans="1:10">
      <c r="A38" t="s">
        <v>2824</v>
      </c>
      <c r="B38">
        <v>603208</v>
      </c>
      <c r="C38" t="s">
        <v>2825</v>
      </c>
      <c r="D38" t="s">
        <v>423</v>
      </c>
      <c r="E38" t="s">
        <v>21</v>
      </c>
      <c r="F38" t="s">
        <v>2826</v>
      </c>
      <c r="G38" t="s">
        <v>152</v>
      </c>
      <c r="H38" t="s">
        <v>174</v>
      </c>
      <c r="I38" t="s">
        <v>154</v>
      </c>
      <c r="J38">
        <v>20170210</v>
      </c>
    </row>
    <row r="39" spans="1:10">
      <c r="A39" t="s">
        <v>2827</v>
      </c>
      <c r="B39">
        <v>603216</v>
      </c>
      <c r="C39" t="s">
        <v>2828</v>
      </c>
      <c r="D39" t="s">
        <v>423</v>
      </c>
      <c r="E39" t="s">
        <v>21</v>
      </c>
      <c r="F39" t="s">
        <v>2829</v>
      </c>
      <c r="G39" t="s">
        <v>152</v>
      </c>
      <c r="H39" t="s">
        <v>174</v>
      </c>
      <c r="I39" t="s">
        <v>154</v>
      </c>
      <c r="J39">
        <v>20211215</v>
      </c>
    </row>
    <row r="40" spans="1:10">
      <c r="A40" t="s">
        <v>2830</v>
      </c>
      <c r="B40">
        <v>603221</v>
      </c>
      <c r="C40" t="s">
        <v>2831</v>
      </c>
      <c r="D40" t="s">
        <v>212</v>
      </c>
      <c r="E40" t="s">
        <v>21</v>
      </c>
      <c r="F40" t="s">
        <v>2832</v>
      </c>
      <c r="G40" t="s">
        <v>152</v>
      </c>
      <c r="H40" t="s">
        <v>174</v>
      </c>
      <c r="I40" t="s">
        <v>154</v>
      </c>
      <c r="J40">
        <v>20200323</v>
      </c>
    </row>
    <row r="41" spans="1:10">
      <c r="A41" t="s">
        <v>2833</v>
      </c>
      <c r="B41">
        <v>603226</v>
      </c>
      <c r="C41" t="s">
        <v>2834</v>
      </c>
      <c r="D41" t="s">
        <v>172</v>
      </c>
      <c r="E41" t="s">
        <v>21</v>
      </c>
      <c r="F41" t="s">
        <v>2835</v>
      </c>
      <c r="G41" t="s">
        <v>152</v>
      </c>
      <c r="H41" t="s">
        <v>174</v>
      </c>
      <c r="I41" t="s">
        <v>154</v>
      </c>
      <c r="J41">
        <v>20170615</v>
      </c>
    </row>
    <row r="42" spans="1:10">
      <c r="A42" t="s">
        <v>2836</v>
      </c>
      <c r="B42">
        <v>603268</v>
      </c>
      <c r="C42" t="s">
        <v>2837</v>
      </c>
      <c r="D42" t="s">
        <v>223</v>
      </c>
      <c r="E42" t="s">
        <v>21</v>
      </c>
      <c r="F42" t="s">
        <v>2838</v>
      </c>
      <c r="G42" t="s">
        <v>152</v>
      </c>
      <c r="H42" t="s">
        <v>174</v>
      </c>
      <c r="I42" t="s">
        <v>154</v>
      </c>
      <c r="J42">
        <v>20150319</v>
      </c>
    </row>
    <row r="43" spans="1:10">
      <c r="A43" t="s">
        <v>2839</v>
      </c>
      <c r="B43">
        <v>603272</v>
      </c>
      <c r="C43" t="s">
        <v>2840</v>
      </c>
      <c r="D43" t="s">
        <v>423</v>
      </c>
      <c r="E43" t="s">
        <v>21</v>
      </c>
      <c r="F43" t="s">
        <v>2841</v>
      </c>
      <c r="G43" t="s">
        <v>152</v>
      </c>
      <c r="H43" t="s">
        <v>174</v>
      </c>
      <c r="I43" t="s">
        <v>154</v>
      </c>
      <c r="J43">
        <v>20220520</v>
      </c>
    </row>
    <row r="44" spans="1:10">
      <c r="A44" t="s">
        <v>2842</v>
      </c>
      <c r="B44">
        <v>603313</v>
      </c>
      <c r="C44" t="s">
        <v>2843</v>
      </c>
      <c r="D44" t="s">
        <v>212</v>
      </c>
      <c r="E44" t="s">
        <v>21</v>
      </c>
      <c r="F44" t="s">
        <v>2844</v>
      </c>
      <c r="G44" t="s">
        <v>152</v>
      </c>
      <c r="H44" t="s">
        <v>174</v>
      </c>
      <c r="I44" t="s">
        <v>154</v>
      </c>
      <c r="J44">
        <v>20161013</v>
      </c>
    </row>
    <row r="45" spans="1:10">
      <c r="A45" t="s">
        <v>2845</v>
      </c>
      <c r="B45">
        <v>603326</v>
      </c>
      <c r="C45" t="s">
        <v>2846</v>
      </c>
      <c r="D45" t="s">
        <v>212</v>
      </c>
      <c r="E45" t="s">
        <v>21</v>
      </c>
      <c r="F45" t="s">
        <v>2847</v>
      </c>
      <c r="G45" t="s">
        <v>152</v>
      </c>
      <c r="H45" t="s">
        <v>174</v>
      </c>
      <c r="I45" t="s">
        <v>154</v>
      </c>
      <c r="J45">
        <v>20170616</v>
      </c>
    </row>
    <row r="46" spans="1:10">
      <c r="A46" t="s">
        <v>2848</v>
      </c>
      <c r="B46">
        <v>603385</v>
      </c>
      <c r="C46" t="s">
        <v>2849</v>
      </c>
      <c r="D46" t="s">
        <v>279</v>
      </c>
      <c r="E46" t="s">
        <v>21</v>
      </c>
      <c r="F46" t="s">
        <v>2850</v>
      </c>
      <c r="G46" t="s">
        <v>152</v>
      </c>
      <c r="H46" t="s">
        <v>174</v>
      </c>
      <c r="I46" t="s">
        <v>154</v>
      </c>
      <c r="J46">
        <v>20170405</v>
      </c>
    </row>
    <row r="47" spans="1:10">
      <c r="A47" t="s">
        <v>2851</v>
      </c>
      <c r="B47">
        <v>603389</v>
      </c>
      <c r="C47" t="s">
        <v>2852</v>
      </c>
      <c r="D47" t="s">
        <v>212</v>
      </c>
      <c r="E47" t="s">
        <v>21</v>
      </c>
      <c r="F47" t="s">
        <v>2853</v>
      </c>
      <c r="G47" t="s">
        <v>152</v>
      </c>
      <c r="H47" t="s">
        <v>174</v>
      </c>
      <c r="I47" t="s">
        <v>154</v>
      </c>
      <c r="J47">
        <v>20161215</v>
      </c>
    </row>
    <row r="48" spans="1:10">
      <c r="A48" t="s">
        <v>2854</v>
      </c>
      <c r="B48">
        <v>603408</v>
      </c>
      <c r="C48" t="s">
        <v>2855</v>
      </c>
      <c r="D48" t="s">
        <v>150</v>
      </c>
      <c r="E48" t="s">
        <v>21</v>
      </c>
      <c r="F48" t="s">
        <v>2856</v>
      </c>
      <c r="G48" t="s">
        <v>152</v>
      </c>
      <c r="H48" t="s">
        <v>174</v>
      </c>
      <c r="I48" t="s">
        <v>154</v>
      </c>
      <c r="J48">
        <v>20200730</v>
      </c>
    </row>
    <row r="49" spans="1:10">
      <c r="A49" t="s">
        <v>2857</v>
      </c>
      <c r="B49">
        <v>603429</v>
      </c>
      <c r="C49" t="s">
        <v>2858</v>
      </c>
      <c r="D49" t="s">
        <v>160</v>
      </c>
      <c r="E49" t="s">
        <v>37</v>
      </c>
      <c r="F49" t="s">
        <v>2859</v>
      </c>
      <c r="G49" t="s">
        <v>152</v>
      </c>
      <c r="H49" t="s">
        <v>174</v>
      </c>
      <c r="I49" t="s">
        <v>154</v>
      </c>
      <c r="J49">
        <v>20170124</v>
      </c>
    </row>
    <row r="50" spans="1:10">
      <c r="A50" t="s">
        <v>2860</v>
      </c>
      <c r="B50">
        <v>603499</v>
      </c>
      <c r="C50" t="s">
        <v>2861</v>
      </c>
      <c r="D50" t="s">
        <v>172</v>
      </c>
      <c r="E50" t="s">
        <v>37</v>
      </c>
      <c r="F50" t="s">
        <v>2862</v>
      </c>
      <c r="G50" t="s">
        <v>152</v>
      </c>
      <c r="H50" t="s">
        <v>174</v>
      </c>
      <c r="I50" t="s">
        <v>154</v>
      </c>
      <c r="J50">
        <v>20171016</v>
      </c>
    </row>
    <row r="51" spans="1:10">
      <c r="A51" t="s">
        <v>2863</v>
      </c>
      <c r="B51">
        <v>603551</v>
      </c>
      <c r="C51" t="s">
        <v>2864</v>
      </c>
      <c r="D51" t="s">
        <v>423</v>
      </c>
      <c r="E51" t="s">
        <v>21</v>
      </c>
      <c r="F51" t="s">
        <v>2865</v>
      </c>
      <c r="G51" t="s">
        <v>152</v>
      </c>
      <c r="H51" t="s">
        <v>174</v>
      </c>
      <c r="I51" t="s">
        <v>154</v>
      </c>
      <c r="J51">
        <v>20200115</v>
      </c>
    </row>
    <row r="52" spans="1:10">
      <c r="A52" t="s">
        <v>2866</v>
      </c>
      <c r="B52">
        <v>603600</v>
      </c>
      <c r="C52" t="s">
        <v>2867</v>
      </c>
      <c r="D52" t="s">
        <v>423</v>
      </c>
      <c r="E52" t="s">
        <v>21</v>
      </c>
      <c r="F52" t="s">
        <v>2868</v>
      </c>
      <c r="G52" t="s">
        <v>152</v>
      </c>
      <c r="H52" t="s">
        <v>174</v>
      </c>
      <c r="I52" t="s">
        <v>154</v>
      </c>
      <c r="J52">
        <v>20150123</v>
      </c>
    </row>
    <row r="53" spans="1:10">
      <c r="A53" t="s">
        <v>2869</v>
      </c>
      <c r="B53">
        <v>603607</v>
      </c>
      <c r="C53" t="s">
        <v>2870</v>
      </c>
      <c r="D53" t="s">
        <v>423</v>
      </c>
      <c r="E53" t="s">
        <v>30</v>
      </c>
      <c r="F53" t="s">
        <v>2871</v>
      </c>
      <c r="G53" t="s">
        <v>152</v>
      </c>
      <c r="H53" t="s">
        <v>174</v>
      </c>
      <c r="I53" t="s">
        <v>154</v>
      </c>
      <c r="J53">
        <v>20171025</v>
      </c>
    </row>
    <row r="54" spans="1:10">
      <c r="A54" t="s">
        <v>2872</v>
      </c>
      <c r="B54">
        <v>603610</v>
      </c>
      <c r="C54" t="s">
        <v>2873</v>
      </c>
      <c r="D54" t="s">
        <v>423</v>
      </c>
      <c r="E54" t="s">
        <v>21</v>
      </c>
      <c r="F54" t="s">
        <v>2874</v>
      </c>
      <c r="G54" t="s">
        <v>152</v>
      </c>
      <c r="H54" t="s">
        <v>174</v>
      </c>
      <c r="I54" t="s">
        <v>154</v>
      </c>
      <c r="J54">
        <v>20191029</v>
      </c>
    </row>
    <row r="55" spans="1:10">
      <c r="A55" t="s">
        <v>2875</v>
      </c>
      <c r="B55">
        <v>603615</v>
      </c>
      <c r="C55" t="s">
        <v>2876</v>
      </c>
      <c r="D55" t="s">
        <v>150</v>
      </c>
      <c r="E55" t="s">
        <v>21</v>
      </c>
      <c r="F55" t="s">
        <v>2877</v>
      </c>
      <c r="G55" t="s">
        <v>152</v>
      </c>
      <c r="H55" t="s">
        <v>174</v>
      </c>
      <c r="I55" t="s">
        <v>154</v>
      </c>
      <c r="J55">
        <v>20170213</v>
      </c>
    </row>
    <row r="56" spans="1:10">
      <c r="A56" t="s">
        <v>2878</v>
      </c>
      <c r="B56">
        <v>603661</v>
      </c>
      <c r="C56" t="s">
        <v>2879</v>
      </c>
      <c r="D56" t="s">
        <v>423</v>
      </c>
      <c r="E56" t="s">
        <v>21</v>
      </c>
      <c r="F56" t="s">
        <v>2880</v>
      </c>
      <c r="G56" t="s">
        <v>152</v>
      </c>
      <c r="H56" t="s">
        <v>174</v>
      </c>
      <c r="I56" t="s">
        <v>154</v>
      </c>
      <c r="J56">
        <v>20171121</v>
      </c>
    </row>
    <row r="57" spans="1:10">
      <c r="A57" t="s">
        <v>2881</v>
      </c>
      <c r="B57">
        <v>603687</v>
      </c>
      <c r="C57" t="s">
        <v>2882</v>
      </c>
      <c r="D57" t="s">
        <v>423</v>
      </c>
      <c r="E57" t="s">
        <v>37</v>
      </c>
      <c r="F57" t="s">
        <v>2883</v>
      </c>
      <c r="G57" t="s">
        <v>152</v>
      </c>
      <c r="H57" t="s">
        <v>174</v>
      </c>
      <c r="I57" t="s">
        <v>154</v>
      </c>
      <c r="J57">
        <v>20190726</v>
      </c>
    </row>
    <row r="58" spans="1:10">
      <c r="A58" t="s">
        <v>2884</v>
      </c>
      <c r="B58">
        <v>603709</v>
      </c>
      <c r="C58" t="s">
        <v>2885</v>
      </c>
      <c r="D58" t="s">
        <v>423</v>
      </c>
      <c r="E58" t="s">
        <v>21</v>
      </c>
      <c r="F58" t="s">
        <v>2886</v>
      </c>
      <c r="G58" t="s">
        <v>152</v>
      </c>
      <c r="H58" t="s">
        <v>174</v>
      </c>
      <c r="I58" t="s">
        <v>154</v>
      </c>
      <c r="J58">
        <v>20180208</v>
      </c>
    </row>
    <row r="59" spans="1:10">
      <c r="A59" t="s">
        <v>2887</v>
      </c>
      <c r="B59">
        <v>603729</v>
      </c>
      <c r="C59" t="s">
        <v>2888</v>
      </c>
      <c r="D59" t="s">
        <v>172</v>
      </c>
      <c r="E59" t="s">
        <v>37</v>
      </c>
      <c r="F59" t="s">
        <v>2889</v>
      </c>
      <c r="G59" t="s">
        <v>152</v>
      </c>
      <c r="H59" t="s">
        <v>174</v>
      </c>
      <c r="I59" t="s">
        <v>154</v>
      </c>
      <c r="J59">
        <v>20150324</v>
      </c>
    </row>
    <row r="60" spans="1:10">
      <c r="A60" t="s">
        <v>2890</v>
      </c>
      <c r="B60">
        <v>603733</v>
      </c>
      <c r="C60" t="s">
        <v>2891</v>
      </c>
      <c r="D60" t="s">
        <v>423</v>
      </c>
      <c r="E60" t="s">
        <v>30</v>
      </c>
      <c r="F60" t="s">
        <v>2892</v>
      </c>
      <c r="G60" t="s">
        <v>152</v>
      </c>
      <c r="H60" t="s">
        <v>174</v>
      </c>
      <c r="I60" t="s">
        <v>154</v>
      </c>
      <c r="J60">
        <v>20180420</v>
      </c>
    </row>
    <row r="61" spans="1:10">
      <c r="A61" t="s">
        <v>2893</v>
      </c>
      <c r="B61">
        <v>603801</v>
      </c>
      <c r="C61" t="s">
        <v>2894</v>
      </c>
      <c r="D61" t="s">
        <v>160</v>
      </c>
      <c r="E61" t="s">
        <v>21</v>
      </c>
      <c r="F61" t="s">
        <v>2895</v>
      </c>
      <c r="G61" t="s">
        <v>152</v>
      </c>
      <c r="H61" t="s">
        <v>174</v>
      </c>
      <c r="I61" t="s">
        <v>154</v>
      </c>
      <c r="J61">
        <v>20170630</v>
      </c>
    </row>
    <row r="62" spans="1:10">
      <c r="A62" t="s">
        <v>2896</v>
      </c>
      <c r="B62">
        <v>603816</v>
      </c>
      <c r="C62" t="s">
        <v>2897</v>
      </c>
      <c r="D62" t="s">
        <v>423</v>
      </c>
      <c r="E62" t="s">
        <v>21</v>
      </c>
      <c r="F62" t="s">
        <v>2898</v>
      </c>
      <c r="G62" t="s">
        <v>152</v>
      </c>
      <c r="H62" t="s">
        <v>174</v>
      </c>
      <c r="I62" t="s">
        <v>154</v>
      </c>
      <c r="J62">
        <v>20161014</v>
      </c>
    </row>
    <row r="63" spans="1:10">
      <c r="A63" t="s">
        <v>2899</v>
      </c>
      <c r="B63">
        <v>603818</v>
      </c>
      <c r="C63" t="s">
        <v>2900</v>
      </c>
      <c r="D63" t="s">
        <v>164</v>
      </c>
      <c r="E63" t="s">
        <v>21</v>
      </c>
      <c r="F63" t="s">
        <v>2901</v>
      </c>
      <c r="G63" t="s">
        <v>152</v>
      </c>
      <c r="H63" t="s">
        <v>174</v>
      </c>
      <c r="I63" t="s">
        <v>154</v>
      </c>
      <c r="J63">
        <v>20150422</v>
      </c>
    </row>
    <row r="64" spans="1:10">
      <c r="A64" t="s">
        <v>2902</v>
      </c>
      <c r="B64">
        <v>603833</v>
      </c>
      <c r="C64" t="s">
        <v>2903</v>
      </c>
      <c r="D64" t="s">
        <v>223</v>
      </c>
      <c r="E64" t="s">
        <v>21</v>
      </c>
      <c r="F64" t="s">
        <v>2904</v>
      </c>
      <c r="G64" t="s">
        <v>152</v>
      </c>
      <c r="H64" t="s">
        <v>174</v>
      </c>
      <c r="I64" t="s">
        <v>154</v>
      </c>
      <c r="J64">
        <v>20170328</v>
      </c>
    </row>
    <row r="65" spans="1:10">
      <c r="A65" t="s">
        <v>2905</v>
      </c>
      <c r="B65">
        <v>603838</v>
      </c>
      <c r="C65" t="s">
        <v>2906</v>
      </c>
      <c r="D65" t="s">
        <v>223</v>
      </c>
      <c r="E65" t="s">
        <v>21</v>
      </c>
      <c r="F65" t="s">
        <v>2907</v>
      </c>
      <c r="G65" t="s">
        <v>152</v>
      </c>
      <c r="H65" t="s">
        <v>174</v>
      </c>
      <c r="I65" t="s">
        <v>154</v>
      </c>
      <c r="J65">
        <v>20150701</v>
      </c>
    </row>
    <row r="66" spans="1:10">
      <c r="A66" t="s">
        <v>2908</v>
      </c>
      <c r="B66">
        <v>603848</v>
      </c>
      <c r="C66" t="s">
        <v>2909</v>
      </c>
      <c r="D66" t="s">
        <v>223</v>
      </c>
      <c r="E66" t="s">
        <v>21</v>
      </c>
      <c r="F66" t="s">
        <v>2910</v>
      </c>
      <c r="G66" t="s">
        <v>152</v>
      </c>
      <c r="H66" t="s">
        <v>174</v>
      </c>
      <c r="I66" t="s">
        <v>154</v>
      </c>
      <c r="J66">
        <v>20171201</v>
      </c>
    </row>
    <row r="67" spans="1:10">
      <c r="A67" t="s">
        <v>2911</v>
      </c>
      <c r="B67">
        <v>603863</v>
      </c>
      <c r="C67" t="s">
        <v>2912</v>
      </c>
      <c r="D67" t="s">
        <v>223</v>
      </c>
      <c r="E67" t="s">
        <v>30</v>
      </c>
      <c r="F67" t="s">
        <v>2913</v>
      </c>
      <c r="G67" t="s">
        <v>152</v>
      </c>
      <c r="H67" t="s">
        <v>174</v>
      </c>
      <c r="I67" t="s">
        <v>154</v>
      </c>
      <c r="J67">
        <v>20190621</v>
      </c>
    </row>
    <row r="68" spans="1:10">
      <c r="A68" t="s">
        <v>2914</v>
      </c>
      <c r="B68">
        <v>603898</v>
      </c>
      <c r="C68" t="s">
        <v>2915</v>
      </c>
      <c r="D68" t="s">
        <v>223</v>
      </c>
      <c r="E68" t="s">
        <v>21</v>
      </c>
      <c r="F68" t="s">
        <v>2916</v>
      </c>
      <c r="G68" t="s">
        <v>152</v>
      </c>
      <c r="H68" t="s">
        <v>174</v>
      </c>
      <c r="I68" t="s">
        <v>154</v>
      </c>
      <c r="J68">
        <v>20150217</v>
      </c>
    </row>
    <row r="69" spans="1:10">
      <c r="A69" t="s">
        <v>2917</v>
      </c>
      <c r="B69">
        <v>603992</v>
      </c>
      <c r="C69" t="s">
        <v>2918</v>
      </c>
      <c r="D69" t="s">
        <v>150</v>
      </c>
      <c r="E69" t="s">
        <v>21</v>
      </c>
      <c r="F69" t="s">
        <v>2919</v>
      </c>
      <c r="G69" t="s">
        <v>152</v>
      </c>
      <c r="H69" t="s">
        <v>174</v>
      </c>
      <c r="I69" t="s">
        <v>154</v>
      </c>
      <c r="J69">
        <v>20190826</v>
      </c>
    </row>
    <row r="70" spans="1:10">
      <c r="A70" t="s">
        <v>2920</v>
      </c>
      <c r="B70">
        <v>605007</v>
      </c>
      <c r="C70" t="s">
        <v>2921</v>
      </c>
      <c r="D70" t="s">
        <v>423</v>
      </c>
      <c r="E70" t="s">
        <v>30</v>
      </c>
      <c r="F70" t="s">
        <v>2922</v>
      </c>
      <c r="G70" t="s">
        <v>152</v>
      </c>
      <c r="H70" t="s">
        <v>174</v>
      </c>
      <c r="I70" t="s">
        <v>154</v>
      </c>
      <c r="J70">
        <v>20201110</v>
      </c>
    </row>
    <row r="71" spans="1:10">
      <c r="A71" t="s">
        <v>2923</v>
      </c>
      <c r="B71">
        <v>605009</v>
      </c>
      <c r="C71" t="s">
        <v>2924</v>
      </c>
      <c r="D71" t="s">
        <v>423</v>
      </c>
      <c r="E71" t="s">
        <v>30</v>
      </c>
      <c r="F71" t="s">
        <v>2925</v>
      </c>
      <c r="G71" t="s">
        <v>152</v>
      </c>
      <c r="H71" t="s">
        <v>174</v>
      </c>
      <c r="I71" t="s">
        <v>154</v>
      </c>
      <c r="J71">
        <v>20200911</v>
      </c>
    </row>
    <row r="72" spans="1:10">
      <c r="A72" s="3" t="s">
        <v>2926</v>
      </c>
      <c r="B72" s="3">
        <v>605155</v>
      </c>
      <c r="C72" s="3" t="s">
        <v>2927</v>
      </c>
      <c r="D72" s="3" t="s">
        <v>423</v>
      </c>
      <c r="E72" s="3" t="s">
        <v>21</v>
      </c>
      <c r="F72" s="3" t="s">
        <v>2928</v>
      </c>
      <c r="G72" s="3" t="s">
        <v>152</v>
      </c>
      <c r="H72" s="3" t="s">
        <v>174</v>
      </c>
      <c r="I72" s="3" t="s">
        <v>154</v>
      </c>
      <c r="J72" s="3">
        <v>20201231</v>
      </c>
    </row>
    <row r="73" spans="1:10">
      <c r="A73" t="s">
        <v>2929</v>
      </c>
      <c r="B73">
        <v>605268</v>
      </c>
      <c r="C73" t="s">
        <v>2930</v>
      </c>
      <c r="D73" t="s">
        <v>423</v>
      </c>
      <c r="E73" t="s">
        <v>21</v>
      </c>
      <c r="F73" t="s">
        <v>2931</v>
      </c>
      <c r="G73" t="s">
        <v>152</v>
      </c>
      <c r="H73" t="s">
        <v>174</v>
      </c>
      <c r="I73" t="s">
        <v>154</v>
      </c>
      <c r="J73">
        <v>20210224</v>
      </c>
    </row>
    <row r="74" spans="1:10">
      <c r="A74" t="s">
        <v>2932</v>
      </c>
      <c r="B74">
        <v>605377</v>
      </c>
      <c r="C74" t="s">
        <v>2933</v>
      </c>
      <c r="D74" t="s">
        <v>423</v>
      </c>
      <c r="E74" t="s">
        <v>30</v>
      </c>
      <c r="F74" t="s">
        <v>2934</v>
      </c>
      <c r="G74" t="s">
        <v>152</v>
      </c>
      <c r="H74" t="s">
        <v>174</v>
      </c>
      <c r="I74" t="s">
        <v>154</v>
      </c>
      <c r="J74">
        <v>20201228</v>
      </c>
    </row>
    <row r="75" spans="1:10">
      <c r="A75" t="s">
        <v>2935</v>
      </c>
      <c r="B75">
        <v>605500</v>
      </c>
      <c r="C75" t="s">
        <v>2936</v>
      </c>
      <c r="D75" t="s">
        <v>423</v>
      </c>
      <c r="E75" t="s">
        <v>30</v>
      </c>
      <c r="F75" t="s">
        <v>2937</v>
      </c>
      <c r="G75" t="s">
        <v>152</v>
      </c>
      <c r="H75" t="s">
        <v>174</v>
      </c>
      <c r="I75" t="s">
        <v>154</v>
      </c>
      <c r="J75">
        <v>20201222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7"/>
  <sheetViews>
    <sheetView topLeftCell="A115" workbookViewId="0">
      <selection activeCell="A146" sqref="A146:J146"/>
    </sheetView>
  </sheetViews>
  <sheetFormatPr defaultColWidth="9" defaultRowHeight="13.5"/>
  <cols>
    <col min="1" max="1" width="16.375" customWidth="1"/>
    <col min="5" max="5" width="11.6916666666667" customWidth="1"/>
    <col min="10" max="10" width="9.375"/>
  </cols>
  <sheetData>
    <row r="1" spans="1:10">
      <c r="A1" t="s">
        <v>2938</v>
      </c>
      <c r="B1">
        <v>28</v>
      </c>
      <c r="C1" t="s">
        <v>2939</v>
      </c>
      <c r="D1" t="s">
        <v>243</v>
      </c>
      <c r="E1" t="s">
        <v>95</v>
      </c>
      <c r="F1" t="s">
        <v>2940</v>
      </c>
      <c r="G1" t="s">
        <v>152</v>
      </c>
      <c r="H1" t="s">
        <v>153</v>
      </c>
      <c r="I1" t="s">
        <v>154</v>
      </c>
      <c r="J1">
        <v>19930809</v>
      </c>
    </row>
    <row r="2" spans="1:10">
      <c r="A2" s="3" t="s">
        <v>2941</v>
      </c>
      <c r="B2" s="3">
        <v>153</v>
      </c>
      <c r="C2" s="3" t="s">
        <v>2942</v>
      </c>
      <c r="D2" s="3" t="s">
        <v>160</v>
      </c>
      <c r="E2" s="3" t="s">
        <v>81</v>
      </c>
      <c r="F2" s="3" t="s">
        <v>2943</v>
      </c>
      <c r="G2" s="3" t="s">
        <v>152</v>
      </c>
      <c r="H2" s="3" t="s">
        <v>153</v>
      </c>
      <c r="I2" s="3" t="s">
        <v>154</v>
      </c>
      <c r="J2" s="3">
        <v>20000920</v>
      </c>
    </row>
    <row r="3" spans="1:10">
      <c r="A3" t="s">
        <v>2944</v>
      </c>
      <c r="B3">
        <v>931</v>
      </c>
      <c r="C3" t="s">
        <v>2945</v>
      </c>
      <c r="D3" t="s">
        <v>164</v>
      </c>
      <c r="E3" t="s">
        <v>81</v>
      </c>
      <c r="F3" t="s">
        <v>2946</v>
      </c>
      <c r="G3" t="s">
        <v>152</v>
      </c>
      <c r="H3" t="s">
        <v>153</v>
      </c>
      <c r="I3" t="s">
        <v>154</v>
      </c>
      <c r="J3">
        <v>19990712</v>
      </c>
    </row>
    <row r="4" spans="1:10">
      <c r="A4" t="s">
        <v>2947</v>
      </c>
      <c r="B4">
        <v>600062</v>
      </c>
      <c r="C4" t="s">
        <v>2948</v>
      </c>
      <c r="D4" t="s">
        <v>164</v>
      </c>
      <c r="E4" t="s">
        <v>81</v>
      </c>
      <c r="F4" t="s">
        <v>2949</v>
      </c>
      <c r="G4" t="s">
        <v>152</v>
      </c>
      <c r="H4" t="s">
        <v>174</v>
      </c>
      <c r="I4" t="s">
        <v>154</v>
      </c>
      <c r="J4">
        <v>19970522</v>
      </c>
    </row>
    <row r="5" spans="1:10">
      <c r="A5" t="s">
        <v>2950</v>
      </c>
      <c r="B5">
        <v>601089</v>
      </c>
      <c r="C5" t="s">
        <v>2951</v>
      </c>
      <c r="D5" t="s">
        <v>164</v>
      </c>
      <c r="E5" t="s">
        <v>81</v>
      </c>
      <c r="F5" t="s">
        <v>2952</v>
      </c>
      <c r="G5" t="s">
        <v>152</v>
      </c>
      <c r="H5" t="s">
        <v>174</v>
      </c>
      <c r="I5" t="s">
        <v>154</v>
      </c>
      <c r="J5">
        <v>20220630</v>
      </c>
    </row>
    <row r="6" spans="1:10">
      <c r="A6" t="s">
        <v>2953</v>
      </c>
      <c r="B6">
        <v>513</v>
      </c>
      <c r="C6" t="s">
        <v>2954</v>
      </c>
      <c r="D6" t="s">
        <v>223</v>
      </c>
      <c r="E6" t="s">
        <v>81</v>
      </c>
      <c r="F6" t="s">
        <v>2955</v>
      </c>
      <c r="G6" t="s">
        <v>152</v>
      </c>
      <c r="H6" t="s">
        <v>153</v>
      </c>
      <c r="I6" t="s">
        <v>154</v>
      </c>
      <c r="J6">
        <v>19931028</v>
      </c>
    </row>
    <row r="7" spans="1:10">
      <c r="A7" t="s">
        <v>2956</v>
      </c>
      <c r="B7">
        <v>953</v>
      </c>
      <c r="C7" t="s">
        <v>2957</v>
      </c>
      <c r="D7" t="s">
        <v>345</v>
      </c>
      <c r="E7" t="s">
        <v>81</v>
      </c>
      <c r="F7" t="s">
        <v>2958</v>
      </c>
      <c r="G7" t="s">
        <v>152</v>
      </c>
      <c r="H7" t="s">
        <v>153</v>
      </c>
      <c r="I7" t="s">
        <v>154</v>
      </c>
      <c r="J7">
        <v>19991202</v>
      </c>
    </row>
    <row r="8" spans="1:10">
      <c r="A8" t="s">
        <v>2959</v>
      </c>
      <c r="B8">
        <v>566</v>
      </c>
      <c r="C8" t="s">
        <v>2960</v>
      </c>
      <c r="D8" t="s">
        <v>250</v>
      </c>
      <c r="E8" t="s">
        <v>81</v>
      </c>
      <c r="F8" t="s">
        <v>2961</v>
      </c>
      <c r="G8" t="s">
        <v>152</v>
      </c>
      <c r="H8" t="s">
        <v>153</v>
      </c>
      <c r="I8" t="s">
        <v>154</v>
      </c>
      <c r="J8">
        <v>19940525</v>
      </c>
    </row>
    <row r="9" spans="1:10">
      <c r="A9" t="s">
        <v>2962</v>
      </c>
      <c r="B9">
        <v>600812</v>
      </c>
      <c r="C9" t="s">
        <v>2963</v>
      </c>
      <c r="D9" t="s">
        <v>279</v>
      </c>
      <c r="E9" t="s">
        <v>81</v>
      </c>
      <c r="F9" t="s">
        <v>2964</v>
      </c>
      <c r="G9" t="s">
        <v>152</v>
      </c>
      <c r="H9" t="s">
        <v>174</v>
      </c>
      <c r="I9" t="s">
        <v>154</v>
      </c>
      <c r="J9">
        <v>19940114</v>
      </c>
    </row>
    <row r="10" spans="1:10">
      <c r="A10" t="s">
        <v>2965</v>
      </c>
      <c r="B10">
        <v>600781</v>
      </c>
      <c r="C10" t="s">
        <v>2966</v>
      </c>
      <c r="D10" t="s">
        <v>292</v>
      </c>
      <c r="E10" t="s">
        <v>81</v>
      </c>
      <c r="F10" t="s">
        <v>2967</v>
      </c>
      <c r="G10" t="s">
        <v>152</v>
      </c>
      <c r="H10" t="s">
        <v>174</v>
      </c>
      <c r="I10" t="s">
        <v>154</v>
      </c>
      <c r="J10">
        <v>19961218</v>
      </c>
    </row>
    <row r="11" spans="1:10">
      <c r="A11" t="s">
        <v>2968</v>
      </c>
      <c r="B11">
        <v>600664</v>
      </c>
      <c r="C11" t="s">
        <v>2969</v>
      </c>
      <c r="D11" t="s">
        <v>194</v>
      </c>
      <c r="E11" t="s">
        <v>81</v>
      </c>
      <c r="F11" t="s">
        <v>2970</v>
      </c>
      <c r="G11" t="s">
        <v>152</v>
      </c>
      <c r="H11" t="s">
        <v>174</v>
      </c>
      <c r="I11" t="s">
        <v>154</v>
      </c>
      <c r="J11">
        <v>19930629</v>
      </c>
    </row>
    <row r="12" spans="1:10">
      <c r="A12" t="s">
        <v>2971</v>
      </c>
      <c r="B12">
        <v>952</v>
      </c>
      <c r="C12" t="s">
        <v>2972</v>
      </c>
      <c r="D12" t="s">
        <v>316</v>
      </c>
      <c r="E12" t="s">
        <v>81</v>
      </c>
      <c r="F12" t="s">
        <v>2973</v>
      </c>
      <c r="G12" t="s">
        <v>152</v>
      </c>
      <c r="H12" t="s">
        <v>153</v>
      </c>
      <c r="I12" t="s">
        <v>154</v>
      </c>
      <c r="J12">
        <v>19991112</v>
      </c>
    </row>
    <row r="13" spans="1:10">
      <c r="A13" t="s">
        <v>2974</v>
      </c>
      <c r="B13">
        <v>600079</v>
      </c>
      <c r="C13" t="s">
        <v>2975</v>
      </c>
      <c r="D13" t="s">
        <v>316</v>
      </c>
      <c r="E13" t="s">
        <v>81</v>
      </c>
      <c r="F13" t="s">
        <v>2976</v>
      </c>
      <c r="G13" t="s">
        <v>152</v>
      </c>
      <c r="H13" t="s">
        <v>174</v>
      </c>
      <c r="I13" t="s">
        <v>154</v>
      </c>
      <c r="J13">
        <v>19970606</v>
      </c>
    </row>
    <row r="14" spans="1:10">
      <c r="A14" t="s">
        <v>2977</v>
      </c>
      <c r="B14">
        <v>600774</v>
      </c>
      <c r="C14" t="s">
        <v>2978</v>
      </c>
      <c r="D14" t="s">
        <v>316</v>
      </c>
      <c r="E14" t="s">
        <v>81</v>
      </c>
      <c r="F14" t="s">
        <v>2979</v>
      </c>
      <c r="G14" t="s">
        <v>152</v>
      </c>
      <c r="H14" t="s">
        <v>174</v>
      </c>
      <c r="I14" t="s">
        <v>154</v>
      </c>
      <c r="J14">
        <v>19961108</v>
      </c>
    </row>
    <row r="15" spans="1:10">
      <c r="A15" t="s">
        <v>2980</v>
      </c>
      <c r="B15">
        <v>908</v>
      </c>
      <c r="C15" t="s">
        <v>2981</v>
      </c>
      <c r="D15" t="s">
        <v>168</v>
      </c>
      <c r="E15" t="s">
        <v>81</v>
      </c>
      <c r="F15" t="s">
        <v>2982</v>
      </c>
      <c r="G15" t="s">
        <v>152</v>
      </c>
      <c r="H15" t="s">
        <v>153</v>
      </c>
      <c r="I15" t="s">
        <v>154</v>
      </c>
      <c r="J15">
        <v>19990203</v>
      </c>
    </row>
    <row r="16" spans="1:10">
      <c r="A16" t="s">
        <v>2983</v>
      </c>
      <c r="B16">
        <v>766</v>
      </c>
      <c r="C16" t="s">
        <v>2984</v>
      </c>
      <c r="D16" t="s">
        <v>312</v>
      </c>
      <c r="E16" t="s">
        <v>81</v>
      </c>
      <c r="F16" t="s">
        <v>2985</v>
      </c>
      <c r="G16" t="s">
        <v>152</v>
      </c>
      <c r="H16" t="s">
        <v>153</v>
      </c>
      <c r="I16" t="s">
        <v>154</v>
      </c>
      <c r="J16">
        <v>19970430</v>
      </c>
    </row>
    <row r="17" spans="1:10">
      <c r="A17" t="s">
        <v>2986</v>
      </c>
      <c r="B17">
        <v>919</v>
      </c>
      <c r="C17" t="s">
        <v>2987</v>
      </c>
      <c r="D17" t="s">
        <v>212</v>
      </c>
      <c r="E17" t="s">
        <v>81</v>
      </c>
      <c r="F17" t="s">
        <v>2988</v>
      </c>
      <c r="G17" t="s">
        <v>152</v>
      </c>
      <c r="H17" t="s">
        <v>153</v>
      </c>
      <c r="I17" t="s">
        <v>154</v>
      </c>
      <c r="J17">
        <v>19991118</v>
      </c>
    </row>
    <row r="18" spans="1:10">
      <c r="A18" t="s">
        <v>2989</v>
      </c>
      <c r="B18">
        <v>600200</v>
      </c>
      <c r="C18" t="s">
        <v>2990</v>
      </c>
      <c r="D18" t="s">
        <v>212</v>
      </c>
      <c r="E18" t="s">
        <v>81</v>
      </c>
      <c r="F18" t="s">
        <v>2991</v>
      </c>
      <c r="G18" t="s">
        <v>152</v>
      </c>
      <c r="H18" t="s">
        <v>174</v>
      </c>
      <c r="I18" t="s">
        <v>154</v>
      </c>
      <c r="J18">
        <v>19990401</v>
      </c>
    </row>
    <row r="19" spans="1:10">
      <c r="A19" t="s">
        <v>2992</v>
      </c>
      <c r="B19">
        <v>600276</v>
      </c>
      <c r="C19" t="s">
        <v>2993</v>
      </c>
      <c r="D19" t="s">
        <v>212</v>
      </c>
      <c r="E19" t="s">
        <v>81</v>
      </c>
      <c r="F19" t="s">
        <v>2994</v>
      </c>
      <c r="G19" t="s">
        <v>152</v>
      </c>
      <c r="H19" t="s">
        <v>174</v>
      </c>
      <c r="I19" t="s">
        <v>154</v>
      </c>
      <c r="J19">
        <v>20001018</v>
      </c>
    </row>
    <row r="20" spans="1:10">
      <c r="A20" t="s">
        <v>2995</v>
      </c>
      <c r="B20">
        <v>600513</v>
      </c>
      <c r="C20" t="s">
        <v>2996</v>
      </c>
      <c r="D20" t="s">
        <v>212</v>
      </c>
      <c r="E20" t="s">
        <v>81</v>
      </c>
      <c r="F20" t="s">
        <v>2997</v>
      </c>
      <c r="G20" t="s">
        <v>152</v>
      </c>
      <c r="H20" t="s">
        <v>174</v>
      </c>
      <c r="I20" t="s">
        <v>154</v>
      </c>
      <c r="J20">
        <v>20030319</v>
      </c>
    </row>
    <row r="21" spans="1:10">
      <c r="A21" t="s">
        <v>2998</v>
      </c>
      <c r="B21">
        <v>603259</v>
      </c>
      <c r="C21" t="s">
        <v>2999</v>
      </c>
      <c r="D21" t="s">
        <v>212</v>
      </c>
      <c r="E21" t="s">
        <v>81</v>
      </c>
      <c r="F21" t="s">
        <v>3000</v>
      </c>
      <c r="G21" t="s">
        <v>152</v>
      </c>
      <c r="H21" t="s">
        <v>174</v>
      </c>
      <c r="I21" t="s">
        <v>154</v>
      </c>
      <c r="J21">
        <v>20180508</v>
      </c>
    </row>
    <row r="22" spans="1:10">
      <c r="A22" t="s">
        <v>3001</v>
      </c>
      <c r="B22">
        <v>603351</v>
      </c>
      <c r="C22" t="s">
        <v>3002</v>
      </c>
      <c r="D22" t="s">
        <v>212</v>
      </c>
      <c r="E22" t="s">
        <v>81</v>
      </c>
      <c r="F22" t="s">
        <v>3003</v>
      </c>
      <c r="G22" t="s">
        <v>152</v>
      </c>
      <c r="H22" t="s">
        <v>174</v>
      </c>
      <c r="I22" t="s">
        <v>154</v>
      </c>
      <c r="J22">
        <v>20190130</v>
      </c>
    </row>
    <row r="23" spans="1:10">
      <c r="A23" t="s">
        <v>3004</v>
      </c>
      <c r="B23">
        <v>603235</v>
      </c>
      <c r="C23" t="s">
        <v>3005</v>
      </c>
      <c r="D23" t="s">
        <v>406</v>
      </c>
      <c r="E23" t="s">
        <v>81</v>
      </c>
      <c r="F23" t="s">
        <v>3006</v>
      </c>
      <c r="G23" t="s">
        <v>152</v>
      </c>
      <c r="H23" t="s">
        <v>174</v>
      </c>
      <c r="I23" t="s">
        <v>154</v>
      </c>
      <c r="J23">
        <v>20220712</v>
      </c>
    </row>
    <row r="24" spans="1:13">
      <c r="A24" t="s">
        <v>3007</v>
      </c>
      <c r="B24">
        <v>597</v>
      </c>
      <c r="C24" t="s">
        <v>3008</v>
      </c>
      <c r="D24" t="s">
        <v>236</v>
      </c>
      <c r="E24" t="s">
        <v>81</v>
      </c>
      <c r="F24" t="s">
        <v>3009</v>
      </c>
      <c r="G24" t="s">
        <v>152</v>
      </c>
      <c r="H24" t="s">
        <v>153</v>
      </c>
      <c r="I24" t="s">
        <v>154</v>
      </c>
      <c r="J24">
        <v>19960523</v>
      </c>
      <c r="M24" s="5">
        <f ca="1">CEILING(RAND()*157,1)</f>
        <v>33</v>
      </c>
    </row>
    <row r="25" spans="1:10">
      <c r="A25" t="s">
        <v>3010</v>
      </c>
      <c r="B25">
        <v>756</v>
      </c>
      <c r="C25" t="s">
        <v>3011</v>
      </c>
      <c r="D25" t="s">
        <v>198</v>
      </c>
      <c r="E25" t="s">
        <v>81</v>
      </c>
      <c r="F25" t="s">
        <v>3012</v>
      </c>
      <c r="G25" t="s">
        <v>152</v>
      </c>
      <c r="H25" t="s">
        <v>153</v>
      </c>
      <c r="I25" t="s">
        <v>154</v>
      </c>
      <c r="J25">
        <v>19970806</v>
      </c>
    </row>
    <row r="26" spans="1:10">
      <c r="A26" t="s">
        <v>3013</v>
      </c>
      <c r="B26">
        <v>915</v>
      </c>
      <c r="C26" t="s">
        <v>3014</v>
      </c>
      <c r="D26" t="s">
        <v>198</v>
      </c>
      <c r="E26" t="s">
        <v>81</v>
      </c>
      <c r="F26" t="s">
        <v>3015</v>
      </c>
      <c r="G26" t="s">
        <v>152</v>
      </c>
      <c r="H26" t="s">
        <v>153</v>
      </c>
      <c r="I26" t="s">
        <v>154</v>
      </c>
      <c r="J26">
        <v>19990609</v>
      </c>
    </row>
    <row r="27" spans="1:10">
      <c r="A27" t="s">
        <v>3016</v>
      </c>
      <c r="B27">
        <v>600789</v>
      </c>
      <c r="C27" t="s">
        <v>3017</v>
      </c>
      <c r="D27" t="s">
        <v>198</v>
      </c>
      <c r="E27" t="s">
        <v>81</v>
      </c>
      <c r="F27" t="s">
        <v>3018</v>
      </c>
      <c r="G27" t="s">
        <v>152</v>
      </c>
      <c r="H27" t="s">
        <v>174</v>
      </c>
      <c r="I27" t="s">
        <v>154</v>
      </c>
      <c r="J27">
        <v>19970226</v>
      </c>
    </row>
    <row r="28" spans="1:10">
      <c r="A28" t="s">
        <v>3019</v>
      </c>
      <c r="B28">
        <v>603367</v>
      </c>
      <c r="C28" t="s">
        <v>3020</v>
      </c>
      <c r="D28" t="s">
        <v>198</v>
      </c>
      <c r="E28" t="s">
        <v>81</v>
      </c>
      <c r="F28" t="s">
        <v>3021</v>
      </c>
      <c r="G28" t="s">
        <v>152</v>
      </c>
      <c r="H28" t="s">
        <v>174</v>
      </c>
      <c r="I28" t="s">
        <v>154</v>
      </c>
      <c r="J28">
        <v>20170929</v>
      </c>
    </row>
    <row r="29" spans="1:10">
      <c r="A29" t="s">
        <v>3022</v>
      </c>
      <c r="B29">
        <v>600196</v>
      </c>
      <c r="C29" t="s">
        <v>3023</v>
      </c>
      <c r="D29" t="s">
        <v>172</v>
      </c>
      <c r="E29" t="s">
        <v>81</v>
      </c>
      <c r="F29" t="s">
        <v>3024</v>
      </c>
      <c r="G29" t="s">
        <v>152</v>
      </c>
      <c r="H29" t="s">
        <v>174</v>
      </c>
      <c r="I29" t="s">
        <v>154</v>
      </c>
      <c r="J29">
        <v>19980807</v>
      </c>
    </row>
    <row r="30" spans="1:10">
      <c r="A30" t="s">
        <v>3025</v>
      </c>
      <c r="B30">
        <v>600420</v>
      </c>
      <c r="C30" t="s">
        <v>3026</v>
      </c>
      <c r="D30" t="s">
        <v>172</v>
      </c>
      <c r="E30" t="s">
        <v>81</v>
      </c>
      <c r="F30" t="s">
        <v>3027</v>
      </c>
      <c r="G30" t="s">
        <v>152</v>
      </c>
      <c r="H30" t="s">
        <v>174</v>
      </c>
      <c r="I30" t="s">
        <v>154</v>
      </c>
      <c r="J30">
        <v>20040616</v>
      </c>
    </row>
    <row r="31" spans="1:10">
      <c r="A31" t="s">
        <v>3028</v>
      </c>
      <c r="B31">
        <v>600624</v>
      </c>
      <c r="C31" t="s">
        <v>3029</v>
      </c>
      <c r="D31" t="s">
        <v>172</v>
      </c>
      <c r="E31" t="s">
        <v>81</v>
      </c>
      <c r="F31" t="s">
        <v>3030</v>
      </c>
      <c r="G31" t="s">
        <v>152</v>
      </c>
      <c r="H31" t="s">
        <v>174</v>
      </c>
      <c r="I31" t="s">
        <v>154</v>
      </c>
      <c r="J31">
        <v>19930105</v>
      </c>
    </row>
    <row r="32" spans="1:10">
      <c r="A32" t="s">
        <v>3031</v>
      </c>
      <c r="B32">
        <v>600851</v>
      </c>
      <c r="C32" t="s">
        <v>3032</v>
      </c>
      <c r="D32" t="s">
        <v>172</v>
      </c>
      <c r="E32" t="s">
        <v>81</v>
      </c>
      <c r="F32" t="s">
        <v>3033</v>
      </c>
      <c r="G32" t="s">
        <v>152</v>
      </c>
      <c r="H32" t="s">
        <v>174</v>
      </c>
      <c r="I32" t="s">
        <v>154</v>
      </c>
      <c r="J32">
        <v>19940404</v>
      </c>
    </row>
    <row r="33" spans="1:10">
      <c r="A33" t="s">
        <v>3034</v>
      </c>
      <c r="B33">
        <v>600380</v>
      </c>
      <c r="C33" t="s">
        <v>3035</v>
      </c>
      <c r="D33" t="s">
        <v>243</v>
      </c>
      <c r="E33" t="s">
        <v>81</v>
      </c>
      <c r="F33" t="s">
        <v>3036</v>
      </c>
      <c r="G33" t="s">
        <v>152</v>
      </c>
      <c r="H33" t="s">
        <v>174</v>
      </c>
      <c r="I33" t="s">
        <v>154</v>
      </c>
      <c r="J33">
        <v>20010608</v>
      </c>
    </row>
    <row r="34" spans="1:10">
      <c r="A34" t="s">
        <v>3037</v>
      </c>
      <c r="B34">
        <v>600488</v>
      </c>
      <c r="C34" t="s">
        <v>3038</v>
      </c>
      <c r="D34" t="s">
        <v>576</v>
      </c>
      <c r="E34" t="s">
        <v>81</v>
      </c>
      <c r="F34" t="s">
        <v>3039</v>
      </c>
      <c r="G34" t="s">
        <v>152</v>
      </c>
      <c r="H34" t="s">
        <v>174</v>
      </c>
      <c r="I34" t="s">
        <v>154</v>
      </c>
      <c r="J34">
        <v>20010618</v>
      </c>
    </row>
    <row r="35" spans="1:10">
      <c r="A35" t="s">
        <v>3040</v>
      </c>
      <c r="B35">
        <v>603669</v>
      </c>
      <c r="C35" t="s">
        <v>3041</v>
      </c>
      <c r="D35" t="s">
        <v>1001</v>
      </c>
      <c r="E35" t="s">
        <v>81</v>
      </c>
      <c r="F35" t="s">
        <v>3042</v>
      </c>
      <c r="G35" t="s">
        <v>152</v>
      </c>
      <c r="H35" t="s">
        <v>174</v>
      </c>
      <c r="I35" t="s">
        <v>154</v>
      </c>
      <c r="J35">
        <v>20150528</v>
      </c>
    </row>
    <row r="36" spans="1:10">
      <c r="A36" t="s">
        <v>3043</v>
      </c>
      <c r="B36">
        <v>603676</v>
      </c>
      <c r="C36" t="s">
        <v>3044</v>
      </c>
      <c r="D36" t="s">
        <v>1001</v>
      </c>
      <c r="E36" t="s">
        <v>81</v>
      </c>
      <c r="F36" t="s">
        <v>3045</v>
      </c>
      <c r="G36" t="s">
        <v>152</v>
      </c>
      <c r="H36" t="s">
        <v>174</v>
      </c>
      <c r="I36" t="s">
        <v>154</v>
      </c>
      <c r="J36">
        <v>20170721</v>
      </c>
    </row>
    <row r="37" spans="1:10">
      <c r="A37" t="s">
        <v>3046</v>
      </c>
      <c r="B37">
        <v>813</v>
      </c>
      <c r="C37" t="s">
        <v>3047</v>
      </c>
      <c r="D37" t="s">
        <v>202</v>
      </c>
      <c r="E37" t="s">
        <v>81</v>
      </c>
      <c r="F37" t="s">
        <v>3048</v>
      </c>
      <c r="G37" t="s">
        <v>152</v>
      </c>
      <c r="H37" t="s">
        <v>153</v>
      </c>
      <c r="I37" t="s">
        <v>154</v>
      </c>
      <c r="J37">
        <v>19980519</v>
      </c>
    </row>
    <row r="38" spans="1:10">
      <c r="A38" s="3" t="s">
        <v>3049</v>
      </c>
      <c r="B38" s="3">
        <v>739</v>
      </c>
      <c r="C38" s="3" t="s">
        <v>3050</v>
      </c>
      <c r="D38" s="3" t="s">
        <v>423</v>
      </c>
      <c r="E38" s="3" t="s">
        <v>81</v>
      </c>
      <c r="F38" s="3" t="s">
        <v>3051</v>
      </c>
      <c r="G38" s="3" t="s">
        <v>152</v>
      </c>
      <c r="H38" s="3" t="s">
        <v>153</v>
      </c>
      <c r="I38" s="3" t="s">
        <v>154</v>
      </c>
      <c r="J38" s="3">
        <v>19970509</v>
      </c>
    </row>
    <row r="39" spans="1:10">
      <c r="A39" t="s">
        <v>3052</v>
      </c>
      <c r="B39">
        <v>963</v>
      </c>
      <c r="C39" t="s">
        <v>3053</v>
      </c>
      <c r="D39" t="s">
        <v>423</v>
      </c>
      <c r="E39" t="s">
        <v>81</v>
      </c>
      <c r="F39" t="s">
        <v>3054</v>
      </c>
      <c r="G39" t="s">
        <v>152</v>
      </c>
      <c r="H39" t="s">
        <v>153</v>
      </c>
      <c r="I39" t="s">
        <v>154</v>
      </c>
      <c r="J39">
        <v>20000127</v>
      </c>
    </row>
    <row r="40" spans="1:10">
      <c r="A40" t="s">
        <v>3055</v>
      </c>
      <c r="B40">
        <v>600216</v>
      </c>
      <c r="C40" t="s">
        <v>3056</v>
      </c>
      <c r="D40" t="s">
        <v>423</v>
      </c>
      <c r="E40" t="s">
        <v>81</v>
      </c>
      <c r="F40" t="s">
        <v>3057</v>
      </c>
      <c r="G40" t="s">
        <v>152</v>
      </c>
      <c r="H40" t="s">
        <v>174</v>
      </c>
      <c r="I40" t="s">
        <v>154</v>
      </c>
      <c r="J40">
        <v>19991021</v>
      </c>
    </row>
    <row r="41" spans="1:10">
      <c r="A41" t="s">
        <v>3058</v>
      </c>
      <c r="B41">
        <v>600267</v>
      </c>
      <c r="C41" t="s">
        <v>3059</v>
      </c>
      <c r="D41" t="s">
        <v>423</v>
      </c>
      <c r="E41" t="s">
        <v>81</v>
      </c>
      <c r="F41" t="s">
        <v>3060</v>
      </c>
      <c r="G41" t="s">
        <v>152</v>
      </c>
      <c r="H41" t="s">
        <v>174</v>
      </c>
      <c r="I41" t="s">
        <v>154</v>
      </c>
      <c r="J41">
        <v>20000725</v>
      </c>
    </row>
    <row r="42" spans="1:10">
      <c r="A42" t="s">
        <v>3061</v>
      </c>
      <c r="B42">
        <v>600521</v>
      </c>
      <c r="C42" t="s">
        <v>3062</v>
      </c>
      <c r="D42" t="s">
        <v>423</v>
      </c>
      <c r="E42" t="s">
        <v>81</v>
      </c>
      <c r="F42" t="s">
        <v>3063</v>
      </c>
      <c r="G42" t="s">
        <v>152</v>
      </c>
      <c r="H42" t="s">
        <v>174</v>
      </c>
      <c r="I42" t="s">
        <v>154</v>
      </c>
      <c r="J42">
        <v>20030304</v>
      </c>
    </row>
    <row r="43" spans="1:10">
      <c r="A43" t="s">
        <v>3064</v>
      </c>
      <c r="B43">
        <v>603168</v>
      </c>
      <c r="C43" t="s">
        <v>3065</v>
      </c>
      <c r="D43" t="s">
        <v>423</v>
      </c>
      <c r="E43" t="s">
        <v>81</v>
      </c>
      <c r="F43" t="s">
        <v>3066</v>
      </c>
      <c r="G43" t="s">
        <v>152</v>
      </c>
      <c r="H43" t="s">
        <v>174</v>
      </c>
      <c r="I43" t="s">
        <v>154</v>
      </c>
      <c r="J43">
        <v>20140702</v>
      </c>
    </row>
    <row r="44" spans="1:10">
      <c r="A44" t="s">
        <v>3067</v>
      </c>
      <c r="B44">
        <v>603229</v>
      </c>
      <c r="C44" t="s">
        <v>3068</v>
      </c>
      <c r="D44" t="s">
        <v>423</v>
      </c>
      <c r="E44" t="s">
        <v>81</v>
      </c>
      <c r="F44" t="s">
        <v>3069</v>
      </c>
      <c r="G44" t="s">
        <v>152</v>
      </c>
      <c r="H44" t="s">
        <v>174</v>
      </c>
      <c r="I44" t="s">
        <v>154</v>
      </c>
      <c r="J44">
        <v>20170509</v>
      </c>
    </row>
    <row r="45" spans="1:10">
      <c r="A45" t="s">
        <v>3070</v>
      </c>
      <c r="B45">
        <v>603520</v>
      </c>
      <c r="C45" t="s">
        <v>3071</v>
      </c>
      <c r="D45" t="s">
        <v>423</v>
      </c>
      <c r="E45" t="s">
        <v>81</v>
      </c>
      <c r="F45" t="s">
        <v>3072</v>
      </c>
      <c r="G45" t="s">
        <v>152</v>
      </c>
      <c r="H45" t="s">
        <v>174</v>
      </c>
      <c r="I45" t="s">
        <v>154</v>
      </c>
      <c r="J45">
        <v>20160309</v>
      </c>
    </row>
    <row r="46" spans="1:10">
      <c r="A46" t="s">
        <v>3073</v>
      </c>
      <c r="B46">
        <v>603538</v>
      </c>
      <c r="C46" t="s">
        <v>3074</v>
      </c>
      <c r="D46" t="s">
        <v>423</v>
      </c>
      <c r="E46" t="s">
        <v>81</v>
      </c>
      <c r="F46" t="s">
        <v>3075</v>
      </c>
      <c r="G46" t="s">
        <v>152</v>
      </c>
      <c r="H46" t="s">
        <v>174</v>
      </c>
      <c r="I46" t="s">
        <v>154</v>
      </c>
      <c r="J46">
        <v>20170407</v>
      </c>
    </row>
    <row r="47" spans="1:10">
      <c r="A47" t="s">
        <v>3076</v>
      </c>
      <c r="B47">
        <v>603811</v>
      </c>
      <c r="C47" t="s">
        <v>3077</v>
      </c>
      <c r="D47" t="s">
        <v>423</v>
      </c>
      <c r="E47" t="s">
        <v>81</v>
      </c>
      <c r="F47" t="s">
        <v>3078</v>
      </c>
      <c r="G47" t="s">
        <v>152</v>
      </c>
      <c r="H47" t="s">
        <v>174</v>
      </c>
      <c r="I47" t="s">
        <v>154</v>
      </c>
      <c r="J47">
        <v>20170315</v>
      </c>
    </row>
    <row r="48" spans="1:10">
      <c r="A48" t="s">
        <v>3079</v>
      </c>
      <c r="B48">
        <v>605116</v>
      </c>
      <c r="C48" t="s">
        <v>3080</v>
      </c>
      <c r="D48" t="s">
        <v>423</v>
      </c>
      <c r="E48" t="s">
        <v>81</v>
      </c>
      <c r="F48" t="s">
        <v>3081</v>
      </c>
      <c r="G48" t="s">
        <v>152</v>
      </c>
      <c r="H48" t="s">
        <v>174</v>
      </c>
      <c r="I48" t="s">
        <v>154</v>
      </c>
      <c r="J48">
        <v>20200921</v>
      </c>
    </row>
    <row r="49" spans="1:10">
      <c r="A49" t="s">
        <v>3082</v>
      </c>
      <c r="B49">
        <v>605177</v>
      </c>
      <c r="C49" t="s">
        <v>3083</v>
      </c>
      <c r="D49" t="s">
        <v>423</v>
      </c>
      <c r="E49" t="s">
        <v>81</v>
      </c>
      <c r="F49" t="s">
        <v>3084</v>
      </c>
      <c r="G49" t="s">
        <v>152</v>
      </c>
      <c r="H49" t="s">
        <v>174</v>
      </c>
      <c r="I49" t="s">
        <v>154</v>
      </c>
      <c r="J49">
        <v>20201125</v>
      </c>
    </row>
    <row r="50" spans="1:10">
      <c r="A50" t="s">
        <v>3085</v>
      </c>
      <c r="B50">
        <v>605507</v>
      </c>
      <c r="C50" t="s">
        <v>3086</v>
      </c>
      <c r="D50" t="s">
        <v>423</v>
      </c>
      <c r="E50" t="s">
        <v>81</v>
      </c>
      <c r="F50" t="s">
        <v>3087</v>
      </c>
      <c r="G50" t="s">
        <v>152</v>
      </c>
      <c r="H50" t="s">
        <v>174</v>
      </c>
      <c r="I50" t="s">
        <v>154</v>
      </c>
      <c r="J50">
        <v>20210802</v>
      </c>
    </row>
    <row r="51" spans="1:10">
      <c r="A51" t="s">
        <v>3088</v>
      </c>
      <c r="B51">
        <v>788</v>
      </c>
      <c r="C51" t="s">
        <v>3089</v>
      </c>
      <c r="D51" t="s">
        <v>937</v>
      </c>
      <c r="E51" t="s">
        <v>81</v>
      </c>
      <c r="F51" t="s">
        <v>3090</v>
      </c>
      <c r="G51" t="s">
        <v>152</v>
      </c>
      <c r="H51" t="s">
        <v>153</v>
      </c>
      <c r="I51" t="s">
        <v>154</v>
      </c>
      <c r="J51">
        <v>19970616</v>
      </c>
    </row>
    <row r="52" spans="1:10">
      <c r="A52" t="s">
        <v>3091</v>
      </c>
      <c r="B52">
        <v>600161</v>
      </c>
      <c r="C52" t="s">
        <v>3092</v>
      </c>
      <c r="D52" t="s">
        <v>164</v>
      </c>
      <c r="E52" t="s">
        <v>76</v>
      </c>
      <c r="F52" t="s">
        <v>3093</v>
      </c>
      <c r="G52" t="s">
        <v>152</v>
      </c>
      <c r="H52" t="s">
        <v>174</v>
      </c>
      <c r="I52" t="s">
        <v>154</v>
      </c>
      <c r="J52">
        <v>19980616</v>
      </c>
    </row>
    <row r="53" spans="1:10">
      <c r="A53" s="3" t="s">
        <v>3094</v>
      </c>
      <c r="B53" s="3">
        <v>603087</v>
      </c>
      <c r="C53" s="3" t="s">
        <v>3095</v>
      </c>
      <c r="D53" s="3" t="s">
        <v>164</v>
      </c>
      <c r="E53" s="3" t="s">
        <v>76</v>
      </c>
      <c r="F53" s="3" t="s">
        <v>3096</v>
      </c>
      <c r="G53" s="3" t="s">
        <v>152</v>
      </c>
      <c r="H53" s="3" t="s">
        <v>174</v>
      </c>
      <c r="I53" s="3" t="s">
        <v>154</v>
      </c>
      <c r="J53" s="3">
        <v>20200629</v>
      </c>
    </row>
    <row r="54" spans="1:10">
      <c r="A54" t="s">
        <v>3097</v>
      </c>
      <c r="B54">
        <v>603590</v>
      </c>
      <c r="C54" t="s">
        <v>3098</v>
      </c>
      <c r="D54" t="s">
        <v>164</v>
      </c>
      <c r="E54" t="s">
        <v>76</v>
      </c>
      <c r="F54" t="s">
        <v>3099</v>
      </c>
      <c r="G54" t="s">
        <v>152</v>
      </c>
      <c r="H54" t="s">
        <v>174</v>
      </c>
      <c r="I54" t="s">
        <v>154</v>
      </c>
      <c r="J54">
        <v>20180827</v>
      </c>
    </row>
    <row r="55" spans="1:10">
      <c r="A55" t="s">
        <v>3100</v>
      </c>
      <c r="B55">
        <v>150</v>
      </c>
      <c r="C55" t="s">
        <v>3101</v>
      </c>
      <c r="D55" t="s">
        <v>223</v>
      </c>
      <c r="E55" t="s">
        <v>76</v>
      </c>
      <c r="F55" t="s">
        <v>3102</v>
      </c>
      <c r="G55" t="s">
        <v>152</v>
      </c>
      <c r="H55" t="s">
        <v>153</v>
      </c>
      <c r="I55" t="s">
        <v>154</v>
      </c>
      <c r="J55">
        <v>20000807</v>
      </c>
    </row>
    <row r="56" spans="1:10">
      <c r="A56" t="s">
        <v>3103</v>
      </c>
      <c r="B56">
        <v>534</v>
      </c>
      <c r="C56" t="s">
        <v>3104</v>
      </c>
      <c r="D56" t="s">
        <v>223</v>
      </c>
      <c r="E56" t="s">
        <v>76</v>
      </c>
      <c r="F56" t="s">
        <v>3105</v>
      </c>
      <c r="G56" t="s">
        <v>152</v>
      </c>
      <c r="H56" t="s">
        <v>153</v>
      </c>
      <c r="I56" t="s">
        <v>154</v>
      </c>
      <c r="J56">
        <v>19940110</v>
      </c>
    </row>
    <row r="57" spans="1:10">
      <c r="A57" t="s">
        <v>3106</v>
      </c>
      <c r="B57">
        <v>661</v>
      </c>
      <c r="C57" t="s">
        <v>3107</v>
      </c>
      <c r="D57" t="s">
        <v>312</v>
      </c>
      <c r="E57" t="s">
        <v>76</v>
      </c>
      <c r="F57" t="s">
        <v>3108</v>
      </c>
      <c r="G57" t="s">
        <v>152</v>
      </c>
      <c r="H57" t="s">
        <v>153</v>
      </c>
      <c r="I57" t="s">
        <v>154</v>
      </c>
      <c r="J57">
        <v>19961218</v>
      </c>
    </row>
    <row r="58" spans="1:10">
      <c r="A58" t="s">
        <v>3109</v>
      </c>
      <c r="B58">
        <v>600867</v>
      </c>
      <c r="C58" t="s">
        <v>3110</v>
      </c>
      <c r="D58" t="s">
        <v>312</v>
      </c>
      <c r="E58" t="s">
        <v>76</v>
      </c>
      <c r="F58" t="s">
        <v>3111</v>
      </c>
      <c r="G58" t="s">
        <v>152</v>
      </c>
      <c r="H58" t="s">
        <v>174</v>
      </c>
      <c r="I58" t="s">
        <v>154</v>
      </c>
      <c r="J58">
        <v>19940824</v>
      </c>
    </row>
    <row r="59" spans="1:10">
      <c r="A59" t="s">
        <v>3112</v>
      </c>
      <c r="B59">
        <v>518</v>
      </c>
      <c r="C59" t="s">
        <v>3113</v>
      </c>
      <c r="D59" t="s">
        <v>212</v>
      </c>
      <c r="E59" t="s">
        <v>76</v>
      </c>
      <c r="F59" t="s">
        <v>3114</v>
      </c>
      <c r="G59" t="s">
        <v>152</v>
      </c>
      <c r="H59" t="s">
        <v>153</v>
      </c>
      <c r="I59" t="s">
        <v>154</v>
      </c>
      <c r="J59">
        <v>19930908</v>
      </c>
    </row>
    <row r="60" spans="1:10">
      <c r="A60" t="s">
        <v>3115</v>
      </c>
      <c r="B60">
        <v>600682</v>
      </c>
      <c r="C60" t="s">
        <v>3116</v>
      </c>
      <c r="D60" t="s">
        <v>212</v>
      </c>
      <c r="E60" t="s">
        <v>76</v>
      </c>
      <c r="F60" t="s">
        <v>3117</v>
      </c>
      <c r="G60" t="s">
        <v>152</v>
      </c>
      <c r="H60" t="s">
        <v>174</v>
      </c>
      <c r="I60" t="s">
        <v>154</v>
      </c>
      <c r="J60">
        <v>19931018</v>
      </c>
    </row>
    <row r="61" spans="1:10">
      <c r="A61" t="s">
        <v>3118</v>
      </c>
      <c r="B61">
        <v>603707</v>
      </c>
      <c r="C61" t="s">
        <v>3119</v>
      </c>
      <c r="D61" t="s">
        <v>212</v>
      </c>
      <c r="E61" t="s">
        <v>76</v>
      </c>
      <c r="F61" t="s">
        <v>3120</v>
      </c>
      <c r="G61" t="s">
        <v>152</v>
      </c>
      <c r="H61" t="s">
        <v>174</v>
      </c>
      <c r="I61" t="s">
        <v>154</v>
      </c>
      <c r="J61">
        <v>20170719</v>
      </c>
    </row>
    <row r="62" spans="1:10">
      <c r="A62" t="s">
        <v>3121</v>
      </c>
      <c r="B62">
        <v>600739</v>
      </c>
      <c r="C62" t="s">
        <v>3122</v>
      </c>
      <c r="D62" t="s">
        <v>236</v>
      </c>
      <c r="E62" t="s">
        <v>76</v>
      </c>
      <c r="F62" t="s">
        <v>3123</v>
      </c>
      <c r="G62" t="s">
        <v>152</v>
      </c>
      <c r="H62" t="s">
        <v>174</v>
      </c>
      <c r="I62" t="s">
        <v>154</v>
      </c>
      <c r="J62">
        <v>19960819</v>
      </c>
    </row>
    <row r="63" spans="1:10">
      <c r="A63" t="s">
        <v>3124</v>
      </c>
      <c r="B63">
        <v>403</v>
      </c>
      <c r="C63" t="s">
        <v>3125</v>
      </c>
      <c r="D63" t="s">
        <v>557</v>
      </c>
      <c r="E63" t="s">
        <v>76</v>
      </c>
      <c r="F63" t="s">
        <v>3126</v>
      </c>
      <c r="G63" t="s">
        <v>152</v>
      </c>
      <c r="H63" t="s">
        <v>153</v>
      </c>
      <c r="I63" t="s">
        <v>154</v>
      </c>
      <c r="J63">
        <v>19960628</v>
      </c>
    </row>
    <row r="64" spans="1:10">
      <c r="A64" t="s">
        <v>3127</v>
      </c>
      <c r="B64">
        <v>600645</v>
      </c>
      <c r="C64" t="s">
        <v>3128</v>
      </c>
      <c r="D64" t="s">
        <v>576</v>
      </c>
      <c r="E64" t="s">
        <v>76</v>
      </c>
      <c r="F64" t="s">
        <v>3129</v>
      </c>
      <c r="G64" t="s">
        <v>152</v>
      </c>
      <c r="H64" t="s">
        <v>174</v>
      </c>
      <c r="I64" t="s">
        <v>154</v>
      </c>
      <c r="J64">
        <v>19930504</v>
      </c>
    </row>
    <row r="65" spans="1:10">
      <c r="A65" t="s">
        <v>3130</v>
      </c>
      <c r="B65">
        <v>600721</v>
      </c>
      <c r="C65" t="s">
        <v>3131</v>
      </c>
      <c r="D65" t="s">
        <v>202</v>
      </c>
      <c r="E65" t="s">
        <v>76</v>
      </c>
      <c r="F65" t="s">
        <v>3132</v>
      </c>
      <c r="G65" t="s">
        <v>152</v>
      </c>
      <c r="H65" t="s">
        <v>174</v>
      </c>
      <c r="I65" t="s">
        <v>154</v>
      </c>
      <c r="J65">
        <v>19960626</v>
      </c>
    </row>
    <row r="66" spans="1:10">
      <c r="A66" t="s">
        <v>3133</v>
      </c>
      <c r="B66">
        <v>600055</v>
      </c>
      <c r="C66" t="s">
        <v>3134</v>
      </c>
      <c r="D66" t="s">
        <v>164</v>
      </c>
      <c r="E66" t="s">
        <v>90</v>
      </c>
      <c r="F66" t="s">
        <v>3135</v>
      </c>
      <c r="G66" t="s">
        <v>152</v>
      </c>
      <c r="H66" t="s">
        <v>174</v>
      </c>
      <c r="I66" t="s">
        <v>154</v>
      </c>
      <c r="J66">
        <v>19970519</v>
      </c>
    </row>
    <row r="67" spans="1:10">
      <c r="A67" t="s">
        <v>3136</v>
      </c>
      <c r="B67">
        <v>603127</v>
      </c>
      <c r="C67" t="s">
        <v>3137</v>
      </c>
      <c r="D67" t="s">
        <v>164</v>
      </c>
      <c r="E67" t="s">
        <v>90</v>
      </c>
      <c r="F67" t="s">
        <v>3138</v>
      </c>
      <c r="G67" t="s">
        <v>152</v>
      </c>
      <c r="H67" t="s">
        <v>174</v>
      </c>
      <c r="I67" t="s">
        <v>154</v>
      </c>
      <c r="J67">
        <v>20170825</v>
      </c>
    </row>
    <row r="68" spans="1:10">
      <c r="A68" t="s">
        <v>3139</v>
      </c>
      <c r="B68">
        <v>603392</v>
      </c>
      <c r="C68" t="s">
        <v>3140</v>
      </c>
      <c r="D68" t="s">
        <v>164</v>
      </c>
      <c r="E68" t="s">
        <v>90</v>
      </c>
      <c r="F68" t="s">
        <v>3141</v>
      </c>
      <c r="G68" t="s">
        <v>152</v>
      </c>
      <c r="H68" t="s">
        <v>174</v>
      </c>
      <c r="I68" t="s">
        <v>154</v>
      </c>
      <c r="J68">
        <v>20200429</v>
      </c>
    </row>
    <row r="69" spans="1:10">
      <c r="A69" t="s">
        <v>3142</v>
      </c>
      <c r="B69">
        <v>603309</v>
      </c>
      <c r="C69" t="s">
        <v>3143</v>
      </c>
      <c r="D69" t="s">
        <v>223</v>
      </c>
      <c r="E69" t="s">
        <v>90</v>
      </c>
      <c r="F69" t="s">
        <v>3144</v>
      </c>
      <c r="G69" t="s">
        <v>152</v>
      </c>
      <c r="H69" t="s">
        <v>174</v>
      </c>
      <c r="I69" t="s">
        <v>154</v>
      </c>
      <c r="J69">
        <v>20150302</v>
      </c>
    </row>
    <row r="70" spans="1:10">
      <c r="A70" t="s">
        <v>3145</v>
      </c>
      <c r="B70">
        <v>603882</v>
      </c>
      <c r="C70" t="s">
        <v>3146</v>
      </c>
      <c r="D70" t="s">
        <v>223</v>
      </c>
      <c r="E70" t="s">
        <v>90</v>
      </c>
      <c r="F70" t="s">
        <v>3147</v>
      </c>
      <c r="G70" t="s">
        <v>152</v>
      </c>
      <c r="H70" t="s">
        <v>174</v>
      </c>
      <c r="I70" t="s">
        <v>154</v>
      </c>
      <c r="J70">
        <v>20170908</v>
      </c>
    </row>
    <row r="71" spans="1:10">
      <c r="A71" t="s">
        <v>3148</v>
      </c>
      <c r="B71">
        <v>603658</v>
      </c>
      <c r="C71" t="s">
        <v>3149</v>
      </c>
      <c r="D71" t="s">
        <v>292</v>
      </c>
      <c r="E71" t="s">
        <v>90</v>
      </c>
      <c r="F71" t="s">
        <v>3150</v>
      </c>
      <c r="G71" t="s">
        <v>152</v>
      </c>
      <c r="H71" t="s">
        <v>174</v>
      </c>
      <c r="I71" t="s">
        <v>154</v>
      </c>
      <c r="J71">
        <v>20160901</v>
      </c>
    </row>
    <row r="72" spans="1:10">
      <c r="A72" t="s">
        <v>3151</v>
      </c>
      <c r="B72">
        <v>615</v>
      </c>
      <c r="C72" t="s">
        <v>3152</v>
      </c>
      <c r="D72" t="s">
        <v>316</v>
      </c>
      <c r="E72" t="s">
        <v>90</v>
      </c>
      <c r="F72" t="s">
        <v>3153</v>
      </c>
      <c r="G72" t="s">
        <v>152</v>
      </c>
      <c r="H72" t="s">
        <v>153</v>
      </c>
      <c r="I72" t="s">
        <v>154</v>
      </c>
      <c r="J72">
        <v>19961016</v>
      </c>
    </row>
    <row r="73" spans="1:10">
      <c r="A73" t="s">
        <v>3154</v>
      </c>
      <c r="B73">
        <v>600568</v>
      </c>
      <c r="C73" t="s">
        <v>3155</v>
      </c>
      <c r="D73" t="s">
        <v>316</v>
      </c>
      <c r="E73" t="s">
        <v>90</v>
      </c>
      <c r="F73" t="s">
        <v>3156</v>
      </c>
      <c r="G73" t="s">
        <v>152</v>
      </c>
      <c r="H73" t="s">
        <v>174</v>
      </c>
      <c r="I73" t="s">
        <v>154</v>
      </c>
      <c r="J73">
        <v>20010518</v>
      </c>
    </row>
    <row r="74" spans="1:10">
      <c r="A74" t="s">
        <v>3157</v>
      </c>
      <c r="B74">
        <v>504</v>
      </c>
      <c r="C74" t="s">
        <v>3158</v>
      </c>
      <c r="D74" t="s">
        <v>168</v>
      </c>
      <c r="E74" t="s">
        <v>90</v>
      </c>
      <c r="F74" t="s">
        <v>3159</v>
      </c>
      <c r="G74" t="s">
        <v>152</v>
      </c>
      <c r="H74" t="s">
        <v>153</v>
      </c>
      <c r="I74" t="s">
        <v>154</v>
      </c>
      <c r="J74">
        <v>19921208</v>
      </c>
    </row>
    <row r="75" spans="1:10">
      <c r="A75" t="s">
        <v>3160</v>
      </c>
      <c r="B75">
        <v>600327</v>
      </c>
      <c r="C75" t="s">
        <v>3161</v>
      </c>
      <c r="D75" t="s">
        <v>212</v>
      </c>
      <c r="E75" t="s">
        <v>90</v>
      </c>
      <c r="F75" t="s">
        <v>3162</v>
      </c>
      <c r="G75" t="s">
        <v>152</v>
      </c>
      <c r="H75" t="s">
        <v>174</v>
      </c>
      <c r="I75" t="s">
        <v>154</v>
      </c>
      <c r="J75">
        <v>20020625</v>
      </c>
    </row>
    <row r="76" spans="1:10">
      <c r="A76" t="s">
        <v>3163</v>
      </c>
      <c r="B76">
        <v>603387</v>
      </c>
      <c r="C76" t="s">
        <v>3164</v>
      </c>
      <c r="D76" t="s">
        <v>212</v>
      </c>
      <c r="E76" t="s">
        <v>90</v>
      </c>
      <c r="F76" t="s">
        <v>3165</v>
      </c>
      <c r="G76" t="s">
        <v>152</v>
      </c>
      <c r="H76" t="s">
        <v>174</v>
      </c>
      <c r="I76" t="s">
        <v>154</v>
      </c>
      <c r="J76">
        <v>20170717</v>
      </c>
    </row>
    <row r="77" spans="1:10">
      <c r="A77" t="s">
        <v>3166</v>
      </c>
      <c r="B77">
        <v>603880</v>
      </c>
      <c r="C77" t="s">
        <v>3167</v>
      </c>
      <c r="D77" t="s">
        <v>212</v>
      </c>
      <c r="E77" t="s">
        <v>90</v>
      </c>
      <c r="F77" t="s">
        <v>3168</v>
      </c>
      <c r="G77" t="s">
        <v>152</v>
      </c>
      <c r="H77" t="s">
        <v>174</v>
      </c>
      <c r="I77" t="s">
        <v>154</v>
      </c>
      <c r="J77">
        <v>20170807</v>
      </c>
    </row>
    <row r="78" spans="1:10">
      <c r="A78" t="s">
        <v>3169</v>
      </c>
      <c r="B78">
        <v>600381</v>
      </c>
      <c r="C78" t="s">
        <v>3170</v>
      </c>
      <c r="D78" t="s">
        <v>308</v>
      </c>
      <c r="E78" t="s">
        <v>90</v>
      </c>
      <c r="F78" t="s">
        <v>3171</v>
      </c>
      <c r="G78" t="s">
        <v>152</v>
      </c>
      <c r="H78" t="s">
        <v>174</v>
      </c>
      <c r="I78" t="s">
        <v>154</v>
      </c>
      <c r="J78">
        <v>20010508</v>
      </c>
    </row>
    <row r="79" spans="1:10">
      <c r="A79" t="s">
        <v>3172</v>
      </c>
      <c r="B79">
        <v>600529</v>
      </c>
      <c r="C79" t="s">
        <v>3173</v>
      </c>
      <c r="D79" t="s">
        <v>198</v>
      </c>
      <c r="E79" t="s">
        <v>90</v>
      </c>
      <c r="F79" t="s">
        <v>3174</v>
      </c>
      <c r="G79" t="s">
        <v>152</v>
      </c>
      <c r="H79" t="s">
        <v>174</v>
      </c>
      <c r="I79" t="s">
        <v>154</v>
      </c>
      <c r="J79">
        <v>20020603</v>
      </c>
    </row>
    <row r="80" spans="1:10">
      <c r="A80" t="s">
        <v>3175</v>
      </c>
      <c r="B80">
        <v>600587</v>
      </c>
      <c r="C80" t="s">
        <v>3176</v>
      </c>
      <c r="D80" t="s">
        <v>198</v>
      </c>
      <c r="E80" t="s">
        <v>90</v>
      </c>
      <c r="F80" t="s">
        <v>3177</v>
      </c>
      <c r="G80" t="s">
        <v>152</v>
      </c>
      <c r="H80" t="s">
        <v>174</v>
      </c>
      <c r="I80" t="s">
        <v>154</v>
      </c>
      <c r="J80">
        <v>20020927</v>
      </c>
    </row>
    <row r="81" spans="1:10">
      <c r="A81" t="s">
        <v>3178</v>
      </c>
      <c r="B81">
        <v>603102</v>
      </c>
      <c r="C81" t="s">
        <v>3179</v>
      </c>
      <c r="D81" t="s">
        <v>198</v>
      </c>
      <c r="E81" t="s">
        <v>90</v>
      </c>
      <c r="F81" t="s">
        <v>3180</v>
      </c>
      <c r="G81" t="s">
        <v>152</v>
      </c>
      <c r="H81" t="s">
        <v>174</v>
      </c>
      <c r="I81" t="s">
        <v>154</v>
      </c>
      <c r="J81">
        <v>20220125</v>
      </c>
    </row>
    <row r="82" spans="1:10">
      <c r="A82" t="s">
        <v>3181</v>
      </c>
      <c r="B82">
        <v>516</v>
      </c>
      <c r="C82" t="s">
        <v>3182</v>
      </c>
      <c r="D82" t="s">
        <v>419</v>
      </c>
      <c r="E82" t="s">
        <v>90</v>
      </c>
      <c r="F82" t="s">
        <v>3183</v>
      </c>
      <c r="G82" t="s">
        <v>152</v>
      </c>
      <c r="H82" t="s">
        <v>153</v>
      </c>
      <c r="I82" t="s">
        <v>154</v>
      </c>
      <c r="J82">
        <v>19930809</v>
      </c>
    </row>
    <row r="83" spans="1:10">
      <c r="A83" t="s">
        <v>3184</v>
      </c>
      <c r="B83">
        <v>600530</v>
      </c>
      <c r="C83" t="s">
        <v>3185</v>
      </c>
      <c r="D83" t="s">
        <v>172</v>
      </c>
      <c r="E83" t="s">
        <v>90</v>
      </c>
      <c r="F83" t="s">
        <v>3186</v>
      </c>
      <c r="G83" t="s">
        <v>152</v>
      </c>
      <c r="H83" t="s">
        <v>174</v>
      </c>
      <c r="I83" t="s">
        <v>154</v>
      </c>
      <c r="J83">
        <v>20010702</v>
      </c>
    </row>
    <row r="84" spans="1:10">
      <c r="A84" t="s">
        <v>3187</v>
      </c>
      <c r="B84">
        <v>600532</v>
      </c>
      <c r="C84" t="s">
        <v>3188</v>
      </c>
      <c r="D84" t="s">
        <v>172</v>
      </c>
      <c r="E84" t="s">
        <v>90</v>
      </c>
      <c r="F84" t="s">
        <v>3189</v>
      </c>
      <c r="G84" t="s">
        <v>152</v>
      </c>
      <c r="H84" t="s">
        <v>174</v>
      </c>
      <c r="I84" t="s">
        <v>154</v>
      </c>
      <c r="J84">
        <v>20021031</v>
      </c>
    </row>
    <row r="85" spans="1:10">
      <c r="A85" t="s">
        <v>3190</v>
      </c>
      <c r="B85">
        <v>603987</v>
      </c>
      <c r="C85" t="s">
        <v>3191</v>
      </c>
      <c r="D85" t="s">
        <v>172</v>
      </c>
      <c r="E85" t="s">
        <v>90</v>
      </c>
      <c r="F85" t="s">
        <v>3192</v>
      </c>
      <c r="G85" t="s">
        <v>152</v>
      </c>
      <c r="H85" t="s">
        <v>174</v>
      </c>
      <c r="I85" t="s">
        <v>154</v>
      </c>
      <c r="J85">
        <v>20161121</v>
      </c>
    </row>
    <row r="86" spans="1:10">
      <c r="A86" t="s">
        <v>3193</v>
      </c>
      <c r="B86">
        <v>605186</v>
      </c>
      <c r="C86" t="s">
        <v>3194</v>
      </c>
      <c r="D86" t="s">
        <v>172</v>
      </c>
      <c r="E86" t="s">
        <v>90</v>
      </c>
      <c r="F86" t="s">
        <v>3195</v>
      </c>
      <c r="G86" t="s">
        <v>152</v>
      </c>
      <c r="H86" t="s">
        <v>174</v>
      </c>
      <c r="I86" t="s">
        <v>154</v>
      </c>
      <c r="J86">
        <v>20201222</v>
      </c>
    </row>
    <row r="87" spans="1:10">
      <c r="A87" s="3" t="s">
        <v>3196</v>
      </c>
      <c r="B87" s="3">
        <v>710</v>
      </c>
      <c r="C87" s="3" t="s">
        <v>3197</v>
      </c>
      <c r="D87" s="3" t="s">
        <v>219</v>
      </c>
      <c r="E87" s="3" t="s">
        <v>90</v>
      </c>
      <c r="F87" s="3" t="s">
        <v>3198</v>
      </c>
      <c r="G87" s="3" t="s">
        <v>152</v>
      </c>
      <c r="H87" s="3" t="s">
        <v>153</v>
      </c>
      <c r="I87" s="3" t="s">
        <v>154</v>
      </c>
      <c r="J87" s="3">
        <v>19970422</v>
      </c>
    </row>
    <row r="88" spans="1:10">
      <c r="A88" t="s">
        <v>3199</v>
      </c>
      <c r="B88">
        <v>600767</v>
      </c>
      <c r="C88" t="s">
        <v>3200</v>
      </c>
      <c r="D88" t="s">
        <v>219</v>
      </c>
      <c r="E88" t="s">
        <v>90</v>
      </c>
      <c r="F88" t="s">
        <v>3201</v>
      </c>
      <c r="G88" t="s">
        <v>152</v>
      </c>
      <c r="H88" t="s">
        <v>174</v>
      </c>
      <c r="I88" t="s">
        <v>154</v>
      </c>
      <c r="J88">
        <v>19961115</v>
      </c>
    </row>
    <row r="89" spans="1:10">
      <c r="A89" t="s">
        <v>3202</v>
      </c>
      <c r="B89">
        <v>600763</v>
      </c>
      <c r="C89" t="s">
        <v>3203</v>
      </c>
      <c r="D89" t="s">
        <v>423</v>
      </c>
      <c r="E89" t="s">
        <v>90</v>
      </c>
      <c r="F89" t="s">
        <v>3204</v>
      </c>
      <c r="G89" t="s">
        <v>152</v>
      </c>
      <c r="H89" t="s">
        <v>174</v>
      </c>
      <c r="I89" t="s">
        <v>154</v>
      </c>
      <c r="J89">
        <v>19961030</v>
      </c>
    </row>
    <row r="90" spans="1:10">
      <c r="A90" t="s">
        <v>3205</v>
      </c>
      <c r="B90">
        <v>603222</v>
      </c>
      <c r="C90" t="s">
        <v>3206</v>
      </c>
      <c r="D90" t="s">
        <v>423</v>
      </c>
      <c r="E90" t="s">
        <v>90</v>
      </c>
      <c r="F90" t="s">
        <v>3207</v>
      </c>
      <c r="G90" t="s">
        <v>152</v>
      </c>
      <c r="H90" t="s">
        <v>174</v>
      </c>
      <c r="I90" t="s">
        <v>154</v>
      </c>
      <c r="J90">
        <v>20150217</v>
      </c>
    </row>
    <row r="91" spans="1:10">
      <c r="A91" t="s">
        <v>3208</v>
      </c>
      <c r="B91">
        <v>603301</v>
      </c>
      <c r="C91" t="s">
        <v>3209</v>
      </c>
      <c r="D91" t="s">
        <v>423</v>
      </c>
      <c r="E91" t="s">
        <v>90</v>
      </c>
      <c r="F91" t="s">
        <v>3210</v>
      </c>
      <c r="G91" t="s">
        <v>152</v>
      </c>
      <c r="H91" t="s">
        <v>174</v>
      </c>
      <c r="I91" t="s">
        <v>154</v>
      </c>
      <c r="J91">
        <v>20180412</v>
      </c>
    </row>
    <row r="92" spans="1:10">
      <c r="A92" t="s">
        <v>3211</v>
      </c>
      <c r="B92">
        <v>603456</v>
      </c>
      <c r="C92" t="s">
        <v>3212</v>
      </c>
      <c r="D92" t="s">
        <v>423</v>
      </c>
      <c r="E92" t="s">
        <v>90</v>
      </c>
      <c r="F92" t="s">
        <v>3213</v>
      </c>
      <c r="G92" t="s">
        <v>152</v>
      </c>
      <c r="H92" t="s">
        <v>174</v>
      </c>
      <c r="I92" t="s">
        <v>154</v>
      </c>
      <c r="J92">
        <v>20141010</v>
      </c>
    </row>
    <row r="93" spans="1:10">
      <c r="A93" t="s">
        <v>3214</v>
      </c>
      <c r="B93">
        <v>605369</v>
      </c>
      <c r="C93" t="s">
        <v>3215</v>
      </c>
      <c r="D93" t="s">
        <v>423</v>
      </c>
      <c r="E93" t="s">
        <v>90</v>
      </c>
      <c r="F93" t="s">
        <v>3216</v>
      </c>
      <c r="G93" t="s">
        <v>152</v>
      </c>
      <c r="H93" t="s">
        <v>174</v>
      </c>
      <c r="I93" t="s">
        <v>154</v>
      </c>
      <c r="J93">
        <v>20200916</v>
      </c>
    </row>
    <row r="94" spans="1:10">
      <c r="A94" t="s">
        <v>3217</v>
      </c>
      <c r="B94">
        <v>603976</v>
      </c>
      <c r="C94" t="s">
        <v>3218</v>
      </c>
      <c r="D94" t="s">
        <v>937</v>
      </c>
      <c r="E94" t="s">
        <v>90</v>
      </c>
      <c r="F94" t="s">
        <v>3219</v>
      </c>
      <c r="G94" t="s">
        <v>152</v>
      </c>
      <c r="H94" t="s">
        <v>174</v>
      </c>
      <c r="I94" t="s">
        <v>154</v>
      </c>
      <c r="J94">
        <v>20170822</v>
      </c>
    </row>
    <row r="95" spans="1:10">
      <c r="A95" t="s">
        <v>3220</v>
      </c>
      <c r="B95">
        <v>600056</v>
      </c>
      <c r="C95" t="s">
        <v>3221</v>
      </c>
      <c r="D95" t="s">
        <v>164</v>
      </c>
      <c r="E95" t="s">
        <v>95</v>
      </c>
      <c r="F95" t="s">
        <v>3222</v>
      </c>
      <c r="G95" t="s">
        <v>152</v>
      </c>
      <c r="H95" t="s">
        <v>174</v>
      </c>
      <c r="I95" t="s">
        <v>154</v>
      </c>
      <c r="J95">
        <v>19970515</v>
      </c>
    </row>
    <row r="96" spans="1:10">
      <c r="A96" t="s">
        <v>3223</v>
      </c>
      <c r="B96">
        <v>600511</v>
      </c>
      <c r="C96" t="s">
        <v>3224</v>
      </c>
      <c r="D96" t="s">
        <v>164</v>
      </c>
      <c r="E96" t="s">
        <v>95</v>
      </c>
      <c r="F96" t="s">
        <v>3225</v>
      </c>
      <c r="G96" t="s">
        <v>152</v>
      </c>
      <c r="H96" t="s">
        <v>174</v>
      </c>
      <c r="I96" t="s">
        <v>154</v>
      </c>
      <c r="J96">
        <v>20021127</v>
      </c>
    </row>
    <row r="97" spans="1:10">
      <c r="A97" t="s">
        <v>3226</v>
      </c>
      <c r="B97">
        <v>603233</v>
      </c>
      <c r="C97" t="s">
        <v>3227</v>
      </c>
      <c r="D97" t="s">
        <v>223</v>
      </c>
      <c r="E97" t="s">
        <v>95</v>
      </c>
      <c r="F97" t="s">
        <v>3228</v>
      </c>
      <c r="G97" t="s">
        <v>152</v>
      </c>
      <c r="H97" t="s">
        <v>174</v>
      </c>
      <c r="I97" t="s">
        <v>154</v>
      </c>
      <c r="J97">
        <v>20170731</v>
      </c>
    </row>
    <row r="98" spans="1:10">
      <c r="A98" t="s">
        <v>3229</v>
      </c>
      <c r="B98">
        <v>600538</v>
      </c>
      <c r="C98" t="s">
        <v>3230</v>
      </c>
      <c r="D98" t="s">
        <v>345</v>
      </c>
      <c r="E98" t="s">
        <v>95</v>
      </c>
      <c r="F98" t="s">
        <v>3231</v>
      </c>
      <c r="G98" t="s">
        <v>152</v>
      </c>
      <c r="H98" t="s">
        <v>174</v>
      </c>
      <c r="I98" t="s">
        <v>154</v>
      </c>
      <c r="J98">
        <v>20030114</v>
      </c>
    </row>
    <row r="99" spans="1:10">
      <c r="A99" t="s">
        <v>3232</v>
      </c>
      <c r="B99">
        <v>603368</v>
      </c>
      <c r="C99" t="s">
        <v>3233</v>
      </c>
      <c r="D99" t="s">
        <v>345</v>
      </c>
      <c r="E99" t="s">
        <v>95</v>
      </c>
      <c r="F99" t="s">
        <v>3234</v>
      </c>
      <c r="G99" t="s">
        <v>152</v>
      </c>
      <c r="H99" t="s">
        <v>174</v>
      </c>
      <c r="I99" t="s">
        <v>154</v>
      </c>
      <c r="J99">
        <v>20141204</v>
      </c>
    </row>
    <row r="100" spans="1:10">
      <c r="A100" t="s">
        <v>3235</v>
      </c>
      <c r="B100">
        <v>600829</v>
      </c>
      <c r="C100" t="s">
        <v>3236</v>
      </c>
      <c r="D100" t="s">
        <v>194</v>
      </c>
      <c r="E100" t="s">
        <v>95</v>
      </c>
      <c r="F100" t="s">
        <v>3237</v>
      </c>
      <c r="G100" t="s">
        <v>152</v>
      </c>
      <c r="H100" t="s">
        <v>174</v>
      </c>
      <c r="I100" t="s">
        <v>154</v>
      </c>
      <c r="J100">
        <v>19940224</v>
      </c>
    </row>
    <row r="101" spans="1:10">
      <c r="A101" t="s">
        <v>3238</v>
      </c>
      <c r="B101">
        <v>600998</v>
      </c>
      <c r="C101" t="s">
        <v>3239</v>
      </c>
      <c r="D101" t="s">
        <v>316</v>
      </c>
      <c r="E101" t="s">
        <v>95</v>
      </c>
      <c r="F101" t="s">
        <v>3240</v>
      </c>
      <c r="G101" t="s">
        <v>152</v>
      </c>
      <c r="H101" t="s">
        <v>174</v>
      </c>
      <c r="I101" t="s">
        <v>154</v>
      </c>
      <c r="J101">
        <v>20101102</v>
      </c>
    </row>
    <row r="102" spans="1:10">
      <c r="A102" t="s">
        <v>3241</v>
      </c>
      <c r="B102">
        <v>603716</v>
      </c>
      <c r="C102" t="s">
        <v>3242</v>
      </c>
      <c r="D102" t="s">
        <v>316</v>
      </c>
      <c r="E102" t="s">
        <v>95</v>
      </c>
      <c r="F102" t="s">
        <v>3243</v>
      </c>
      <c r="G102" t="s">
        <v>152</v>
      </c>
      <c r="H102" t="s">
        <v>174</v>
      </c>
      <c r="I102" t="s">
        <v>154</v>
      </c>
      <c r="J102">
        <v>20161031</v>
      </c>
    </row>
    <row r="103" spans="1:10">
      <c r="A103" t="s">
        <v>3244</v>
      </c>
      <c r="B103">
        <v>603883</v>
      </c>
      <c r="C103" t="s">
        <v>3245</v>
      </c>
      <c r="D103" t="s">
        <v>168</v>
      </c>
      <c r="E103" t="s">
        <v>95</v>
      </c>
      <c r="F103" t="s">
        <v>3246</v>
      </c>
      <c r="G103" t="s">
        <v>152</v>
      </c>
      <c r="H103" t="s">
        <v>174</v>
      </c>
      <c r="I103" t="s">
        <v>154</v>
      </c>
      <c r="J103">
        <v>20150423</v>
      </c>
    </row>
    <row r="104" spans="1:10">
      <c r="A104" t="s">
        <v>3247</v>
      </c>
      <c r="B104">
        <v>603939</v>
      </c>
      <c r="C104" t="s">
        <v>3248</v>
      </c>
      <c r="D104" t="s">
        <v>168</v>
      </c>
      <c r="E104" t="s">
        <v>95</v>
      </c>
      <c r="F104" t="s">
        <v>3249</v>
      </c>
      <c r="G104" t="s">
        <v>152</v>
      </c>
      <c r="H104" t="s">
        <v>174</v>
      </c>
      <c r="I104" t="s">
        <v>154</v>
      </c>
      <c r="J104">
        <v>20150217</v>
      </c>
    </row>
    <row r="105" spans="1:10">
      <c r="A105" t="s">
        <v>3250</v>
      </c>
      <c r="B105">
        <v>600713</v>
      </c>
      <c r="C105" t="s">
        <v>3251</v>
      </c>
      <c r="D105" t="s">
        <v>212</v>
      </c>
      <c r="E105" t="s">
        <v>95</v>
      </c>
      <c r="F105" t="s">
        <v>3252</v>
      </c>
      <c r="G105" t="s">
        <v>152</v>
      </c>
      <c r="H105" t="s">
        <v>174</v>
      </c>
      <c r="I105" t="s">
        <v>154</v>
      </c>
      <c r="J105">
        <v>19960701</v>
      </c>
    </row>
    <row r="106" spans="1:10">
      <c r="A106" t="s">
        <v>3253</v>
      </c>
      <c r="B106">
        <v>668</v>
      </c>
      <c r="C106" t="s">
        <v>3254</v>
      </c>
      <c r="D106" t="s">
        <v>198</v>
      </c>
      <c r="E106" t="s">
        <v>95</v>
      </c>
      <c r="F106" t="s">
        <v>3255</v>
      </c>
      <c r="G106" t="s">
        <v>152</v>
      </c>
      <c r="H106" t="s">
        <v>153</v>
      </c>
      <c r="I106" t="s">
        <v>154</v>
      </c>
      <c r="J106">
        <v>19961210</v>
      </c>
    </row>
    <row r="107" spans="1:10">
      <c r="A107" t="s">
        <v>3256</v>
      </c>
      <c r="B107">
        <v>600272</v>
      </c>
      <c r="C107" t="s">
        <v>3257</v>
      </c>
      <c r="D107" t="s">
        <v>172</v>
      </c>
      <c r="E107" t="s">
        <v>95</v>
      </c>
      <c r="F107" t="s">
        <v>3258</v>
      </c>
      <c r="G107" t="s">
        <v>152</v>
      </c>
      <c r="H107" t="s">
        <v>174</v>
      </c>
      <c r="I107" t="s">
        <v>154</v>
      </c>
      <c r="J107">
        <v>20010228</v>
      </c>
    </row>
    <row r="108" spans="1:10">
      <c r="A108" t="s">
        <v>3259</v>
      </c>
      <c r="B108">
        <v>600833</v>
      </c>
      <c r="C108" t="s">
        <v>3260</v>
      </c>
      <c r="D108" t="s">
        <v>172</v>
      </c>
      <c r="E108" t="s">
        <v>95</v>
      </c>
      <c r="F108" t="s">
        <v>3261</v>
      </c>
      <c r="G108" t="s">
        <v>152</v>
      </c>
      <c r="H108" t="s">
        <v>174</v>
      </c>
      <c r="I108" t="s">
        <v>154</v>
      </c>
      <c r="J108">
        <v>19940224</v>
      </c>
    </row>
    <row r="109" spans="1:10">
      <c r="A109" t="s">
        <v>3262</v>
      </c>
      <c r="B109">
        <v>601607</v>
      </c>
      <c r="C109" t="s">
        <v>3263</v>
      </c>
      <c r="D109" t="s">
        <v>172</v>
      </c>
      <c r="E109" t="s">
        <v>95</v>
      </c>
      <c r="F109" t="s">
        <v>3264</v>
      </c>
      <c r="G109" t="s">
        <v>152</v>
      </c>
      <c r="H109" t="s">
        <v>174</v>
      </c>
      <c r="I109" t="s">
        <v>154</v>
      </c>
      <c r="J109">
        <v>19940324</v>
      </c>
    </row>
    <row r="110" spans="1:10">
      <c r="A110" t="s">
        <v>3265</v>
      </c>
      <c r="B110">
        <v>603108</v>
      </c>
      <c r="C110" t="s">
        <v>3266</v>
      </c>
      <c r="D110" t="s">
        <v>172</v>
      </c>
      <c r="E110" t="s">
        <v>95</v>
      </c>
      <c r="F110" t="s">
        <v>3267</v>
      </c>
      <c r="G110" t="s">
        <v>152</v>
      </c>
      <c r="H110" t="s">
        <v>174</v>
      </c>
      <c r="I110" t="s">
        <v>154</v>
      </c>
      <c r="J110">
        <v>20150527</v>
      </c>
    </row>
    <row r="111" spans="1:10">
      <c r="A111" t="s">
        <v>3268</v>
      </c>
      <c r="B111">
        <v>603122</v>
      </c>
      <c r="C111" t="s">
        <v>3269</v>
      </c>
      <c r="D111" t="s">
        <v>172</v>
      </c>
      <c r="E111" t="s">
        <v>95</v>
      </c>
      <c r="F111" t="s">
        <v>3270</v>
      </c>
      <c r="G111" t="s">
        <v>152</v>
      </c>
      <c r="H111" t="s">
        <v>174</v>
      </c>
      <c r="I111" t="s">
        <v>154</v>
      </c>
      <c r="J111">
        <v>20220216</v>
      </c>
    </row>
    <row r="112" spans="1:13">
      <c r="A112" t="s">
        <v>3271</v>
      </c>
      <c r="B112">
        <v>78</v>
      </c>
      <c r="C112" t="s">
        <v>3272</v>
      </c>
      <c r="D112" t="s">
        <v>243</v>
      </c>
      <c r="E112" t="s">
        <v>95</v>
      </c>
      <c r="F112" t="s">
        <v>3273</v>
      </c>
      <c r="G112" t="s">
        <v>152</v>
      </c>
      <c r="H112" t="s">
        <v>153</v>
      </c>
      <c r="I112" t="s">
        <v>154</v>
      </c>
      <c r="J112">
        <v>19981218</v>
      </c>
      <c r="M112" s="6"/>
    </row>
    <row r="113" spans="1:10">
      <c r="A113" t="s">
        <v>3274</v>
      </c>
      <c r="B113">
        <v>605266</v>
      </c>
      <c r="C113" t="s">
        <v>3275</v>
      </c>
      <c r="D113" t="s">
        <v>184</v>
      </c>
      <c r="E113" t="s">
        <v>95</v>
      </c>
      <c r="F113" t="s">
        <v>3276</v>
      </c>
      <c r="G113" t="s">
        <v>152</v>
      </c>
      <c r="H113" t="s">
        <v>174</v>
      </c>
      <c r="I113" t="s">
        <v>154</v>
      </c>
      <c r="J113">
        <v>20201201</v>
      </c>
    </row>
    <row r="114" spans="1:10">
      <c r="A114" t="s">
        <v>3277</v>
      </c>
      <c r="B114">
        <v>411</v>
      </c>
      <c r="C114" t="s">
        <v>3278</v>
      </c>
      <c r="D114" t="s">
        <v>423</v>
      </c>
      <c r="E114" t="s">
        <v>95</v>
      </c>
      <c r="F114" t="s">
        <v>3279</v>
      </c>
      <c r="G114" t="s">
        <v>152</v>
      </c>
      <c r="H114" t="s">
        <v>153</v>
      </c>
      <c r="I114" t="s">
        <v>154</v>
      </c>
      <c r="J114">
        <v>19960716</v>
      </c>
    </row>
    <row r="115" spans="1:10">
      <c r="A115" t="s">
        <v>3280</v>
      </c>
      <c r="B115">
        <v>705</v>
      </c>
      <c r="C115" t="s">
        <v>3281</v>
      </c>
      <c r="D115" t="s">
        <v>423</v>
      </c>
      <c r="E115" t="s">
        <v>95</v>
      </c>
      <c r="F115" t="s">
        <v>3282</v>
      </c>
      <c r="G115" t="s">
        <v>152</v>
      </c>
      <c r="H115" t="s">
        <v>153</v>
      </c>
      <c r="I115" t="s">
        <v>154</v>
      </c>
      <c r="J115">
        <v>19970410</v>
      </c>
    </row>
    <row r="116" spans="1:10">
      <c r="A116" s="3" t="s">
        <v>3283</v>
      </c>
      <c r="B116" s="3">
        <v>950</v>
      </c>
      <c r="C116" s="3" t="s">
        <v>3284</v>
      </c>
      <c r="D116" s="3" t="s">
        <v>937</v>
      </c>
      <c r="E116" s="3" t="s">
        <v>95</v>
      </c>
      <c r="F116" s="3" t="s">
        <v>3285</v>
      </c>
      <c r="G116" s="3" t="s">
        <v>152</v>
      </c>
      <c r="H116" s="3" t="s">
        <v>153</v>
      </c>
      <c r="I116" s="3" t="s">
        <v>154</v>
      </c>
      <c r="J116" s="3">
        <v>19990916</v>
      </c>
    </row>
    <row r="117" spans="1:10">
      <c r="A117" t="s">
        <v>3286</v>
      </c>
      <c r="B117">
        <v>600085</v>
      </c>
      <c r="C117" t="s">
        <v>3287</v>
      </c>
      <c r="D117" t="s">
        <v>164</v>
      </c>
      <c r="E117" t="s">
        <v>67</v>
      </c>
      <c r="F117" t="s">
        <v>3288</v>
      </c>
      <c r="G117" t="s">
        <v>152</v>
      </c>
      <c r="H117" t="s">
        <v>174</v>
      </c>
      <c r="I117" t="s">
        <v>154</v>
      </c>
      <c r="J117">
        <v>19970625</v>
      </c>
    </row>
    <row r="118" spans="1:10">
      <c r="A118" t="s">
        <v>3289</v>
      </c>
      <c r="B118">
        <v>600436</v>
      </c>
      <c r="C118" t="s">
        <v>3290</v>
      </c>
      <c r="D118" t="s">
        <v>150</v>
      </c>
      <c r="E118" t="s">
        <v>67</v>
      </c>
      <c r="F118" t="s">
        <v>3291</v>
      </c>
      <c r="G118" t="s">
        <v>152</v>
      </c>
      <c r="H118" t="s">
        <v>174</v>
      </c>
      <c r="I118" t="s">
        <v>154</v>
      </c>
      <c r="J118">
        <v>20030616</v>
      </c>
    </row>
    <row r="119" spans="1:10">
      <c r="A119" t="s">
        <v>3292</v>
      </c>
      <c r="B119">
        <v>600332</v>
      </c>
      <c r="C119" t="s">
        <v>3293</v>
      </c>
      <c r="D119" t="s">
        <v>223</v>
      </c>
      <c r="E119" t="s">
        <v>67</v>
      </c>
      <c r="F119" t="s">
        <v>3294</v>
      </c>
      <c r="G119" t="s">
        <v>152</v>
      </c>
      <c r="H119" t="s">
        <v>174</v>
      </c>
      <c r="I119" t="s">
        <v>154</v>
      </c>
      <c r="J119">
        <v>20010206</v>
      </c>
    </row>
    <row r="120" spans="1:10">
      <c r="A120" t="s">
        <v>3295</v>
      </c>
      <c r="B120">
        <v>600518</v>
      </c>
      <c r="C120" t="s">
        <v>3296</v>
      </c>
      <c r="D120" t="s">
        <v>223</v>
      </c>
      <c r="E120" t="s">
        <v>67</v>
      </c>
      <c r="F120" t="s">
        <v>3297</v>
      </c>
      <c r="G120" t="s">
        <v>152</v>
      </c>
      <c r="H120" t="s">
        <v>174</v>
      </c>
      <c r="I120" t="s">
        <v>154</v>
      </c>
      <c r="J120">
        <v>20010319</v>
      </c>
    </row>
    <row r="121" spans="1:10">
      <c r="A121" t="s">
        <v>3298</v>
      </c>
      <c r="B121">
        <v>600252</v>
      </c>
      <c r="C121" t="s">
        <v>3299</v>
      </c>
      <c r="D121" t="s">
        <v>345</v>
      </c>
      <c r="E121" t="s">
        <v>67</v>
      </c>
      <c r="F121" t="s">
        <v>3300</v>
      </c>
      <c r="G121" t="s">
        <v>152</v>
      </c>
      <c r="H121" t="s">
        <v>174</v>
      </c>
      <c r="I121" t="s">
        <v>154</v>
      </c>
      <c r="J121">
        <v>20001130</v>
      </c>
    </row>
    <row r="122" spans="1:10">
      <c r="A122" t="s">
        <v>3301</v>
      </c>
      <c r="B122">
        <v>600594</v>
      </c>
      <c r="C122" t="s">
        <v>3302</v>
      </c>
      <c r="D122" t="s">
        <v>463</v>
      </c>
      <c r="E122" t="s">
        <v>67</v>
      </c>
      <c r="F122" t="s">
        <v>3303</v>
      </c>
      <c r="G122" t="s">
        <v>152</v>
      </c>
      <c r="H122" t="s">
        <v>174</v>
      </c>
      <c r="I122" t="s">
        <v>154</v>
      </c>
      <c r="J122">
        <v>20040323</v>
      </c>
    </row>
    <row r="123" spans="1:10">
      <c r="A123" t="s">
        <v>3304</v>
      </c>
      <c r="B123">
        <v>603439</v>
      </c>
      <c r="C123" t="s">
        <v>3305</v>
      </c>
      <c r="D123" t="s">
        <v>463</v>
      </c>
      <c r="E123" t="s">
        <v>67</v>
      </c>
      <c r="F123" t="s">
        <v>3306</v>
      </c>
      <c r="G123" t="s">
        <v>152</v>
      </c>
      <c r="H123" t="s">
        <v>174</v>
      </c>
      <c r="I123" t="s">
        <v>154</v>
      </c>
      <c r="J123">
        <v>20200428</v>
      </c>
    </row>
    <row r="124" spans="1:10">
      <c r="A124" t="s">
        <v>3307</v>
      </c>
      <c r="B124">
        <v>605199</v>
      </c>
      <c r="C124" t="s">
        <v>3308</v>
      </c>
      <c r="D124" t="s">
        <v>250</v>
      </c>
      <c r="E124" t="s">
        <v>67</v>
      </c>
      <c r="F124" t="s">
        <v>3309</v>
      </c>
      <c r="G124" t="s">
        <v>152</v>
      </c>
      <c r="H124" t="s">
        <v>174</v>
      </c>
      <c r="I124" t="s">
        <v>154</v>
      </c>
      <c r="J124">
        <v>20200710</v>
      </c>
    </row>
    <row r="125" spans="1:10">
      <c r="A125" t="s">
        <v>3310</v>
      </c>
      <c r="B125">
        <v>600222</v>
      </c>
      <c r="C125" t="s">
        <v>3311</v>
      </c>
      <c r="D125" t="s">
        <v>292</v>
      </c>
      <c r="E125" t="s">
        <v>67</v>
      </c>
      <c r="F125" t="s">
        <v>3312</v>
      </c>
      <c r="G125" t="s">
        <v>152</v>
      </c>
      <c r="H125" t="s">
        <v>174</v>
      </c>
      <c r="I125" t="s">
        <v>154</v>
      </c>
      <c r="J125">
        <v>19991105</v>
      </c>
    </row>
    <row r="126" spans="1:10">
      <c r="A126" t="s">
        <v>3313</v>
      </c>
      <c r="B126">
        <v>600285</v>
      </c>
      <c r="C126" t="s">
        <v>3314</v>
      </c>
      <c r="D126" t="s">
        <v>292</v>
      </c>
      <c r="E126" t="s">
        <v>67</v>
      </c>
      <c r="F126" t="s">
        <v>3315</v>
      </c>
      <c r="G126" t="s">
        <v>152</v>
      </c>
      <c r="H126" t="s">
        <v>174</v>
      </c>
      <c r="I126" t="s">
        <v>154</v>
      </c>
      <c r="J126">
        <v>20001018</v>
      </c>
    </row>
    <row r="127" spans="1:10">
      <c r="A127" t="s">
        <v>3316</v>
      </c>
      <c r="B127">
        <v>603567</v>
      </c>
      <c r="C127" t="s">
        <v>3317</v>
      </c>
      <c r="D127" t="s">
        <v>194</v>
      </c>
      <c r="E127" t="s">
        <v>67</v>
      </c>
      <c r="F127" t="s">
        <v>3318</v>
      </c>
      <c r="G127" t="s">
        <v>152</v>
      </c>
      <c r="H127" t="s">
        <v>174</v>
      </c>
      <c r="I127" t="s">
        <v>154</v>
      </c>
      <c r="J127">
        <v>20150424</v>
      </c>
    </row>
    <row r="128" spans="1:10">
      <c r="A128" t="s">
        <v>3319</v>
      </c>
      <c r="B128">
        <v>600566</v>
      </c>
      <c r="C128" t="s">
        <v>3320</v>
      </c>
      <c r="D128" t="s">
        <v>316</v>
      </c>
      <c r="E128" t="s">
        <v>67</v>
      </c>
      <c r="F128" t="s">
        <v>3321</v>
      </c>
      <c r="G128" t="s">
        <v>152</v>
      </c>
      <c r="H128" t="s">
        <v>174</v>
      </c>
      <c r="I128" t="s">
        <v>154</v>
      </c>
      <c r="J128">
        <v>20010822</v>
      </c>
    </row>
    <row r="129" spans="1:10">
      <c r="A129" t="s">
        <v>3322</v>
      </c>
      <c r="B129">
        <v>600976</v>
      </c>
      <c r="C129" t="s">
        <v>3323</v>
      </c>
      <c r="D129" t="s">
        <v>316</v>
      </c>
      <c r="E129" t="s">
        <v>67</v>
      </c>
      <c r="F129" t="s">
        <v>3324</v>
      </c>
      <c r="G129" t="s">
        <v>152</v>
      </c>
      <c r="H129" t="s">
        <v>174</v>
      </c>
      <c r="I129" t="s">
        <v>154</v>
      </c>
      <c r="J129">
        <v>20040419</v>
      </c>
    </row>
    <row r="130" spans="1:10">
      <c r="A130" t="s">
        <v>3325</v>
      </c>
      <c r="B130">
        <v>600993</v>
      </c>
      <c r="C130" t="s">
        <v>3326</v>
      </c>
      <c r="D130" t="s">
        <v>316</v>
      </c>
      <c r="E130" t="s">
        <v>67</v>
      </c>
      <c r="F130" t="s">
        <v>3327</v>
      </c>
      <c r="G130" t="s">
        <v>152</v>
      </c>
      <c r="H130" t="s">
        <v>174</v>
      </c>
      <c r="I130" t="s">
        <v>154</v>
      </c>
      <c r="J130">
        <v>20040517</v>
      </c>
    </row>
    <row r="131" spans="1:10">
      <c r="A131" t="s">
        <v>3328</v>
      </c>
      <c r="B131">
        <v>590</v>
      </c>
      <c r="C131" t="s">
        <v>3329</v>
      </c>
      <c r="D131" t="s">
        <v>168</v>
      </c>
      <c r="E131" t="s">
        <v>67</v>
      </c>
      <c r="F131" t="s">
        <v>3330</v>
      </c>
      <c r="G131" t="s">
        <v>152</v>
      </c>
      <c r="H131" t="s">
        <v>153</v>
      </c>
      <c r="I131" t="s">
        <v>154</v>
      </c>
      <c r="J131">
        <v>19960119</v>
      </c>
    </row>
    <row r="132" spans="1:10">
      <c r="A132" t="s">
        <v>3331</v>
      </c>
      <c r="B132">
        <v>989</v>
      </c>
      <c r="C132" t="s">
        <v>3332</v>
      </c>
      <c r="D132" t="s">
        <v>168</v>
      </c>
      <c r="E132" t="s">
        <v>67</v>
      </c>
      <c r="F132" t="s">
        <v>3333</v>
      </c>
      <c r="G132" t="s">
        <v>152</v>
      </c>
      <c r="H132" t="s">
        <v>153</v>
      </c>
      <c r="I132" t="s">
        <v>154</v>
      </c>
      <c r="J132">
        <v>20000628</v>
      </c>
    </row>
    <row r="133" spans="1:10">
      <c r="A133" t="s">
        <v>3334</v>
      </c>
      <c r="B133">
        <v>600479</v>
      </c>
      <c r="C133" t="s">
        <v>3335</v>
      </c>
      <c r="D133" t="s">
        <v>168</v>
      </c>
      <c r="E133" t="s">
        <v>67</v>
      </c>
      <c r="F133" t="s">
        <v>3336</v>
      </c>
      <c r="G133" t="s">
        <v>152</v>
      </c>
      <c r="H133" t="s">
        <v>174</v>
      </c>
      <c r="I133" t="s">
        <v>154</v>
      </c>
      <c r="J133">
        <v>20040312</v>
      </c>
    </row>
    <row r="134" spans="1:10">
      <c r="A134" t="s">
        <v>3337</v>
      </c>
      <c r="B134">
        <v>603998</v>
      </c>
      <c r="C134" t="s">
        <v>3338</v>
      </c>
      <c r="D134" t="s">
        <v>168</v>
      </c>
      <c r="E134" t="s">
        <v>67</v>
      </c>
      <c r="F134" t="s">
        <v>3339</v>
      </c>
      <c r="G134" t="s">
        <v>152</v>
      </c>
      <c r="H134" t="s">
        <v>174</v>
      </c>
      <c r="I134" t="s">
        <v>154</v>
      </c>
      <c r="J134">
        <v>20141205</v>
      </c>
    </row>
    <row r="135" spans="1:10">
      <c r="A135" t="s">
        <v>3340</v>
      </c>
      <c r="B135">
        <v>623</v>
      </c>
      <c r="C135" t="s">
        <v>3341</v>
      </c>
      <c r="D135" t="s">
        <v>312</v>
      </c>
      <c r="E135" t="s">
        <v>67</v>
      </c>
      <c r="F135" t="s">
        <v>3342</v>
      </c>
      <c r="G135" t="s">
        <v>152</v>
      </c>
      <c r="H135" t="s">
        <v>153</v>
      </c>
      <c r="I135" t="s">
        <v>154</v>
      </c>
      <c r="J135">
        <v>19961028</v>
      </c>
    </row>
    <row r="136" spans="1:10">
      <c r="A136" t="s">
        <v>3343</v>
      </c>
      <c r="B136">
        <v>600557</v>
      </c>
      <c r="C136" t="s">
        <v>3344</v>
      </c>
      <c r="D136" t="s">
        <v>212</v>
      </c>
      <c r="E136" t="s">
        <v>67</v>
      </c>
      <c r="F136" t="s">
        <v>3345</v>
      </c>
      <c r="G136" t="s">
        <v>152</v>
      </c>
      <c r="H136" t="s">
        <v>174</v>
      </c>
      <c r="I136" t="s">
        <v>154</v>
      </c>
      <c r="J136">
        <v>20020918</v>
      </c>
    </row>
    <row r="137" spans="1:10">
      <c r="A137" t="s">
        <v>3346</v>
      </c>
      <c r="B137">
        <v>650</v>
      </c>
      <c r="C137" t="s">
        <v>3347</v>
      </c>
      <c r="D137" t="s">
        <v>406</v>
      </c>
      <c r="E137" t="s">
        <v>67</v>
      </c>
      <c r="F137" t="s">
        <v>3348</v>
      </c>
      <c r="G137" t="s">
        <v>152</v>
      </c>
      <c r="H137" t="s">
        <v>153</v>
      </c>
      <c r="I137" t="s">
        <v>154</v>
      </c>
      <c r="J137">
        <v>19961210</v>
      </c>
    </row>
    <row r="138" spans="1:10">
      <c r="A138" t="s">
        <v>3349</v>
      </c>
      <c r="B138">
        <v>600750</v>
      </c>
      <c r="C138" t="s">
        <v>3350</v>
      </c>
      <c r="D138" t="s">
        <v>406</v>
      </c>
      <c r="E138" t="s">
        <v>67</v>
      </c>
      <c r="F138" t="s">
        <v>3351</v>
      </c>
      <c r="G138" t="s">
        <v>152</v>
      </c>
      <c r="H138" t="s">
        <v>174</v>
      </c>
      <c r="I138" t="s">
        <v>154</v>
      </c>
      <c r="J138">
        <v>19960923</v>
      </c>
    </row>
    <row r="139" spans="1:10">
      <c r="A139" t="s">
        <v>3352</v>
      </c>
      <c r="B139">
        <v>423</v>
      </c>
      <c r="C139" t="s">
        <v>3353</v>
      </c>
      <c r="D139" t="s">
        <v>198</v>
      </c>
      <c r="E139" t="s">
        <v>67</v>
      </c>
      <c r="F139" t="s">
        <v>3354</v>
      </c>
      <c r="G139" t="s">
        <v>152</v>
      </c>
      <c r="H139" t="s">
        <v>153</v>
      </c>
      <c r="I139" t="s">
        <v>154</v>
      </c>
      <c r="J139">
        <v>19960729</v>
      </c>
    </row>
    <row r="140" spans="1:10">
      <c r="A140" t="s">
        <v>3355</v>
      </c>
      <c r="B140">
        <v>603858</v>
      </c>
      <c r="C140" t="s">
        <v>3356</v>
      </c>
      <c r="D140" t="s">
        <v>198</v>
      </c>
      <c r="E140" t="s">
        <v>67</v>
      </c>
      <c r="F140" t="s">
        <v>3357</v>
      </c>
      <c r="G140" t="s">
        <v>152</v>
      </c>
      <c r="H140" t="s">
        <v>174</v>
      </c>
      <c r="I140" t="s">
        <v>154</v>
      </c>
      <c r="J140">
        <v>20161118</v>
      </c>
    </row>
    <row r="141" spans="1:10">
      <c r="A141" t="s">
        <v>3358</v>
      </c>
      <c r="B141">
        <v>600351</v>
      </c>
      <c r="C141" t="s">
        <v>3359</v>
      </c>
      <c r="D141" t="s">
        <v>557</v>
      </c>
      <c r="E141" t="s">
        <v>67</v>
      </c>
      <c r="F141" t="s">
        <v>3360</v>
      </c>
      <c r="G141" t="s">
        <v>152</v>
      </c>
      <c r="H141" t="s">
        <v>174</v>
      </c>
      <c r="I141" t="s">
        <v>154</v>
      </c>
      <c r="J141">
        <v>20020926</v>
      </c>
    </row>
    <row r="142" spans="1:10">
      <c r="A142" t="s">
        <v>3361</v>
      </c>
      <c r="B142">
        <v>600771</v>
      </c>
      <c r="C142" t="s">
        <v>3362</v>
      </c>
      <c r="D142" t="s">
        <v>557</v>
      </c>
      <c r="E142" t="s">
        <v>67</v>
      </c>
      <c r="F142" t="s">
        <v>3363</v>
      </c>
      <c r="G142" t="s">
        <v>152</v>
      </c>
      <c r="H142" t="s">
        <v>174</v>
      </c>
      <c r="I142" t="s">
        <v>154</v>
      </c>
      <c r="J142">
        <v>19961105</v>
      </c>
    </row>
    <row r="143" spans="1:10">
      <c r="A143" t="s">
        <v>3364</v>
      </c>
      <c r="B143">
        <v>600080</v>
      </c>
      <c r="C143" t="s">
        <v>3365</v>
      </c>
      <c r="D143" t="s">
        <v>419</v>
      </c>
      <c r="E143" t="s">
        <v>67</v>
      </c>
      <c r="F143" t="s">
        <v>3366</v>
      </c>
      <c r="G143" t="s">
        <v>152</v>
      </c>
      <c r="H143" t="s">
        <v>174</v>
      </c>
      <c r="I143" t="s">
        <v>154</v>
      </c>
      <c r="J143">
        <v>19970612</v>
      </c>
    </row>
    <row r="144" spans="1:10">
      <c r="A144" t="s">
        <v>3367</v>
      </c>
      <c r="B144">
        <v>603139</v>
      </c>
      <c r="C144" t="s">
        <v>3368</v>
      </c>
      <c r="D144" t="s">
        <v>419</v>
      </c>
      <c r="E144" t="s">
        <v>67</v>
      </c>
      <c r="F144" t="s">
        <v>3369</v>
      </c>
      <c r="G144" t="s">
        <v>152</v>
      </c>
      <c r="H144" t="s">
        <v>174</v>
      </c>
      <c r="I144" t="s">
        <v>154</v>
      </c>
      <c r="J144">
        <v>20170421</v>
      </c>
    </row>
    <row r="145" spans="1:10">
      <c r="A145" t="s">
        <v>3370</v>
      </c>
      <c r="B145">
        <v>600613</v>
      </c>
      <c r="C145" t="s">
        <v>3371</v>
      </c>
      <c r="D145" t="s">
        <v>172</v>
      </c>
      <c r="E145" t="s">
        <v>67</v>
      </c>
      <c r="F145" t="s">
        <v>3372</v>
      </c>
      <c r="G145" t="s">
        <v>152</v>
      </c>
      <c r="H145" t="s">
        <v>174</v>
      </c>
      <c r="I145" t="s">
        <v>154</v>
      </c>
      <c r="J145">
        <v>19920820</v>
      </c>
    </row>
    <row r="146" spans="1:10">
      <c r="A146" t="s">
        <v>3373</v>
      </c>
      <c r="B146">
        <v>999</v>
      </c>
      <c r="C146" t="s">
        <v>3374</v>
      </c>
      <c r="D146" t="s">
        <v>243</v>
      </c>
      <c r="E146" t="s">
        <v>67</v>
      </c>
      <c r="F146" t="s">
        <v>3375</v>
      </c>
      <c r="G146" t="s">
        <v>152</v>
      </c>
      <c r="H146" t="s">
        <v>153</v>
      </c>
      <c r="I146" t="s">
        <v>154</v>
      </c>
      <c r="J146">
        <v>20000309</v>
      </c>
    </row>
    <row r="147" spans="1:10">
      <c r="A147" s="3" t="s">
        <v>3376</v>
      </c>
      <c r="B147" s="3">
        <v>790</v>
      </c>
      <c r="C147" s="3" t="s">
        <v>3377</v>
      </c>
      <c r="D147" s="3" t="s">
        <v>219</v>
      </c>
      <c r="E147" s="3" t="s">
        <v>67</v>
      </c>
      <c r="F147" s="3" t="s">
        <v>3378</v>
      </c>
      <c r="G147" s="3" t="s">
        <v>152</v>
      </c>
      <c r="H147" s="3" t="s">
        <v>153</v>
      </c>
      <c r="I147" s="3" t="s">
        <v>154</v>
      </c>
      <c r="J147" s="3">
        <v>19980327</v>
      </c>
    </row>
    <row r="148" spans="1:10">
      <c r="A148" t="s">
        <v>3379</v>
      </c>
      <c r="B148">
        <v>600329</v>
      </c>
      <c r="C148" t="s">
        <v>3380</v>
      </c>
      <c r="D148" t="s">
        <v>576</v>
      </c>
      <c r="E148" t="s">
        <v>67</v>
      </c>
      <c r="F148" t="s">
        <v>3381</v>
      </c>
      <c r="G148" t="s">
        <v>152</v>
      </c>
      <c r="H148" t="s">
        <v>174</v>
      </c>
      <c r="I148" t="s">
        <v>154</v>
      </c>
      <c r="J148">
        <v>20010606</v>
      </c>
    </row>
    <row r="149" spans="1:10">
      <c r="A149" t="s">
        <v>3382</v>
      </c>
      <c r="B149">
        <v>600535</v>
      </c>
      <c r="C149" t="s">
        <v>3383</v>
      </c>
      <c r="D149" t="s">
        <v>576</v>
      </c>
      <c r="E149" t="s">
        <v>67</v>
      </c>
      <c r="F149" t="s">
        <v>3384</v>
      </c>
      <c r="G149" t="s">
        <v>152</v>
      </c>
      <c r="H149" t="s">
        <v>174</v>
      </c>
      <c r="I149" t="s">
        <v>154</v>
      </c>
      <c r="J149">
        <v>20020823</v>
      </c>
    </row>
    <row r="150" spans="1:10">
      <c r="A150" s="3" t="s">
        <v>3385</v>
      </c>
      <c r="B150" s="3">
        <v>600211</v>
      </c>
      <c r="C150" s="3" t="s">
        <v>3386</v>
      </c>
      <c r="D150" s="3" t="s">
        <v>1001</v>
      </c>
      <c r="E150" s="3" t="s">
        <v>67</v>
      </c>
      <c r="F150" s="3" t="s">
        <v>3387</v>
      </c>
      <c r="G150" s="3" t="s">
        <v>152</v>
      </c>
      <c r="H150" s="3" t="s">
        <v>174</v>
      </c>
      <c r="I150" s="3" t="s">
        <v>154</v>
      </c>
      <c r="J150" s="3">
        <v>19990721</v>
      </c>
    </row>
    <row r="151" spans="1:10">
      <c r="A151" t="s">
        <v>3388</v>
      </c>
      <c r="B151">
        <v>538</v>
      </c>
      <c r="C151" t="s">
        <v>3389</v>
      </c>
      <c r="D151" t="s">
        <v>184</v>
      </c>
      <c r="E151" t="s">
        <v>67</v>
      </c>
      <c r="F151" t="s">
        <v>3390</v>
      </c>
      <c r="G151" t="s">
        <v>152</v>
      </c>
      <c r="H151" t="s">
        <v>153</v>
      </c>
      <c r="I151" t="s">
        <v>154</v>
      </c>
      <c r="J151">
        <v>19931215</v>
      </c>
    </row>
    <row r="152" spans="1:10">
      <c r="A152" t="s">
        <v>3391</v>
      </c>
      <c r="B152">
        <v>600422</v>
      </c>
      <c r="C152" t="s">
        <v>3392</v>
      </c>
      <c r="D152" t="s">
        <v>184</v>
      </c>
      <c r="E152" t="s">
        <v>67</v>
      </c>
      <c r="F152" t="s">
        <v>3393</v>
      </c>
      <c r="G152" t="s">
        <v>152</v>
      </c>
      <c r="H152" t="s">
        <v>174</v>
      </c>
      <c r="I152" t="s">
        <v>154</v>
      </c>
      <c r="J152">
        <v>20001206</v>
      </c>
    </row>
    <row r="153" spans="1:10">
      <c r="A153" t="s">
        <v>3394</v>
      </c>
      <c r="B153">
        <v>603963</v>
      </c>
      <c r="C153" t="s">
        <v>3395</v>
      </c>
      <c r="D153" t="s">
        <v>184</v>
      </c>
      <c r="E153" t="s">
        <v>67</v>
      </c>
      <c r="F153" t="s">
        <v>3396</v>
      </c>
      <c r="G153" t="s">
        <v>152</v>
      </c>
      <c r="H153" t="s">
        <v>174</v>
      </c>
      <c r="I153" t="s">
        <v>154</v>
      </c>
      <c r="J153">
        <v>20170922</v>
      </c>
    </row>
    <row r="154" spans="1:10">
      <c r="A154" t="s">
        <v>3397</v>
      </c>
      <c r="B154">
        <v>600572</v>
      </c>
      <c r="C154" t="s">
        <v>3398</v>
      </c>
      <c r="D154" t="s">
        <v>423</v>
      </c>
      <c r="E154" t="s">
        <v>67</v>
      </c>
      <c r="F154" t="s">
        <v>3399</v>
      </c>
      <c r="G154" t="s">
        <v>152</v>
      </c>
      <c r="H154" t="s">
        <v>174</v>
      </c>
      <c r="I154" t="s">
        <v>154</v>
      </c>
      <c r="J154">
        <v>20040412</v>
      </c>
    </row>
    <row r="155" spans="1:10">
      <c r="A155" t="s">
        <v>3400</v>
      </c>
      <c r="B155">
        <v>600671</v>
      </c>
      <c r="C155" t="s">
        <v>3401</v>
      </c>
      <c r="D155" t="s">
        <v>423</v>
      </c>
      <c r="E155" t="s">
        <v>67</v>
      </c>
      <c r="F155" t="s">
        <v>3402</v>
      </c>
      <c r="G155" t="s">
        <v>152</v>
      </c>
      <c r="H155" t="s">
        <v>174</v>
      </c>
      <c r="I155" t="s">
        <v>154</v>
      </c>
      <c r="J155">
        <v>19930823</v>
      </c>
    </row>
    <row r="156" spans="1:10">
      <c r="A156" t="s">
        <v>3403</v>
      </c>
      <c r="B156">
        <v>603896</v>
      </c>
      <c r="C156" t="s">
        <v>3404</v>
      </c>
      <c r="D156" t="s">
        <v>423</v>
      </c>
      <c r="E156" t="s">
        <v>67</v>
      </c>
      <c r="F156" t="s">
        <v>3405</v>
      </c>
      <c r="G156" t="s">
        <v>152</v>
      </c>
      <c r="H156" t="s">
        <v>174</v>
      </c>
      <c r="I156" t="s">
        <v>154</v>
      </c>
      <c r="J156">
        <v>20170510</v>
      </c>
    </row>
    <row r="157" spans="1:10">
      <c r="A157" t="s">
        <v>3406</v>
      </c>
      <c r="B157">
        <v>600129</v>
      </c>
      <c r="C157" t="s">
        <v>3407</v>
      </c>
      <c r="D157" t="s">
        <v>937</v>
      </c>
      <c r="E157" t="s">
        <v>67</v>
      </c>
      <c r="F157" t="s">
        <v>3408</v>
      </c>
      <c r="G157" t="s">
        <v>152</v>
      </c>
      <c r="H157" t="s">
        <v>174</v>
      </c>
      <c r="I157" t="s">
        <v>154</v>
      </c>
      <c r="J157">
        <v>19971118</v>
      </c>
    </row>
  </sheetData>
  <autoFilter ref="A1:M157">
    <sortState ref="A1:M157">
      <sortCondition ref="E1"/>
    </sortState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opLeftCell="A11" workbookViewId="0">
      <selection activeCell="F11" sqref="F11"/>
    </sheetView>
  </sheetViews>
  <sheetFormatPr defaultColWidth="9" defaultRowHeight="13.5"/>
  <cols>
    <col min="1" max="1" width="15.125" customWidth="1"/>
    <col min="5" max="5" width="13.9333333333333" customWidth="1"/>
    <col min="6" max="6" width="13.5" customWidth="1"/>
    <col min="10" max="10" width="9.375"/>
  </cols>
  <sheetData>
    <row r="1" spans="1:10">
      <c r="A1" t="s">
        <v>3409</v>
      </c>
      <c r="B1">
        <v>27</v>
      </c>
      <c r="C1" t="s">
        <v>3410</v>
      </c>
      <c r="D1" t="s">
        <v>243</v>
      </c>
      <c r="E1" t="s">
        <v>77</v>
      </c>
      <c r="F1" t="s">
        <v>3411</v>
      </c>
      <c r="G1" t="s">
        <v>152</v>
      </c>
      <c r="H1" t="s">
        <v>153</v>
      </c>
      <c r="I1" t="s">
        <v>154</v>
      </c>
      <c r="J1">
        <v>19930903</v>
      </c>
    </row>
    <row r="2" spans="1:10">
      <c r="A2" t="s">
        <v>3412</v>
      </c>
      <c r="B2">
        <v>37</v>
      </c>
      <c r="C2" t="s">
        <v>3413</v>
      </c>
      <c r="D2" t="s">
        <v>243</v>
      </c>
      <c r="E2" t="s">
        <v>77</v>
      </c>
      <c r="F2" t="s">
        <v>3414</v>
      </c>
      <c r="G2" t="s">
        <v>152</v>
      </c>
      <c r="H2" t="s">
        <v>153</v>
      </c>
      <c r="I2" t="s">
        <v>154</v>
      </c>
      <c r="J2">
        <v>19940701</v>
      </c>
    </row>
    <row r="3" spans="1:12">
      <c r="A3" t="s">
        <v>3415</v>
      </c>
      <c r="B3">
        <v>40</v>
      </c>
      <c r="C3" t="s">
        <v>3416</v>
      </c>
      <c r="D3" t="s">
        <v>243</v>
      </c>
      <c r="E3" t="s">
        <v>82</v>
      </c>
      <c r="F3" t="s">
        <v>3417</v>
      </c>
      <c r="G3" t="s">
        <v>152</v>
      </c>
      <c r="H3" t="s">
        <v>153</v>
      </c>
      <c r="I3" t="s">
        <v>154</v>
      </c>
      <c r="J3">
        <v>19940808</v>
      </c>
      <c r="L3" s="5">
        <f ca="1">CEILING(RAND()*107,1)</f>
        <v>81</v>
      </c>
    </row>
    <row r="4" spans="1:10">
      <c r="A4" t="s">
        <v>3418</v>
      </c>
      <c r="B4">
        <v>155</v>
      </c>
      <c r="C4" t="s">
        <v>3419</v>
      </c>
      <c r="D4" t="s">
        <v>219</v>
      </c>
      <c r="E4" t="s">
        <v>82</v>
      </c>
      <c r="F4" t="s">
        <v>3420</v>
      </c>
      <c r="G4" t="s">
        <v>152</v>
      </c>
      <c r="H4" t="s">
        <v>153</v>
      </c>
      <c r="I4" t="s">
        <v>154</v>
      </c>
      <c r="J4">
        <v>20000926</v>
      </c>
    </row>
    <row r="5" spans="1:10">
      <c r="A5" t="s">
        <v>3421</v>
      </c>
      <c r="B5">
        <v>407</v>
      </c>
      <c r="C5" t="s">
        <v>3422</v>
      </c>
      <c r="D5" t="s">
        <v>198</v>
      </c>
      <c r="E5" t="s">
        <v>91</v>
      </c>
      <c r="F5" t="s">
        <v>3423</v>
      </c>
      <c r="G5" t="s">
        <v>152</v>
      </c>
      <c r="H5" t="s">
        <v>153</v>
      </c>
      <c r="I5" t="s">
        <v>154</v>
      </c>
      <c r="J5">
        <v>19960703</v>
      </c>
    </row>
    <row r="6" spans="1:10">
      <c r="A6" t="s">
        <v>3424</v>
      </c>
      <c r="B6">
        <v>421</v>
      </c>
      <c r="C6" t="s">
        <v>3425</v>
      </c>
      <c r="D6" t="s">
        <v>212</v>
      </c>
      <c r="E6" t="s">
        <v>91</v>
      </c>
      <c r="F6" t="s">
        <v>3426</v>
      </c>
      <c r="G6" t="s">
        <v>152</v>
      </c>
      <c r="H6" t="s">
        <v>153</v>
      </c>
      <c r="I6" t="s">
        <v>154</v>
      </c>
      <c r="J6">
        <v>19960806</v>
      </c>
    </row>
    <row r="7" spans="1:10">
      <c r="A7" t="s">
        <v>3427</v>
      </c>
      <c r="B7">
        <v>531</v>
      </c>
      <c r="C7" t="s">
        <v>3428</v>
      </c>
      <c r="D7" t="s">
        <v>223</v>
      </c>
      <c r="E7" t="s">
        <v>77</v>
      </c>
      <c r="F7" t="s">
        <v>3429</v>
      </c>
      <c r="G7" t="s">
        <v>152</v>
      </c>
      <c r="H7" t="s">
        <v>153</v>
      </c>
      <c r="I7" t="s">
        <v>154</v>
      </c>
      <c r="J7">
        <v>19940106</v>
      </c>
    </row>
    <row r="8" spans="1:10">
      <c r="A8" t="s">
        <v>3430</v>
      </c>
      <c r="B8">
        <v>537</v>
      </c>
      <c r="C8" t="s">
        <v>3431</v>
      </c>
      <c r="D8" t="s">
        <v>576</v>
      </c>
      <c r="E8" t="s">
        <v>82</v>
      </c>
      <c r="F8" t="s">
        <v>3432</v>
      </c>
      <c r="G8" t="s">
        <v>152</v>
      </c>
      <c r="H8" t="s">
        <v>153</v>
      </c>
      <c r="I8" t="s">
        <v>154</v>
      </c>
      <c r="J8">
        <v>19931210</v>
      </c>
    </row>
    <row r="9" spans="1:10">
      <c r="A9" t="s">
        <v>3433</v>
      </c>
      <c r="B9">
        <v>539</v>
      </c>
      <c r="C9" t="s">
        <v>3434</v>
      </c>
      <c r="D9" t="s">
        <v>223</v>
      </c>
      <c r="E9" t="s">
        <v>77</v>
      </c>
      <c r="F9" t="s">
        <v>3435</v>
      </c>
      <c r="G9" t="s">
        <v>152</v>
      </c>
      <c r="H9" t="s">
        <v>153</v>
      </c>
      <c r="I9" t="s">
        <v>154</v>
      </c>
      <c r="J9">
        <v>19931126</v>
      </c>
    </row>
    <row r="10" spans="1:10">
      <c r="A10" t="s">
        <v>3436</v>
      </c>
      <c r="B10">
        <v>543</v>
      </c>
      <c r="C10" t="s">
        <v>3437</v>
      </c>
      <c r="D10" t="s">
        <v>160</v>
      </c>
      <c r="E10" t="s">
        <v>77</v>
      </c>
      <c r="F10" t="s">
        <v>3438</v>
      </c>
      <c r="G10" t="s">
        <v>152</v>
      </c>
      <c r="H10" t="s">
        <v>153</v>
      </c>
      <c r="I10" t="s">
        <v>154</v>
      </c>
      <c r="J10">
        <v>19931220</v>
      </c>
    </row>
    <row r="11" spans="1:10">
      <c r="A11" t="s">
        <v>3439</v>
      </c>
      <c r="B11">
        <v>591</v>
      </c>
      <c r="C11" t="s">
        <v>3440</v>
      </c>
      <c r="D11" t="s">
        <v>937</v>
      </c>
      <c r="E11" t="s">
        <v>82</v>
      </c>
      <c r="F11" t="s">
        <v>3441</v>
      </c>
      <c r="G11" t="s">
        <v>152</v>
      </c>
      <c r="H11" t="s">
        <v>153</v>
      </c>
      <c r="I11" t="s">
        <v>154</v>
      </c>
      <c r="J11">
        <v>19960208</v>
      </c>
    </row>
    <row r="12" spans="1:10">
      <c r="A12" t="s">
        <v>3442</v>
      </c>
      <c r="B12">
        <v>593</v>
      </c>
      <c r="C12" t="s">
        <v>3443</v>
      </c>
      <c r="D12" t="s">
        <v>219</v>
      </c>
      <c r="E12" t="s">
        <v>91</v>
      </c>
      <c r="F12" t="s">
        <v>3444</v>
      </c>
      <c r="G12" t="s">
        <v>152</v>
      </c>
      <c r="H12" t="s">
        <v>153</v>
      </c>
      <c r="I12" t="s">
        <v>154</v>
      </c>
      <c r="J12">
        <v>19960312</v>
      </c>
    </row>
    <row r="13" spans="1:10">
      <c r="A13" t="s">
        <v>3445</v>
      </c>
      <c r="B13">
        <v>598</v>
      </c>
      <c r="C13" t="s">
        <v>3446</v>
      </c>
      <c r="D13" t="s">
        <v>219</v>
      </c>
      <c r="E13" t="s">
        <v>96</v>
      </c>
      <c r="F13" t="s">
        <v>3447</v>
      </c>
      <c r="G13" t="s">
        <v>152</v>
      </c>
      <c r="H13" t="s">
        <v>153</v>
      </c>
      <c r="I13" t="s">
        <v>154</v>
      </c>
      <c r="J13">
        <v>19960529</v>
      </c>
    </row>
    <row r="14" spans="1:10">
      <c r="A14" t="s">
        <v>3448</v>
      </c>
      <c r="B14">
        <v>600</v>
      </c>
      <c r="C14" t="s">
        <v>3449</v>
      </c>
      <c r="D14" t="s">
        <v>279</v>
      </c>
      <c r="E14" t="s">
        <v>77</v>
      </c>
      <c r="F14" t="s">
        <v>3450</v>
      </c>
      <c r="G14" t="s">
        <v>152</v>
      </c>
      <c r="H14" t="s">
        <v>153</v>
      </c>
      <c r="I14" t="s">
        <v>154</v>
      </c>
      <c r="J14">
        <v>19960606</v>
      </c>
    </row>
    <row r="15" spans="1:10">
      <c r="A15" t="s">
        <v>3451</v>
      </c>
      <c r="B15">
        <v>601</v>
      </c>
      <c r="C15" t="s">
        <v>3452</v>
      </c>
      <c r="D15" t="s">
        <v>223</v>
      </c>
      <c r="E15" t="s">
        <v>68</v>
      </c>
      <c r="F15" t="s">
        <v>3453</v>
      </c>
      <c r="G15" t="s">
        <v>152</v>
      </c>
      <c r="H15" t="s">
        <v>153</v>
      </c>
      <c r="I15" t="s">
        <v>154</v>
      </c>
      <c r="J15">
        <v>19960830</v>
      </c>
    </row>
    <row r="16" spans="1:10">
      <c r="A16" t="s">
        <v>3454</v>
      </c>
      <c r="B16">
        <v>605</v>
      </c>
      <c r="C16" t="s">
        <v>3455</v>
      </c>
      <c r="D16" t="s">
        <v>164</v>
      </c>
      <c r="E16" t="s">
        <v>91</v>
      </c>
      <c r="F16" t="s">
        <v>3456</v>
      </c>
      <c r="G16" t="s">
        <v>152</v>
      </c>
      <c r="H16" t="s">
        <v>153</v>
      </c>
      <c r="I16" t="s">
        <v>154</v>
      </c>
      <c r="J16">
        <v>19960913</v>
      </c>
    </row>
    <row r="17" spans="1:10">
      <c r="A17" t="s">
        <v>3457</v>
      </c>
      <c r="B17">
        <v>669</v>
      </c>
      <c r="C17" t="s">
        <v>3458</v>
      </c>
      <c r="D17" t="s">
        <v>312</v>
      </c>
      <c r="E17" t="s">
        <v>91</v>
      </c>
      <c r="F17" t="s">
        <v>3459</v>
      </c>
      <c r="G17" t="s">
        <v>152</v>
      </c>
      <c r="H17" t="s">
        <v>153</v>
      </c>
      <c r="I17" t="s">
        <v>154</v>
      </c>
      <c r="J17">
        <v>19961210</v>
      </c>
    </row>
    <row r="18" spans="1:10">
      <c r="A18" t="s">
        <v>3460</v>
      </c>
      <c r="B18">
        <v>685</v>
      </c>
      <c r="C18" t="s">
        <v>3461</v>
      </c>
      <c r="D18" t="s">
        <v>223</v>
      </c>
      <c r="E18" t="s">
        <v>96</v>
      </c>
      <c r="F18" t="s">
        <v>3462</v>
      </c>
      <c r="G18" t="s">
        <v>152</v>
      </c>
      <c r="H18" t="s">
        <v>153</v>
      </c>
      <c r="I18" t="s">
        <v>154</v>
      </c>
      <c r="J18">
        <v>19970123</v>
      </c>
    </row>
    <row r="19" spans="1:10">
      <c r="A19" t="s">
        <v>3463</v>
      </c>
      <c r="B19">
        <v>690</v>
      </c>
      <c r="C19" t="s">
        <v>3464</v>
      </c>
      <c r="D19" t="s">
        <v>223</v>
      </c>
      <c r="E19" t="s">
        <v>77</v>
      </c>
      <c r="F19" t="s">
        <v>3465</v>
      </c>
      <c r="G19" t="s">
        <v>152</v>
      </c>
      <c r="H19" t="s">
        <v>153</v>
      </c>
      <c r="I19" t="s">
        <v>154</v>
      </c>
      <c r="J19">
        <v>19970128</v>
      </c>
    </row>
    <row r="20" spans="1:10">
      <c r="A20" t="s">
        <v>3466</v>
      </c>
      <c r="B20">
        <v>692</v>
      </c>
      <c r="C20" t="s">
        <v>3467</v>
      </c>
      <c r="D20" t="s">
        <v>236</v>
      </c>
      <c r="E20" t="s">
        <v>91</v>
      </c>
      <c r="F20" t="s">
        <v>3468</v>
      </c>
      <c r="G20" t="s">
        <v>152</v>
      </c>
      <c r="H20" t="s">
        <v>153</v>
      </c>
      <c r="I20" t="s">
        <v>154</v>
      </c>
      <c r="J20">
        <v>19970227</v>
      </c>
    </row>
    <row r="21" spans="1:10">
      <c r="A21" t="s">
        <v>3469</v>
      </c>
      <c r="B21">
        <v>767</v>
      </c>
      <c r="C21" t="s">
        <v>3470</v>
      </c>
      <c r="D21" t="s">
        <v>557</v>
      </c>
      <c r="E21" t="s">
        <v>77</v>
      </c>
      <c r="F21" t="s">
        <v>3471</v>
      </c>
      <c r="G21" t="s">
        <v>152</v>
      </c>
      <c r="H21" t="s">
        <v>153</v>
      </c>
      <c r="I21" t="s">
        <v>154</v>
      </c>
      <c r="J21">
        <v>19970609</v>
      </c>
    </row>
    <row r="22" spans="1:10">
      <c r="A22" t="s">
        <v>3472</v>
      </c>
      <c r="B22">
        <v>791</v>
      </c>
      <c r="C22" t="s">
        <v>3473</v>
      </c>
      <c r="D22" t="s">
        <v>177</v>
      </c>
      <c r="E22" t="s">
        <v>68</v>
      </c>
      <c r="F22" t="s">
        <v>3474</v>
      </c>
      <c r="G22" t="s">
        <v>152</v>
      </c>
      <c r="H22" t="s">
        <v>153</v>
      </c>
      <c r="I22" t="s">
        <v>154</v>
      </c>
      <c r="J22">
        <v>19971014</v>
      </c>
    </row>
    <row r="23" spans="1:10">
      <c r="A23" t="s">
        <v>3475</v>
      </c>
      <c r="B23">
        <v>862</v>
      </c>
      <c r="C23" t="s">
        <v>3476</v>
      </c>
      <c r="D23" t="s">
        <v>332</v>
      </c>
      <c r="E23" t="s">
        <v>82</v>
      </c>
      <c r="F23" t="s">
        <v>3477</v>
      </c>
      <c r="G23" t="s">
        <v>152</v>
      </c>
      <c r="H23" t="s">
        <v>153</v>
      </c>
      <c r="I23" t="s">
        <v>154</v>
      </c>
      <c r="J23">
        <v>19980915</v>
      </c>
    </row>
    <row r="24" spans="1:10">
      <c r="A24" t="s">
        <v>3478</v>
      </c>
      <c r="B24">
        <v>875</v>
      </c>
      <c r="C24" t="s">
        <v>3479</v>
      </c>
      <c r="D24" t="s">
        <v>312</v>
      </c>
      <c r="E24" t="s">
        <v>77</v>
      </c>
      <c r="F24" t="s">
        <v>3480</v>
      </c>
      <c r="G24" t="s">
        <v>152</v>
      </c>
      <c r="H24" t="s">
        <v>153</v>
      </c>
      <c r="I24" t="s">
        <v>154</v>
      </c>
      <c r="J24">
        <v>20020926</v>
      </c>
    </row>
    <row r="25" spans="1:10">
      <c r="A25" t="s">
        <v>3481</v>
      </c>
      <c r="B25">
        <v>883</v>
      </c>
      <c r="C25" t="s">
        <v>3482</v>
      </c>
      <c r="D25" t="s">
        <v>316</v>
      </c>
      <c r="E25" t="s">
        <v>77</v>
      </c>
      <c r="F25" t="s">
        <v>3483</v>
      </c>
      <c r="G25" t="s">
        <v>152</v>
      </c>
      <c r="H25" t="s">
        <v>153</v>
      </c>
      <c r="I25" t="s">
        <v>154</v>
      </c>
      <c r="J25">
        <v>19980519</v>
      </c>
    </row>
    <row r="26" spans="1:10">
      <c r="A26" t="s">
        <v>3484</v>
      </c>
      <c r="B26">
        <v>899</v>
      </c>
      <c r="C26" t="s">
        <v>3485</v>
      </c>
      <c r="D26" t="s">
        <v>406</v>
      </c>
      <c r="E26" t="s">
        <v>77</v>
      </c>
      <c r="F26" t="s">
        <v>3486</v>
      </c>
      <c r="G26" t="s">
        <v>152</v>
      </c>
      <c r="H26" t="s">
        <v>153</v>
      </c>
      <c r="I26" t="s">
        <v>154</v>
      </c>
      <c r="J26">
        <v>19971126</v>
      </c>
    </row>
    <row r="27" spans="1:10">
      <c r="A27" t="s">
        <v>3487</v>
      </c>
      <c r="B27">
        <v>966</v>
      </c>
      <c r="C27" t="s">
        <v>3488</v>
      </c>
      <c r="D27" t="s">
        <v>316</v>
      </c>
      <c r="E27" t="s">
        <v>77</v>
      </c>
      <c r="F27" t="s">
        <v>3489</v>
      </c>
      <c r="G27" t="s">
        <v>152</v>
      </c>
      <c r="H27" t="s">
        <v>153</v>
      </c>
      <c r="I27" t="s">
        <v>154</v>
      </c>
      <c r="J27">
        <v>20000316</v>
      </c>
    </row>
    <row r="28" spans="1:10">
      <c r="A28" t="s">
        <v>3490</v>
      </c>
      <c r="B28">
        <v>993</v>
      </c>
      <c r="C28" t="s">
        <v>3491</v>
      </c>
      <c r="D28" t="s">
        <v>150</v>
      </c>
      <c r="E28" t="s">
        <v>68</v>
      </c>
      <c r="F28" t="s">
        <v>3492</v>
      </c>
      <c r="G28" t="s">
        <v>152</v>
      </c>
      <c r="H28" t="s">
        <v>153</v>
      </c>
      <c r="I28" t="s">
        <v>154</v>
      </c>
      <c r="J28">
        <v>20000731</v>
      </c>
    </row>
    <row r="29" spans="1:10">
      <c r="A29" t="s">
        <v>3493</v>
      </c>
      <c r="B29">
        <v>1210</v>
      </c>
      <c r="C29" t="s">
        <v>3494</v>
      </c>
      <c r="D29" t="s">
        <v>164</v>
      </c>
      <c r="E29" t="s">
        <v>91</v>
      </c>
      <c r="F29" t="s">
        <v>3495</v>
      </c>
      <c r="G29" t="s">
        <v>152</v>
      </c>
      <c r="H29" t="s">
        <v>153</v>
      </c>
      <c r="I29" t="s">
        <v>154</v>
      </c>
      <c r="J29">
        <v>20210729</v>
      </c>
    </row>
    <row r="30" spans="1:10">
      <c r="A30" t="s">
        <v>3496</v>
      </c>
      <c r="B30">
        <v>1258</v>
      </c>
      <c r="C30" t="s">
        <v>3497</v>
      </c>
      <c r="D30" t="s">
        <v>202</v>
      </c>
      <c r="E30" t="s">
        <v>82</v>
      </c>
      <c r="F30" t="s">
        <v>3498</v>
      </c>
      <c r="G30" t="s">
        <v>152</v>
      </c>
      <c r="H30" t="s">
        <v>153</v>
      </c>
      <c r="I30" t="s">
        <v>154</v>
      </c>
      <c r="J30">
        <v>20220727</v>
      </c>
    </row>
    <row r="31" spans="1:10">
      <c r="A31" t="s">
        <v>3499</v>
      </c>
      <c r="B31">
        <v>1289</v>
      </c>
      <c r="C31" t="s">
        <v>3500</v>
      </c>
      <c r="D31" t="s">
        <v>164</v>
      </c>
      <c r="E31" t="s">
        <v>82</v>
      </c>
      <c r="F31" t="s">
        <v>3501</v>
      </c>
      <c r="G31" t="s">
        <v>152</v>
      </c>
      <c r="H31" t="s">
        <v>153</v>
      </c>
      <c r="I31" t="s">
        <v>154</v>
      </c>
      <c r="J31">
        <v>20220124</v>
      </c>
    </row>
    <row r="32" spans="1:10">
      <c r="A32" t="s">
        <v>3502</v>
      </c>
      <c r="B32">
        <v>1299</v>
      </c>
      <c r="C32" t="s">
        <v>3503</v>
      </c>
      <c r="D32" t="s">
        <v>419</v>
      </c>
      <c r="E32" t="s">
        <v>91</v>
      </c>
      <c r="F32" t="s">
        <v>3504</v>
      </c>
      <c r="G32" t="s">
        <v>152</v>
      </c>
      <c r="H32" t="s">
        <v>153</v>
      </c>
      <c r="I32" t="s">
        <v>154</v>
      </c>
      <c r="J32">
        <v>20221031</v>
      </c>
    </row>
    <row r="33" spans="1:10">
      <c r="A33" t="s">
        <v>3505</v>
      </c>
      <c r="B33">
        <v>1896</v>
      </c>
      <c r="C33" t="s">
        <v>3506</v>
      </c>
      <c r="D33" t="s">
        <v>292</v>
      </c>
      <c r="E33" t="s">
        <v>77</v>
      </c>
      <c r="F33" t="s">
        <v>3507</v>
      </c>
      <c r="G33" t="s">
        <v>152</v>
      </c>
      <c r="H33" t="s">
        <v>153</v>
      </c>
      <c r="I33" t="s">
        <v>154</v>
      </c>
      <c r="J33">
        <v>19980122</v>
      </c>
    </row>
    <row r="34" spans="1:10">
      <c r="A34" t="s">
        <v>3508</v>
      </c>
      <c r="B34">
        <v>600011</v>
      </c>
      <c r="C34" t="s">
        <v>3509</v>
      </c>
      <c r="D34" t="s">
        <v>164</v>
      </c>
      <c r="E34" t="s">
        <v>77</v>
      </c>
      <c r="F34" t="s">
        <v>3510</v>
      </c>
      <c r="G34" t="s">
        <v>152</v>
      </c>
      <c r="H34" t="s">
        <v>174</v>
      </c>
      <c r="I34" t="s">
        <v>154</v>
      </c>
      <c r="J34">
        <v>20011206</v>
      </c>
    </row>
    <row r="35" spans="1:10">
      <c r="A35" t="s">
        <v>3511</v>
      </c>
      <c r="B35">
        <v>600021</v>
      </c>
      <c r="C35" t="s">
        <v>3512</v>
      </c>
      <c r="D35" t="s">
        <v>172</v>
      </c>
      <c r="E35" t="s">
        <v>77</v>
      </c>
      <c r="F35" t="s">
        <v>3513</v>
      </c>
      <c r="G35" t="s">
        <v>152</v>
      </c>
      <c r="H35" t="s">
        <v>174</v>
      </c>
      <c r="I35" t="s">
        <v>154</v>
      </c>
      <c r="J35">
        <v>20031029</v>
      </c>
    </row>
    <row r="36" spans="1:10">
      <c r="A36" s="3" t="s">
        <v>3514</v>
      </c>
      <c r="B36" s="3">
        <v>600023</v>
      </c>
      <c r="C36" s="3" t="s">
        <v>3515</v>
      </c>
      <c r="D36" s="3" t="s">
        <v>423</v>
      </c>
      <c r="E36" s="3" t="s">
        <v>77</v>
      </c>
      <c r="F36" s="3" t="s">
        <v>3516</v>
      </c>
      <c r="G36" s="3" t="s">
        <v>152</v>
      </c>
      <c r="H36" s="3" t="s">
        <v>174</v>
      </c>
      <c r="I36" s="3" t="s">
        <v>154</v>
      </c>
      <c r="J36" s="3">
        <v>20131219</v>
      </c>
    </row>
    <row r="37" spans="1:10">
      <c r="A37" t="s">
        <v>3517</v>
      </c>
      <c r="B37">
        <v>600025</v>
      </c>
      <c r="C37" t="s">
        <v>3518</v>
      </c>
      <c r="D37" t="s">
        <v>184</v>
      </c>
      <c r="E37" t="s">
        <v>68</v>
      </c>
      <c r="F37" t="s">
        <v>3519</v>
      </c>
      <c r="G37" t="s">
        <v>152</v>
      </c>
      <c r="H37" t="s">
        <v>174</v>
      </c>
      <c r="I37" t="s">
        <v>154</v>
      </c>
      <c r="J37">
        <v>20171215</v>
      </c>
    </row>
    <row r="38" spans="1:10">
      <c r="A38" t="s">
        <v>3520</v>
      </c>
      <c r="B38">
        <v>600027</v>
      </c>
      <c r="C38" t="s">
        <v>3521</v>
      </c>
      <c r="D38" t="s">
        <v>198</v>
      </c>
      <c r="E38" t="s">
        <v>77</v>
      </c>
      <c r="F38" t="s">
        <v>3522</v>
      </c>
      <c r="G38" t="s">
        <v>152</v>
      </c>
      <c r="H38" t="s">
        <v>174</v>
      </c>
      <c r="I38" t="s">
        <v>154</v>
      </c>
      <c r="J38">
        <v>20050203</v>
      </c>
    </row>
    <row r="39" spans="1:10">
      <c r="A39" t="s">
        <v>3523</v>
      </c>
      <c r="B39">
        <v>600032</v>
      </c>
      <c r="C39" t="s">
        <v>3524</v>
      </c>
      <c r="D39" t="s">
        <v>423</v>
      </c>
      <c r="E39" t="s">
        <v>82</v>
      </c>
      <c r="F39" t="s">
        <v>3525</v>
      </c>
      <c r="G39" t="s">
        <v>152</v>
      </c>
      <c r="H39" t="s">
        <v>174</v>
      </c>
      <c r="I39" t="s">
        <v>154</v>
      </c>
      <c r="J39">
        <v>20210525</v>
      </c>
    </row>
    <row r="40" spans="1:10">
      <c r="A40" t="s">
        <v>3526</v>
      </c>
      <c r="B40">
        <v>600098</v>
      </c>
      <c r="C40" t="s">
        <v>3527</v>
      </c>
      <c r="D40" t="s">
        <v>223</v>
      </c>
      <c r="E40" t="s">
        <v>77</v>
      </c>
      <c r="F40" t="s">
        <v>3528</v>
      </c>
      <c r="G40" t="s">
        <v>152</v>
      </c>
      <c r="H40" t="s">
        <v>174</v>
      </c>
      <c r="I40" t="s">
        <v>154</v>
      </c>
      <c r="J40">
        <v>19970718</v>
      </c>
    </row>
    <row r="41" spans="1:10">
      <c r="A41" t="s">
        <v>3529</v>
      </c>
      <c r="B41">
        <v>600101</v>
      </c>
      <c r="C41" t="s">
        <v>3530</v>
      </c>
      <c r="D41" t="s">
        <v>219</v>
      </c>
      <c r="E41" t="s">
        <v>68</v>
      </c>
      <c r="F41" t="s">
        <v>3531</v>
      </c>
      <c r="G41" t="s">
        <v>152</v>
      </c>
      <c r="H41" t="s">
        <v>174</v>
      </c>
      <c r="I41" t="s">
        <v>154</v>
      </c>
      <c r="J41">
        <v>19970627</v>
      </c>
    </row>
    <row r="42" spans="1:10">
      <c r="A42" t="s">
        <v>3532</v>
      </c>
      <c r="B42">
        <v>600116</v>
      </c>
      <c r="C42" t="s">
        <v>3533</v>
      </c>
      <c r="D42" t="s">
        <v>937</v>
      </c>
      <c r="E42" t="s">
        <v>68</v>
      </c>
      <c r="F42" t="s">
        <v>3534</v>
      </c>
      <c r="G42" t="s">
        <v>152</v>
      </c>
      <c r="H42" t="s">
        <v>174</v>
      </c>
      <c r="I42" t="s">
        <v>154</v>
      </c>
      <c r="J42">
        <v>19970804</v>
      </c>
    </row>
    <row r="43" spans="1:10">
      <c r="A43" t="s">
        <v>3535</v>
      </c>
      <c r="B43">
        <v>600157</v>
      </c>
      <c r="C43" t="s">
        <v>3536</v>
      </c>
      <c r="D43" t="s">
        <v>557</v>
      </c>
      <c r="E43" t="s">
        <v>77</v>
      </c>
      <c r="F43" t="s">
        <v>3537</v>
      </c>
      <c r="G43" t="s">
        <v>152</v>
      </c>
      <c r="H43" t="s">
        <v>174</v>
      </c>
      <c r="I43" t="s">
        <v>154</v>
      </c>
      <c r="J43">
        <v>19980513</v>
      </c>
    </row>
    <row r="44" spans="1:10">
      <c r="A44" t="s">
        <v>3538</v>
      </c>
      <c r="B44">
        <v>600163</v>
      </c>
      <c r="C44" t="s">
        <v>3539</v>
      </c>
      <c r="D44" t="s">
        <v>150</v>
      </c>
      <c r="E44" t="s">
        <v>82</v>
      </c>
      <c r="F44" t="s">
        <v>3540</v>
      </c>
      <c r="G44" t="s">
        <v>152</v>
      </c>
      <c r="H44" t="s">
        <v>174</v>
      </c>
      <c r="I44" t="s">
        <v>154</v>
      </c>
      <c r="J44">
        <v>19980602</v>
      </c>
    </row>
    <row r="45" spans="1:10">
      <c r="A45" t="s">
        <v>3541</v>
      </c>
      <c r="B45">
        <v>600167</v>
      </c>
      <c r="C45" t="s">
        <v>3542</v>
      </c>
      <c r="D45" t="s">
        <v>236</v>
      </c>
      <c r="E45" t="s">
        <v>91</v>
      </c>
      <c r="F45" t="s">
        <v>3543</v>
      </c>
      <c r="G45" t="s">
        <v>152</v>
      </c>
      <c r="H45" t="s">
        <v>174</v>
      </c>
      <c r="I45" t="s">
        <v>154</v>
      </c>
      <c r="J45">
        <v>19990128</v>
      </c>
    </row>
    <row r="46" spans="1:10">
      <c r="A46" t="s">
        <v>3544</v>
      </c>
      <c r="B46">
        <v>600168</v>
      </c>
      <c r="C46" t="s">
        <v>3545</v>
      </c>
      <c r="D46" t="s">
        <v>316</v>
      </c>
      <c r="E46" t="s">
        <v>96</v>
      </c>
      <c r="F46" t="s">
        <v>3546</v>
      </c>
      <c r="G46" t="s">
        <v>152</v>
      </c>
      <c r="H46" t="s">
        <v>174</v>
      </c>
      <c r="I46" t="s">
        <v>154</v>
      </c>
      <c r="J46">
        <v>19980427</v>
      </c>
    </row>
    <row r="47" spans="1:10">
      <c r="A47" t="s">
        <v>3547</v>
      </c>
      <c r="B47">
        <v>600187</v>
      </c>
      <c r="C47" t="s">
        <v>3548</v>
      </c>
      <c r="D47" t="s">
        <v>194</v>
      </c>
      <c r="E47" t="s">
        <v>96</v>
      </c>
      <c r="F47" t="s">
        <v>3549</v>
      </c>
      <c r="G47" t="s">
        <v>152</v>
      </c>
      <c r="H47" t="s">
        <v>174</v>
      </c>
      <c r="I47" t="s">
        <v>154</v>
      </c>
      <c r="J47">
        <v>19981111</v>
      </c>
    </row>
    <row r="48" spans="1:10">
      <c r="A48" t="s">
        <v>3550</v>
      </c>
      <c r="B48">
        <v>600236</v>
      </c>
      <c r="C48" t="s">
        <v>3551</v>
      </c>
      <c r="D48" t="s">
        <v>345</v>
      </c>
      <c r="E48" t="s">
        <v>68</v>
      </c>
      <c r="F48" t="s">
        <v>3552</v>
      </c>
      <c r="G48" t="s">
        <v>152</v>
      </c>
      <c r="H48" t="s">
        <v>174</v>
      </c>
      <c r="I48" t="s">
        <v>154</v>
      </c>
      <c r="J48">
        <v>20000323</v>
      </c>
    </row>
    <row r="49" spans="1:10">
      <c r="A49" t="s">
        <v>3553</v>
      </c>
      <c r="B49">
        <v>600283</v>
      </c>
      <c r="C49" t="s">
        <v>3554</v>
      </c>
      <c r="D49" t="s">
        <v>423</v>
      </c>
      <c r="E49" t="s">
        <v>96</v>
      </c>
      <c r="F49" t="s">
        <v>3555</v>
      </c>
      <c r="G49" t="s">
        <v>152</v>
      </c>
      <c r="H49" t="s">
        <v>174</v>
      </c>
      <c r="I49" t="s">
        <v>154</v>
      </c>
      <c r="J49">
        <v>20001018</v>
      </c>
    </row>
    <row r="50" spans="1:10">
      <c r="A50" t="s">
        <v>3556</v>
      </c>
      <c r="B50">
        <v>600310</v>
      </c>
      <c r="C50" t="s">
        <v>3557</v>
      </c>
      <c r="D50" t="s">
        <v>345</v>
      </c>
      <c r="E50" t="s">
        <v>68</v>
      </c>
      <c r="F50" t="s">
        <v>3558</v>
      </c>
      <c r="G50" t="s">
        <v>152</v>
      </c>
      <c r="H50" t="s">
        <v>174</v>
      </c>
      <c r="I50" t="s">
        <v>154</v>
      </c>
      <c r="J50">
        <v>20010228</v>
      </c>
    </row>
    <row r="51" spans="1:10">
      <c r="A51" t="s">
        <v>3559</v>
      </c>
      <c r="B51">
        <v>600333</v>
      </c>
      <c r="C51" t="s">
        <v>3560</v>
      </c>
      <c r="D51" t="s">
        <v>312</v>
      </c>
      <c r="E51" t="s">
        <v>91</v>
      </c>
      <c r="F51" t="s">
        <v>3561</v>
      </c>
      <c r="G51" t="s">
        <v>152</v>
      </c>
      <c r="H51" t="s">
        <v>174</v>
      </c>
      <c r="I51" t="s">
        <v>154</v>
      </c>
      <c r="J51">
        <v>20001211</v>
      </c>
    </row>
    <row r="52" spans="1:10">
      <c r="A52" t="s">
        <v>3562</v>
      </c>
      <c r="B52">
        <v>600396</v>
      </c>
      <c r="C52" t="s">
        <v>3563</v>
      </c>
      <c r="D52" t="s">
        <v>236</v>
      </c>
      <c r="E52" t="s">
        <v>77</v>
      </c>
      <c r="F52" t="s">
        <v>3564</v>
      </c>
      <c r="G52" t="s">
        <v>152</v>
      </c>
      <c r="H52" t="s">
        <v>174</v>
      </c>
      <c r="I52" t="s">
        <v>154</v>
      </c>
      <c r="J52">
        <v>20010328</v>
      </c>
    </row>
    <row r="53" spans="1:10">
      <c r="A53" t="s">
        <v>3565</v>
      </c>
      <c r="B53">
        <v>600452</v>
      </c>
      <c r="C53" t="s">
        <v>3566</v>
      </c>
      <c r="D53" t="s">
        <v>937</v>
      </c>
      <c r="E53" t="s">
        <v>68</v>
      </c>
      <c r="F53" t="s">
        <v>3567</v>
      </c>
      <c r="G53" t="s">
        <v>152</v>
      </c>
      <c r="H53" t="s">
        <v>174</v>
      </c>
      <c r="I53" t="s">
        <v>154</v>
      </c>
      <c r="J53">
        <v>20040303</v>
      </c>
    </row>
    <row r="54" spans="1:10">
      <c r="A54" t="s">
        <v>3568</v>
      </c>
      <c r="B54">
        <v>600461</v>
      </c>
      <c r="C54" t="s">
        <v>3569</v>
      </c>
      <c r="D54" t="s">
        <v>406</v>
      </c>
      <c r="E54" t="s">
        <v>96</v>
      </c>
      <c r="F54" t="s">
        <v>3570</v>
      </c>
      <c r="G54" t="s">
        <v>152</v>
      </c>
      <c r="H54" t="s">
        <v>174</v>
      </c>
      <c r="I54" t="s">
        <v>154</v>
      </c>
      <c r="J54">
        <v>20040601</v>
      </c>
    </row>
    <row r="55" spans="1:10">
      <c r="A55" t="s">
        <v>3571</v>
      </c>
      <c r="B55">
        <v>600483</v>
      </c>
      <c r="C55" t="s">
        <v>3572</v>
      </c>
      <c r="D55" t="s">
        <v>150</v>
      </c>
      <c r="E55" t="s">
        <v>77</v>
      </c>
      <c r="F55" t="s">
        <v>3573</v>
      </c>
      <c r="G55" t="s">
        <v>152</v>
      </c>
      <c r="H55" t="s">
        <v>174</v>
      </c>
      <c r="I55" t="s">
        <v>154</v>
      </c>
      <c r="J55">
        <v>20040531</v>
      </c>
    </row>
    <row r="56" spans="1:10">
      <c r="A56" t="s">
        <v>3574</v>
      </c>
      <c r="B56">
        <v>600505</v>
      </c>
      <c r="C56" t="s">
        <v>3575</v>
      </c>
      <c r="D56" t="s">
        <v>219</v>
      </c>
      <c r="E56" t="s">
        <v>68</v>
      </c>
      <c r="F56" t="s">
        <v>3576</v>
      </c>
      <c r="G56" t="s">
        <v>152</v>
      </c>
      <c r="H56" t="s">
        <v>174</v>
      </c>
      <c r="I56" t="s">
        <v>154</v>
      </c>
      <c r="J56">
        <v>20020530</v>
      </c>
    </row>
    <row r="57" spans="1:10">
      <c r="A57" t="s">
        <v>3577</v>
      </c>
      <c r="B57">
        <v>600509</v>
      </c>
      <c r="C57" t="s">
        <v>3578</v>
      </c>
      <c r="D57" t="s">
        <v>202</v>
      </c>
      <c r="E57" t="s">
        <v>77</v>
      </c>
      <c r="F57" t="s">
        <v>3579</v>
      </c>
      <c r="G57" t="s">
        <v>152</v>
      </c>
      <c r="H57" t="s">
        <v>174</v>
      </c>
      <c r="I57" t="s">
        <v>154</v>
      </c>
      <c r="J57">
        <v>20020228</v>
      </c>
    </row>
    <row r="58" spans="1:10">
      <c r="A58" t="s">
        <v>3580</v>
      </c>
      <c r="B58">
        <v>600578</v>
      </c>
      <c r="C58" t="s">
        <v>3581</v>
      </c>
      <c r="D58" t="s">
        <v>164</v>
      </c>
      <c r="E58" t="s">
        <v>77</v>
      </c>
      <c r="F58" t="s">
        <v>3582</v>
      </c>
      <c r="G58" t="s">
        <v>152</v>
      </c>
      <c r="H58" t="s">
        <v>174</v>
      </c>
      <c r="I58" t="s">
        <v>154</v>
      </c>
      <c r="J58">
        <v>20020510</v>
      </c>
    </row>
    <row r="59" spans="1:10">
      <c r="A59" t="s">
        <v>3583</v>
      </c>
      <c r="B59">
        <v>600617</v>
      </c>
      <c r="C59" t="s">
        <v>3584</v>
      </c>
      <c r="D59" t="s">
        <v>557</v>
      </c>
      <c r="E59" t="s">
        <v>91</v>
      </c>
      <c r="F59" t="s">
        <v>3585</v>
      </c>
      <c r="G59" t="s">
        <v>152</v>
      </c>
      <c r="H59" t="s">
        <v>174</v>
      </c>
      <c r="I59" t="s">
        <v>154</v>
      </c>
      <c r="J59">
        <v>19921013</v>
      </c>
    </row>
    <row r="60" spans="1:10">
      <c r="A60" t="s">
        <v>3586</v>
      </c>
      <c r="B60">
        <v>600635</v>
      </c>
      <c r="C60" t="s">
        <v>3587</v>
      </c>
      <c r="D60" t="s">
        <v>172</v>
      </c>
      <c r="E60" t="s">
        <v>91</v>
      </c>
      <c r="F60" t="s">
        <v>3588</v>
      </c>
      <c r="G60" t="s">
        <v>152</v>
      </c>
      <c r="H60" t="s">
        <v>174</v>
      </c>
      <c r="I60" t="s">
        <v>154</v>
      </c>
      <c r="J60">
        <v>19930304</v>
      </c>
    </row>
    <row r="61" spans="1:10">
      <c r="A61" t="s">
        <v>3589</v>
      </c>
      <c r="B61">
        <v>600642</v>
      </c>
      <c r="C61" t="s">
        <v>3590</v>
      </c>
      <c r="D61" t="s">
        <v>172</v>
      </c>
      <c r="E61" t="s">
        <v>77</v>
      </c>
      <c r="F61" t="s">
        <v>3591</v>
      </c>
      <c r="G61" t="s">
        <v>152</v>
      </c>
      <c r="H61" t="s">
        <v>174</v>
      </c>
      <c r="I61" t="s">
        <v>154</v>
      </c>
      <c r="J61">
        <v>19930416</v>
      </c>
    </row>
    <row r="62" spans="1:10">
      <c r="A62" t="s">
        <v>3592</v>
      </c>
      <c r="B62">
        <v>600644</v>
      </c>
      <c r="C62" t="s">
        <v>3593</v>
      </c>
      <c r="D62" t="s">
        <v>219</v>
      </c>
      <c r="E62" t="s">
        <v>68</v>
      </c>
      <c r="F62" t="s">
        <v>3594</v>
      </c>
      <c r="G62" t="s">
        <v>152</v>
      </c>
      <c r="H62" t="s">
        <v>174</v>
      </c>
      <c r="I62" t="s">
        <v>154</v>
      </c>
      <c r="J62">
        <v>19930426</v>
      </c>
    </row>
    <row r="63" spans="1:10">
      <c r="A63" t="s">
        <v>3595</v>
      </c>
      <c r="B63">
        <v>600674</v>
      </c>
      <c r="C63" t="s">
        <v>3596</v>
      </c>
      <c r="D63" t="s">
        <v>219</v>
      </c>
      <c r="E63" t="s">
        <v>68</v>
      </c>
      <c r="F63" t="s">
        <v>3597</v>
      </c>
      <c r="G63" t="s">
        <v>152</v>
      </c>
      <c r="H63" t="s">
        <v>174</v>
      </c>
      <c r="I63" t="s">
        <v>154</v>
      </c>
      <c r="J63">
        <v>19930924</v>
      </c>
    </row>
    <row r="64" spans="1:10">
      <c r="A64" t="s">
        <v>3598</v>
      </c>
      <c r="B64">
        <v>600681</v>
      </c>
      <c r="C64" t="s">
        <v>3599</v>
      </c>
      <c r="D64" t="s">
        <v>316</v>
      </c>
      <c r="E64" t="s">
        <v>91</v>
      </c>
      <c r="F64" t="s">
        <v>3600</v>
      </c>
      <c r="G64" t="s">
        <v>152</v>
      </c>
      <c r="H64" t="s">
        <v>174</v>
      </c>
      <c r="I64" t="s">
        <v>154</v>
      </c>
      <c r="J64">
        <v>19931018</v>
      </c>
    </row>
    <row r="65" spans="1:10">
      <c r="A65" t="s">
        <v>3601</v>
      </c>
      <c r="B65">
        <v>600719</v>
      </c>
      <c r="C65" t="s">
        <v>3602</v>
      </c>
      <c r="D65" t="s">
        <v>236</v>
      </c>
      <c r="E65" t="s">
        <v>91</v>
      </c>
      <c r="F65" t="s">
        <v>3603</v>
      </c>
      <c r="G65" t="s">
        <v>152</v>
      </c>
      <c r="H65" t="s">
        <v>174</v>
      </c>
      <c r="I65" t="s">
        <v>154</v>
      </c>
      <c r="J65">
        <v>19960716</v>
      </c>
    </row>
    <row r="66" spans="1:10">
      <c r="A66" t="s">
        <v>3604</v>
      </c>
      <c r="B66">
        <v>600726</v>
      </c>
      <c r="C66" t="s">
        <v>3605</v>
      </c>
      <c r="D66" t="s">
        <v>194</v>
      </c>
      <c r="E66" t="s">
        <v>77</v>
      </c>
      <c r="F66" t="s">
        <v>3606</v>
      </c>
      <c r="G66" t="s">
        <v>152</v>
      </c>
      <c r="H66" t="s">
        <v>174</v>
      </c>
      <c r="I66" t="s">
        <v>154</v>
      </c>
      <c r="J66">
        <v>19960701</v>
      </c>
    </row>
    <row r="67" spans="1:10">
      <c r="A67" t="s">
        <v>3607</v>
      </c>
      <c r="B67">
        <v>600744</v>
      </c>
      <c r="C67" t="s">
        <v>3608</v>
      </c>
      <c r="D67" t="s">
        <v>168</v>
      </c>
      <c r="E67" t="s">
        <v>77</v>
      </c>
      <c r="F67" t="s">
        <v>3609</v>
      </c>
      <c r="G67" t="s">
        <v>152</v>
      </c>
      <c r="H67" t="s">
        <v>174</v>
      </c>
      <c r="I67" t="s">
        <v>154</v>
      </c>
      <c r="J67">
        <v>19960905</v>
      </c>
    </row>
    <row r="68" spans="1:10">
      <c r="A68" t="s">
        <v>3610</v>
      </c>
      <c r="B68">
        <v>600780</v>
      </c>
      <c r="C68" t="s">
        <v>3611</v>
      </c>
      <c r="D68" t="s">
        <v>557</v>
      </c>
      <c r="E68" t="s">
        <v>77</v>
      </c>
      <c r="F68" t="s">
        <v>3612</v>
      </c>
      <c r="G68" t="s">
        <v>152</v>
      </c>
      <c r="H68" t="s">
        <v>174</v>
      </c>
      <c r="I68" t="s">
        <v>154</v>
      </c>
      <c r="J68">
        <v>19961205</v>
      </c>
    </row>
    <row r="69" spans="1:10">
      <c r="A69" t="s">
        <v>3613</v>
      </c>
      <c r="B69">
        <v>600795</v>
      </c>
      <c r="C69" t="s">
        <v>3614</v>
      </c>
      <c r="D69" t="s">
        <v>236</v>
      </c>
      <c r="E69" t="s">
        <v>77</v>
      </c>
      <c r="F69" t="s">
        <v>3615</v>
      </c>
      <c r="G69" t="s">
        <v>152</v>
      </c>
      <c r="H69" t="s">
        <v>174</v>
      </c>
      <c r="I69" t="s">
        <v>154</v>
      </c>
      <c r="J69">
        <v>19970318</v>
      </c>
    </row>
    <row r="70" spans="1:10">
      <c r="A70" t="s">
        <v>3616</v>
      </c>
      <c r="B70">
        <v>600803</v>
      </c>
      <c r="C70" t="s">
        <v>3617</v>
      </c>
      <c r="D70" t="s">
        <v>279</v>
      </c>
      <c r="E70" t="s">
        <v>91</v>
      </c>
      <c r="F70" t="s">
        <v>3618</v>
      </c>
      <c r="G70" t="s">
        <v>152</v>
      </c>
      <c r="H70" t="s">
        <v>174</v>
      </c>
      <c r="I70" t="s">
        <v>154</v>
      </c>
      <c r="J70">
        <v>19940103</v>
      </c>
    </row>
    <row r="71" spans="1:10">
      <c r="A71" t="s">
        <v>3619</v>
      </c>
      <c r="B71">
        <v>600821</v>
      </c>
      <c r="C71" t="s">
        <v>3620</v>
      </c>
      <c r="D71" t="s">
        <v>576</v>
      </c>
      <c r="E71" t="s">
        <v>82</v>
      </c>
      <c r="F71" t="s">
        <v>3621</v>
      </c>
      <c r="G71" t="s">
        <v>152</v>
      </c>
      <c r="H71" t="s">
        <v>174</v>
      </c>
      <c r="I71" t="s">
        <v>154</v>
      </c>
      <c r="J71">
        <v>19940128</v>
      </c>
    </row>
    <row r="72" spans="1:10">
      <c r="A72" t="s">
        <v>3622</v>
      </c>
      <c r="B72">
        <v>600863</v>
      </c>
      <c r="C72" t="s">
        <v>3623</v>
      </c>
      <c r="D72" t="s">
        <v>266</v>
      </c>
      <c r="E72" t="s">
        <v>77</v>
      </c>
      <c r="F72" t="s">
        <v>3624</v>
      </c>
      <c r="G72" t="s">
        <v>152</v>
      </c>
      <c r="H72" t="s">
        <v>174</v>
      </c>
      <c r="I72" t="s">
        <v>154</v>
      </c>
      <c r="J72">
        <v>19940520</v>
      </c>
    </row>
    <row r="73" spans="1:10">
      <c r="A73" t="s">
        <v>3625</v>
      </c>
      <c r="B73">
        <v>600886</v>
      </c>
      <c r="C73" t="s">
        <v>3626</v>
      </c>
      <c r="D73" t="s">
        <v>164</v>
      </c>
      <c r="E73" t="s">
        <v>68</v>
      </c>
      <c r="F73" t="s">
        <v>3627</v>
      </c>
      <c r="G73" t="s">
        <v>152</v>
      </c>
      <c r="H73" t="s">
        <v>174</v>
      </c>
      <c r="I73" t="s">
        <v>154</v>
      </c>
      <c r="J73">
        <v>19960118</v>
      </c>
    </row>
    <row r="74" spans="1:10">
      <c r="A74" t="s">
        <v>3628</v>
      </c>
      <c r="B74">
        <v>600900</v>
      </c>
      <c r="C74" t="s">
        <v>3629</v>
      </c>
      <c r="D74" t="s">
        <v>164</v>
      </c>
      <c r="E74" t="s">
        <v>68</v>
      </c>
      <c r="F74" t="s">
        <v>3630</v>
      </c>
      <c r="G74" t="s">
        <v>152</v>
      </c>
      <c r="H74" t="s">
        <v>174</v>
      </c>
      <c r="I74" t="s">
        <v>154</v>
      </c>
      <c r="J74">
        <v>20031118</v>
      </c>
    </row>
    <row r="75" spans="1:10">
      <c r="A75" t="s">
        <v>3631</v>
      </c>
      <c r="B75">
        <v>600903</v>
      </c>
      <c r="C75" t="s">
        <v>3632</v>
      </c>
      <c r="D75" t="s">
        <v>463</v>
      </c>
      <c r="E75" t="s">
        <v>91</v>
      </c>
      <c r="F75" t="s">
        <v>3633</v>
      </c>
      <c r="G75" t="s">
        <v>152</v>
      </c>
      <c r="H75" t="s">
        <v>174</v>
      </c>
      <c r="I75" t="s">
        <v>154</v>
      </c>
      <c r="J75">
        <v>20171107</v>
      </c>
    </row>
    <row r="76" spans="1:10">
      <c r="A76" t="s">
        <v>3634</v>
      </c>
      <c r="B76">
        <v>600905</v>
      </c>
      <c r="C76" t="s">
        <v>3635</v>
      </c>
      <c r="D76" t="s">
        <v>164</v>
      </c>
      <c r="E76" t="s">
        <v>82</v>
      </c>
      <c r="F76" t="s">
        <v>3636</v>
      </c>
      <c r="G76" t="s">
        <v>152</v>
      </c>
      <c r="H76" t="s">
        <v>174</v>
      </c>
      <c r="I76" t="s">
        <v>154</v>
      </c>
      <c r="J76">
        <v>20210610</v>
      </c>
    </row>
    <row r="77" spans="1:10">
      <c r="A77" t="s">
        <v>3637</v>
      </c>
      <c r="B77">
        <v>600917</v>
      </c>
      <c r="C77" t="s">
        <v>3638</v>
      </c>
      <c r="D77" t="s">
        <v>937</v>
      </c>
      <c r="E77" t="s">
        <v>91</v>
      </c>
      <c r="F77" t="s">
        <v>3639</v>
      </c>
      <c r="G77" t="s">
        <v>152</v>
      </c>
      <c r="H77" t="s">
        <v>174</v>
      </c>
      <c r="I77" t="s">
        <v>154</v>
      </c>
      <c r="J77">
        <v>20140930</v>
      </c>
    </row>
    <row r="78" spans="1:10">
      <c r="A78" t="s">
        <v>3640</v>
      </c>
      <c r="B78">
        <v>600956</v>
      </c>
      <c r="C78" t="s">
        <v>3641</v>
      </c>
      <c r="D78" t="s">
        <v>279</v>
      </c>
      <c r="E78" t="s">
        <v>91</v>
      </c>
      <c r="F78" t="s">
        <v>3642</v>
      </c>
      <c r="G78" t="s">
        <v>152</v>
      </c>
      <c r="H78" t="s">
        <v>174</v>
      </c>
      <c r="I78" t="s">
        <v>154</v>
      </c>
      <c r="J78">
        <v>20200629</v>
      </c>
    </row>
    <row r="79" spans="1:10">
      <c r="A79" t="s">
        <v>3643</v>
      </c>
      <c r="B79">
        <v>600969</v>
      </c>
      <c r="C79" t="s">
        <v>3644</v>
      </c>
      <c r="D79" t="s">
        <v>168</v>
      </c>
      <c r="E79" t="s">
        <v>68</v>
      </c>
      <c r="F79" t="s">
        <v>3645</v>
      </c>
      <c r="G79" t="s">
        <v>152</v>
      </c>
      <c r="H79" t="s">
        <v>174</v>
      </c>
      <c r="I79" t="s">
        <v>154</v>
      </c>
      <c r="J79">
        <v>20040408</v>
      </c>
    </row>
    <row r="80" spans="1:10">
      <c r="A80" t="s">
        <v>3646</v>
      </c>
      <c r="B80">
        <v>600979</v>
      </c>
      <c r="C80" t="s">
        <v>3647</v>
      </c>
      <c r="D80" t="s">
        <v>219</v>
      </c>
      <c r="E80" t="s">
        <v>68</v>
      </c>
      <c r="F80" t="s">
        <v>3648</v>
      </c>
      <c r="G80" t="s">
        <v>152</v>
      </c>
      <c r="H80" t="s">
        <v>174</v>
      </c>
      <c r="I80" t="s">
        <v>154</v>
      </c>
      <c r="J80">
        <v>20040906</v>
      </c>
    </row>
    <row r="81" spans="1:10">
      <c r="A81" t="s">
        <v>3649</v>
      </c>
      <c r="B81">
        <v>600982</v>
      </c>
      <c r="C81" t="s">
        <v>3650</v>
      </c>
      <c r="D81" t="s">
        <v>423</v>
      </c>
      <c r="E81" t="s">
        <v>91</v>
      </c>
      <c r="F81" t="s">
        <v>3651</v>
      </c>
      <c r="G81" t="s">
        <v>152</v>
      </c>
      <c r="H81" t="s">
        <v>174</v>
      </c>
      <c r="I81" t="s">
        <v>154</v>
      </c>
      <c r="J81">
        <v>20040706</v>
      </c>
    </row>
    <row r="82" spans="1:10">
      <c r="A82" t="s">
        <v>3652</v>
      </c>
      <c r="B82">
        <v>600995</v>
      </c>
      <c r="C82" t="s">
        <v>3653</v>
      </c>
      <c r="D82" t="s">
        <v>184</v>
      </c>
      <c r="E82" t="s">
        <v>68</v>
      </c>
      <c r="F82" t="s">
        <v>3654</v>
      </c>
      <c r="G82" t="s">
        <v>152</v>
      </c>
      <c r="H82" t="s">
        <v>174</v>
      </c>
      <c r="I82" t="s">
        <v>154</v>
      </c>
      <c r="J82">
        <v>20040615</v>
      </c>
    </row>
    <row r="83" spans="1:10">
      <c r="A83" t="s">
        <v>3655</v>
      </c>
      <c r="B83">
        <v>601016</v>
      </c>
      <c r="C83" t="s">
        <v>3656</v>
      </c>
      <c r="D83" t="s">
        <v>164</v>
      </c>
      <c r="E83" t="s">
        <v>82</v>
      </c>
      <c r="F83" t="s">
        <v>3657</v>
      </c>
      <c r="G83" t="s">
        <v>152</v>
      </c>
      <c r="H83" t="s">
        <v>174</v>
      </c>
      <c r="I83" t="s">
        <v>154</v>
      </c>
      <c r="J83">
        <v>20140929</v>
      </c>
    </row>
    <row r="84" spans="1:10">
      <c r="A84" t="s">
        <v>3658</v>
      </c>
      <c r="B84">
        <v>601139</v>
      </c>
      <c r="C84" t="s">
        <v>3659</v>
      </c>
      <c r="D84" t="s">
        <v>243</v>
      </c>
      <c r="E84" t="s">
        <v>91</v>
      </c>
      <c r="F84" t="s">
        <v>3660</v>
      </c>
      <c r="G84" t="s">
        <v>152</v>
      </c>
      <c r="H84" t="s">
        <v>174</v>
      </c>
      <c r="I84" t="s">
        <v>154</v>
      </c>
      <c r="J84">
        <v>20091225</v>
      </c>
    </row>
    <row r="85" spans="1:10">
      <c r="A85" t="s">
        <v>3661</v>
      </c>
      <c r="B85">
        <v>601158</v>
      </c>
      <c r="C85" t="s">
        <v>3662</v>
      </c>
      <c r="D85" t="s">
        <v>937</v>
      </c>
      <c r="E85" t="s">
        <v>96</v>
      </c>
      <c r="F85" t="s">
        <v>3663</v>
      </c>
      <c r="G85" t="s">
        <v>152</v>
      </c>
      <c r="H85" t="s">
        <v>174</v>
      </c>
      <c r="I85" t="s">
        <v>154</v>
      </c>
      <c r="J85">
        <v>20100329</v>
      </c>
    </row>
    <row r="86" spans="1:10">
      <c r="A86" t="s">
        <v>3664</v>
      </c>
      <c r="B86">
        <v>601199</v>
      </c>
      <c r="C86" t="s">
        <v>3665</v>
      </c>
      <c r="D86" t="s">
        <v>212</v>
      </c>
      <c r="E86" t="s">
        <v>96</v>
      </c>
      <c r="F86" t="s">
        <v>3666</v>
      </c>
      <c r="G86" t="s">
        <v>152</v>
      </c>
      <c r="H86" t="s">
        <v>174</v>
      </c>
      <c r="I86" t="s">
        <v>154</v>
      </c>
      <c r="J86">
        <v>20110317</v>
      </c>
    </row>
    <row r="87" spans="1:10">
      <c r="A87" t="s">
        <v>3667</v>
      </c>
      <c r="B87">
        <v>601368</v>
      </c>
      <c r="C87" t="s">
        <v>3668</v>
      </c>
      <c r="D87" t="s">
        <v>345</v>
      </c>
      <c r="E87" t="s">
        <v>96</v>
      </c>
      <c r="F87" t="s">
        <v>3669</v>
      </c>
      <c r="G87" t="s">
        <v>152</v>
      </c>
      <c r="H87" t="s">
        <v>174</v>
      </c>
      <c r="I87" t="s">
        <v>154</v>
      </c>
      <c r="J87">
        <v>20150612</v>
      </c>
    </row>
    <row r="88" spans="1:10">
      <c r="A88" t="s">
        <v>3670</v>
      </c>
      <c r="B88">
        <v>601619</v>
      </c>
      <c r="C88" t="s">
        <v>3671</v>
      </c>
      <c r="D88" t="s">
        <v>332</v>
      </c>
      <c r="E88" t="s">
        <v>82</v>
      </c>
      <c r="F88" t="s">
        <v>3672</v>
      </c>
      <c r="G88" t="s">
        <v>152</v>
      </c>
      <c r="H88" t="s">
        <v>174</v>
      </c>
      <c r="I88" t="s">
        <v>154</v>
      </c>
      <c r="J88">
        <v>20170720</v>
      </c>
    </row>
    <row r="89" spans="1:10">
      <c r="A89" t="s">
        <v>3673</v>
      </c>
      <c r="B89">
        <v>601778</v>
      </c>
      <c r="C89" t="s">
        <v>3674</v>
      </c>
      <c r="D89" t="s">
        <v>406</v>
      </c>
      <c r="E89" t="s">
        <v>82</v>
      </c>
      <c r="F89" t="s">
        <v>3675</v>
      </c>
      <c r="G89" t="s">
        <v>152</v>
      </c>
      <c r="H89" t="s">
        <v>174</v>
      </c>
      <c r="I89" t="s">
        <v>154</v>
      </c>
      <c r="J89">
        <v>20200519</v>
      </c>
    </row>
    <row r="90" spans="1:10">
      <c r="A90" t="s">
        <v>3676</v>
      </c>
      <c r="B90">
        <v>601908</v>
      </c>
      <c r="C90" t="s">
        <v>3677</v>
      </c>
      <c r="D90" t="s">
        <v>164</v>
      </c>
      <c r="E90" t="s">
        <v>82</v>
      </c>
      <c r="F90" t="s">
        <v>3678</v>
      </c>
      <c r="G90" t="s">
        <v>152</v>
      </c>
      <c r="H90" t="s">
        <v>174</v>
      </c>
      <c r="I90" t="s">
        <v>154</v>
      </c>
      <c r="J90">
        <v>20110908</v>
      </c>
    </row>
    <row r="91" spans="1:10">
      <c r="A91" t="s">
        <v>3679</v>
      </c>
      <c r="B91">
        <v>601985</v>
      </c>
      <c r="C91" t="s">
        <v>3680</v>
      </c>
      <c r="D91" t="s">
        <v>164</v>
      </c>
      <c r="E91" t="s">
        <v>82</v>
      </c>
      <c r="F91" t="s">
        <v>3681</v>
      </c>
      <c r="G91" t="s">
        <v>152</v>
      </c>
      <c r="H91" t="s">
        <v>174</v>
      </c>
      <c r="I91" t="s">
        <v>154</v>
      </c>
      <c r="J91">
        <v>20150610</v>
      </c>
    </row>
    <row r="92" spans="1:10">
      <c r="A92" t="s">
        <v>3682</v>
      </c>
      <c r="B92">
        <v>601991</v>
      </c>
      <c r="C92" t="s">
        <v>3683</v>
      </c>
      <c r="D92" t="s">
        <v>164</v>
      </c>
      <c r="E92" t="s">
        <v>77</v>
      </c>
      <c r="F92" t="s">
        <v>3684</v>
      </c>
      <c r="G92" t="s">
        <v>152</v>
      </c>
      <c r="H92" t="s">
        <v>174</v>
      </c>
      <c r="I92" t="s">
        <v>154</v>
      </c>
      <c r="J92">
        <v>20061220</v>
      </c>
    </row>
    <row r="93" spans="1:10">
      <c r="A93" t="s">
        <v>3685</v>
      </c>
      <c r="B93">
        <v>603053</v>
      </c>
      <c r="C93" t="s">
        <v>3686</v>
      </c>
      <c r="D93" t="s">
        <v>219</v>
      </c>
      <c r="E93" t="s">
        <v>91</v>
      </c>
      <c r="F93" t="s">
        <v>3687</v>
      </c>
      <c r="G93" t="s">
        <v>152</v>
      </c>
      <c r="H93" t="s">
        <v>174</v>
      </c>
      <c r="I93" t="s">
        <v>154</v>
      </c>
      <c r="J93">
        <v>20191217</v>
      </c>
    </row>
    <row r="94" spans="1:10">
      <c r="A94" t="s">
        <v>3688</v>
      </c>
      <c r="B94">
        <v>603080</v>
      </c>
      <c r="C94" t="s">
        <v>3689</v>
      </c>
      <c r="D94" t="s">
        <v>202</v>
      </c>
      <c r="E94" t="s">
        <v>91</v>
      </c>
      <c r="F94" t="s">
        <v>3690</v>
      </c>
      <c r="G94" t="s">
        <v>152</v>
      </c>
      <c r="H94" t="s">
        <v>174</v>
      </c>
      <c r="I94" t="s">
        <v>154</v>
      </c>
      <c r="J94">
        <v>20180103</v>
      </c>
    </row>
    <row r="95" spans="1:10">
      <c r="A95" t="s">
        <v>3691</v>
      </c>
      <c r="B95">
        <v>603318</v>
      </c>
      <c r="C95" t="s">
        <v>3692</v>
      </c>
      <c r="D95" t="s">
        <v>236</v>
      </c>
      <c r="E95" t="s">
        <v>91</v>
      </c>
      <c r="F95" t="s">
        <v>3693</v>
      </c>
      <c r="G95" t="s">
        <v>152</v>
      </c>
      <c r="H95" t="s">
        <v>174</v>
      </c>
      <c r="I95" t="s">
        <v>154</v>
      </c>
      <c r="J95">
        <v>20150424</v>
      </c>
    </row>
    <row r="96" spans="1:10">
      <c r="A96" t="s">
        <v>3694</v>
      </c>
      <c r="B96">
        <v>603393</v>
      </c>
      <c r="C96" t="s">
        <v>3695</v>
      </c>
      <c r="D96" t="s">
        <v>202</v>
      </c>
      <c r="E96" t="s">
        <v>91</v>
      </c>
      <c r="F96" t="s">
        <v>3696</v>
      </c>
      <c r="G96" t="s">
        <v>152</v>
      </c>
      <c r="H96" t="s">
        <v>174</v>
      </c>
      <c r="I96" t="s">
        <v>154</v>
      </c>
      <c r="J96">
        <v>20160912</v>
      </c>
    </row>
    <row r="97" spans="1:10">
      <c r="A97" t="s">
        <v>3697</v>
      </c>
      <c r="B97">
        <v>603689</v>
      </c>
      <c r="C97" t="s">
        <v>3698</v>
      </c>
      <c r="D97" t="s">
        <v>160</v>
      </c>
      <c r="E97" t="s">
        <v>91</v>
      </c>
      <c r="F97" t="s">
        <v>3699</v>
      </c>
      <c r="G97" t="s">
        <v>152</v>
      </c>
      <c r="H97" t="s">
        <v>174</v>
      </c>
      <c r="I97" t="s">
        <v>154</v>
      </c>
      <c r="J97">
        <v>20170110</v>
      </c>
    </row>
    <row r="98" spans="1:10">
      <c r="A98" t="s">
        <v>3700</v>
      </c>
      <c r="B98">
        <v>603693</v>
      </c>
      <c r="C98" t="s">
        <v>3701</v>
      </c>
      <c r="D98" t="s">
        <v>212</v>
      </c>
      <c r="E98" t="s">
        <v>82</v>
      </c>
      <c r="F98" t="s">
        <v>3702</v>
      </c>
      <c r="G98" t="s">
        <v>152</v>
      </c>
      <c r="H98" t="s">
        <v>174</v>
      </c>
      <c r="I98" t="s">
        <v>154</v>
      </c>
      <c r="J98">
        <v>20180703</v>
      </c>
    </row>
    <row r="99" spans="1:10">
      <c r="A99" t="s">
        <v>3703</v>
      </c>
      <c r="B99">
        <v>603706</v>
      </c>
      <c r="C99" t="s">
        <v>3704</v>
      </c>
      <c r="D99" t="s">
        <v>202</v>
      </c>
      <c r="E99" t="s">
        <v>91</v>
      </c>
      <c r="F99" t="s">
        <v>3705</v>
      </c>
      <c r="G99" t="s">
        <v>152</v>
      </c>
      <c r="H99" t="s">
        <v>174</v>
      </c>
      <c r="I99" t="s">
        <v>154</v>
      </c>
      <c r="J99">
        <v>20180709</v>
      </c>
    </row>
    <row r="100" spans="1:10">
      <c r="A100" t="s">
        <v>3706</v>
      </c>
      <c r="B100">
        <v>603759</v>
      </c>
      <c r="C100" t="s">
        <v>3707</v>
      </c>
      <c r="D100" t="s">
        <v>219</v>
      </c>
      <c r="E100" t="s">
        <v>96</v>
      </c>
      <c r="F100" t="s">
        <v>3708</v>
      </c>
      <c r="G100" t="s">
        <v>152</v>
      </c>
      <c r="H100" t="s">
        <v>174</v>
      </c>
      <c r="I100" t="s">
        <v>154</v>
      </c>
      <c r="J100">
        <v>20210326</v>
      </c>
    </row>
    <row r="101" spans="1:10">
      <c r="A101" t="s">
        <v>3709</v>
      </c>
      <c r="B101">
        <v>605011</v>
      </c>
      <c r="C101" t="s">
        <v>3710</v>
      </c>
      <c r="D101" t="s">
        <v>423</v>
      </c>
      <c r="E101" t="s">
        <v>91</v>
      </c>
      <c r="F101" t="s">
        <v>3711</v>
      </c>
      <c r="G101" t="s">
        <v>152</v>
      </c>
      <c r="H101" t="s">
        <v>174</v>
      </c>
      <c r="I101" t="s">
        <v>154</v>
      </c>
      <c r="J101">
        <v>20210630</v>
      </c>
    </row>
    <row r="102" spans="1:10">
      <c r="A102" t="s">
        <v>3712</v>
      </c>
      <c r="B102">
        <v>605028</v>
      </c>
      <c r="C102" t="s">
        <v>3713</v>
      </c>
      <c r="D102" t="s">
        <v>423</v>
      </c>
      <c r="E102" t="s">
        <v>91</v>
      </c>
      <c r="F102" t="s">
        <v>3714</v>
      </c>
      <c r="G102" t="s">
        <v>152</v>
      </c>
      <c r="H102" t="s">
        <v>174</v>
      </c>
      <c r="I102" t="s">
        <v>154</v>
      </c>
      <c r="J102">
        <v>20210712</v>
      </c>
    </row>
    <row r="103" spans="1:10">
      <c r="A103" t="s">
        <v>3715</v>
      </c>
      <c r="B103">
        <v>605090</v>
      </c>
      <c r="C103" t="s">
        <v>3716</v>
      </c>
      <c r="D103" t="s">
        <v>406</v>
      </c>
      <c r="E103" t="s">
        <v>91</v>
      </c>
      <c r="F103" t="s">
        <v>3717</v>
      </c>
      <c r="G103" t="s">
        <v>152</v>
      </c>
      <c r="H103" t="s">
        <v>174</v>
      </c>
      <c r="I103" t="s">
        <v>154</v>
      </c>
      <c r="J103">
        <v>20210525</v>
      </c>
    </row>
    <row r="104" spans="1:10">
      <c r="A104" t="s">
        <v>3718</v>
      </c>
      <c r="B104">
        <v>605162</v>
      </c>
      <c r="C104" t="s">
        <v>3719</v>
      </c>
      <c r="D104" t="s">
        <v>423</v>
      </c>
      <c r="E104" t="s">
        <v>91</v>
      </c>
      <c r="F104" t="s">
        <v>3720</v>
      </c>
      <c r="G104" t="s">
        <v>152</v>
      </c>
      <c r="H104" t="s">
        <v>174</v>
      </c>
      <c r="I104" t="s">
        <v>154</v>
      </c>
      <c r="J104">
        <v>20210707</v>
      </c>
    </row>
    <row r="105" spans="1:10">
      <c r="A105" t="s">
        <v>3721</v>
      </c>
      <c r="B105">
        <v>605169</v>
      </c>
      <c r="C105" t="s">
        <v>3722</v>
      </c>
      <c r="D105" t="s">
        <v>202</v>
      </c>
      <c r="E105" t="s">
        <v>91</v>
      </c>
      <c r="F105" t="s">
        <v>3723</v>
      </c>
      <c r="G105" t="s">
        <v>152</v>
      </c>
      <c r="H105" t="s">
        <v>174</v>
      </c>
      <c r="I105" t="s">
        <v>154</v>
      </c>
      <c r="J105">
        <v>20201030</v>
      </c>
    </row>
    <row r="106" spans="1:10">
      <c r="A106" t="s">
        <v>3724</v>
      </c>
      <c r="B106">
        <v>605368</v>
      </c>
      <c r="C106" t="s">
        <v>3725</v>
      </c>
      <c r="D106" t="s">
        <v>292</v>
      </c>
      <c r="E106" t="s">
        <v>91</v>
      </c>
      <c r="F106" t="s">
        <v>3726</v>
      </c>
      <c r="G106" t="s">
        <v>152</v>
      </c>
      <c r="H106" t="s">
        <v>174</v>
      </c>
      <c r="I106" t="s">
        <v>154</v>
      </c>
      <c r="J106">
        <v>20210129</v>
      </c>
    </row>
    <row r="107" spans="1:10">
      <c r="A107" t="s">
        <v>3727</v>
      </c>
      <c r="B107">
        <v>605580</v>
      </c>
      <c r="C107" t="s">
        <v>3728</v>
      </c>
      <c r="D107" t="s">
        <v>423</v>
      </c>
      <c r="E107" t="s">
        <v>91</v>
      </c>
      <c r="F107" t="s">
        <v>3729</v>
      </c>
      <c r="G107" t="s">
        <v>152</v>
      </c>
      <c r="H107" t="s">
        <v>174</v>
      </c>
      <c r="I107" t="s">
        <v>154</v>
      </c>
      <c r="J107">
        <v>20210819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1"/>
  <sheetViews>
    <sheetView workbookViewId="0">
      <selection activeCell="N22" sqref="N22"/>
    </sheetView>
  </sheetViews>
  <sheetFormatPr defaultColWidth="9" defaultRowHeight="13.5"/>
  <sheetData>
    <row r="1" spans="1:10">
      <c r="A1" t="s">
        <v>3730</v>
      </c>
      <c r="B1">
        <v>88</v>
      </c>
      <c r="C1" t="s">
        <v>3731</v>
      </c>
      <c r="D1" t="s">
        <v>243</v>
      </c>
      <c r="E1" t="s">
        <v>83</v>
      </c>
      <c r="F1" t="s">
        <v>3732</v>
      </c>
      <c r="G1" t="s">
        <v>152</v>
      </c>
      <c r="H1" t="s">
        <v>153</v>
      </c>
      <c r="I1" t="s">
        <v>154</v>
      </c>
      <c r="J1">
        <v>19970728</v>
      </c>
    </row>
    <row r="2" spans="1:10">
      <c r="A2" t="s">
        <v>3733</v>
      </c>
      <c r="B2">
        <v>89</v>
      </c>
      <c r="C2" t="s">
        <v>3734</v>
      </c>
      <c r="D2" t="s">
        <v>243</v>
      </c>
      <c r="E2" t="s">
        <v>101</v>
      </c>
      <c r="F2" t="s">
        <v>3735</v>
      </c>
      <c r="G2" t="s">
        <v>152</v>
      </c>
      <c r="H2" t="s">
        <v>153</v>
      </c>
      <c r="I2" t="s">
        <v>154</v>
      </c>
      <c r="J2">
        <v>19980420</v>
      </c>
    </row>
    <row r="3" spans="1:13">
      <c r="A3" t="s">
        <v>3736</v>
      </c>
      <c r="B3">
        <v>99</v>
      </c>
      <c r="C3" t="s">
        <v>3737</v>
      </c>
      <c r="D3" t="s">
        <v>243</v>
      </c>
      <c r="E3" t="s">
        <v>103</v>
      </c>
      <c r="F3" t="s">
        <v>3738</v>
      </c>
      <c r="G3" t="s">
        <v>152</v>
      </c>
      <c r="H3" t="s">
        <v>153</v>
      </c>
      <c r="I3" t="s">
        <v>154</v>
      </c>
      <c r="J3">
        <v>20000731</v>
      </c>
      <c r="M3" s="5">
        <f ca="1">CEILING(RAND()*131,1)</f>
        <v>18</v>
      </c>
    </row>
    <row r="4" spans="1:10">
      <c r="A4" t="s">
        <v>3739</v>
      </c>
      <c r="B4">
        <v>429</v>
      </c>
      <c r="C4" t="s">
        <v>3740</v>
      </c>
      <c r="D4" t="s">
        <v>223</v>
      </c>
      <c r="E4" t="s">
        <v>98</v>
      </c>
      <c r="F4" t="s">
        <v>3741</v>
      </c>
      <c r="G4" t="s">
        <v>152</v>
      </c>
      <c r="H4" t="s">
        <v>153</v>
      </c>
      <c r="I4" t="s">
        <v>154</v>
      </c>
      <c r="J4">
        <v>19980220</v>
      </c>
    </row>
    <row r="5" spans="1:10">
      <c r="A5" t="s">
        <v>3742</v>
      </c>
      <c r="B5">
        <v>507</v>
      </c>
      <c r="C5" t="s">
        <v>3743</v>
      </c>
      <c r="D5" t="s">
        <v>223</v>
      </c>
      <c r="E5" t="s">
        <v>83</v>
      </c>
      <c r="F5" t="s">
        <v>3744</v>
      </c>
      <c r="G5" t="s">
        <v>152</v>
      </c>
      <c r="H5" t="s">
        <v>153</v>
      </c>
      <c r="I5" t="s">
        <v>154</v>
      </c>
      <c r="J5">
        <v>19930326</v>
      </c>
    </row>
    <row r="6" spans="1:10">
      <c r="A6" t="s">
        <v>3745</v>
      </c>
      <c r="B6">
        <v>520</v>
      </c>
      <c r="C6" t="s">
        <v>3746</v>
      </c>
      <c r="D6" t="s">
        <v>316</v>
      </c>
      <c r="E6" t="s">
        <v>92</v>
      </c>
      <c r="F6" t="s">
        <v>3747</v>
      </c>
      <c r="G6" t="s">
        <v>152</v>
      </c>
      <c r="H6" t="s">
        <v>153</v>
      </c>
      <c r="I6" t="s">
        <v>154</v>
      </c>
      <c r="J6">
        <v>19931025</v>
      </c>
    </row>
    <row r="7" spans="1:10">
      <c r="A7" t="s">
        <v>3748</v>
      </c>
      <c r="B7">
        <v>548</v>
      </c>
      <c r="C7" t="s">
        <v>3749</v>
      </c>
      <c r="D7" t="s">
        <v>168</v>
      </c>
      <c r="E7" t="s">
        <v>98</v>
      </c>
      <c r="F7" t="s">
        <v>3750</v>
      </c>
      <c r="G7" t="s">
        <v>152</v>
      </c>
      <c r="H7" t="s">
        <v>153</v>
      </c>
      <c r="I7" t="s">
        <v>154</v>
      </c>
      <c r="J7">
        <v>19931220</v>
      </c>
    </row>
    <row r="8" spans="1:10">
      <c r="A8" t="s">
        <v>3751</v>
      </c>
      <c r="B8">
        <v>557</v>
      </c>
      <c r="C8" t="s">
        <v>3752</v>
      </c>
      <c r="D8" t="s">
        <v>332</v>
      </c>
      <c r="E8" t="s">
        <v>97</v>
      </c>
      <c r="F8" t="s">
        <v>3753</v>
      </c>
      <c r="G8" t="s">
        <v>152</v>
      </c>
      <c r="H8" t="s">
        <v>153</v>
      </c>
      <c r="I8" t="s">
        <v>154</v>
      </c>
      <c r="J8">
        <v>19940617</v>
      </c>
    </row>
    <row r="9" spans="1:10">
      <c r="A9" t="s">
        <v>3754</v>
      </c>
      <c r="B9">
        <v>582</v>
      </c>
      <c r="C9" t="s">
        <v>3755</v>
      </c>
      <c r="D9" t="s">
        <v>345</v>
      </c>
      <c r="E9" t="s">
        <v>83</v>
      </c>
      <c r="F9" t="s">
        <v>3756</v>
      </c>
      <c r="G9" t="s">
        <v>152</v>
      </c>
      <c r="H9" t="s">
        <v>153</v>
      </c>
      <c r="I9" t="s">
        <v>154</v>
      </c>
      <c r="J9">
        <v>19951102</v>
      </c>
    </row>
    <row r="10" spans="1:10">
      <c r="A10" t="s">
        <v>3757</v>
      </c>
      <c r="B10">
        <v>697</v>
      </c>
      <c r="C10" t="s">
        <v>3758</v>
      </c>
      <c r="D10" t="s">
        <v>419</v>
      </c>
      <c r="E10" t="s">
        <v>102</v>
      </c>
      <c r="F10" t="s">
        <v>3759</v>
      </c>
      <c r="G10" t="s">
        <v>152</v>
      </c>
      <c r="H10" t="s">
        <v>153</v>
      </c>
      <c r="I10" t="s">
        <v>154</v>
      </c>
      <c r="J10">
        <v>19970325</v>
      </c>
    </row>
    <row r="11" spans="1:10">
      <c r="A11" t="s">
        <v>3760</v>
      </c>
      <c r="B11">
        <v>720</v>
      </c>
      <c r="C11" t="s">
        <v>3761</v>
      </c>
      <c r="D11" t="s">
        <v>198</v>
      </c>
      <c r="E11" t="s">
        <v>50</v>
      </c>
      <c r="F11" t="s">
        <v>3762</v>
      </c>
      <c r="G11" t="s">
        <v>152</v>
      </c>
      <c r="H11" t="s">
        <v>153</v>
      </c>
      <c r="I11" t="s">
        <v>154</v>
      </c>
      <c r="J11">
        <v>19970509</v>
      </c>
    </row>
    <row r="12" spans="1:10">
      <c r="A12" t="s">
        <v>3763</v>
      </c>
      <c r="B12">
        <v>738</v>
      </c>
      <c r="C12" t="s">
        <v>3764</v>
      </c>
      <c r="D12" t="s">
        <v>212</v>
      </c>
      <c r="E12" t="s">
        <v>102</v>
      </c>
      <c r="F12" t="s">
        <v>3765</v>
      </c>
      <c r="G12" t="s">
        <v>152</v>
      </c>
      <c r="H12" t="s">
        <v>153</v>
      </c>
      <c r="I12" t="s">
        <v>154</v>
      </c>
      <c r="J12">
        <v>19970626</v>
      </c>
    </row>
    <row r="13" spans="1:10">
      <c r="A13" t="s">
        <v>3766</v>
      </c>
      <c r="B13">
        <v>755</v>
      </c>
      <c r="C13" t="s">
        <v>3767</v>
      </c>
      <c r="D13" t="s">
        <v>557</v>
      </c>
      <c r="E13" t="s">
        <v>98</v>
      </c>
      <c r="F13" t="s">
        <v>3768</v>
      </c>
      <c r="G13" t="s">
        <v>152</v>
      </c>
      <c r="H13" t="s">
        <v>153</v>
      </c>
      <c r="I13" t="s">
        <v>154</v>
      </c>
      <c r="J13">
        <v>19970627</v>
      </c>
    </row>
    <row r="14" spans="1:10">
      <c r="A14" t="s">
        <v>3769</v>
      </c>
      <c r="B14">
        <v>768</v>
      </c>
      <c r="C14" t="s">
        <v>3770</v>
      </c>
      <c r="D14" t="s">
        <v>419</v>
      </c>
      <c r="E14" t="s">
        <v>102</v>
      </c>
      <c r="F14" t="s">
        <v>3771</v>
      </c>
      <c r="G14" t="s">
        <v>152</v>
      </c>
      <c r="H14" t="s">
        <v>153</v>
      </c>
      <c r="I14" t="s">
        <v>154</v>
      </c>
      <c r="J14">
        <v>19970626</v>
      </c>
    </row>
    <row r="15" spans="1:10">
      <c r="A15" t="s">
        <v>3772</v>
      </c>
      <c r="B15">
        <v>828</v>
      </c>
      <c r="C15" t="s">
        <v>3773</v>
      </c>
      <c r="D15" t="s">
        <v>223</v>
      </c>
      <c r="E15" t="s">
        <v>98</v>
      </c>
      <c r="F15" t="s">
        <v>3774</v>
      </c>
      <c r="G15" t="s">
        <v>152</v>
      </c>
      <c r="H15" t="s">
        <v>153</v>
      </c>
      <c r="I15" t="s">
        <v>154</v>
      </c>
      <c r="J15">
        <v>19970617</v>
      </c>
    </row>
    <row r="16" spans="1:10">
      <c r="A16" t="s">
        <v>3775</v>
      </c>
      <c r="B16">
        <v>900</v>
      </c>
      <c r="C16" t="s">
        <v>3776</v>
      </c>
      <c r="D16" t="s">
        <v>168</v>
      </c>
      <c r="E16" t="s">
        <v>98</v>
      </c>
      <c r="F16" t="s">
        <v>3777</v>
      </c>
      <c r="G16" t="s">
        <v>152</v>
      </c>
      <c r="H16" t="s">
        <v>153</v>
      </c>
      <c r="I16" t="s">
        <v>154</v>
      </c>
      <c r="J16">
        <v>19990128</v>
      </c>
    </row>
    <row r="17" spans="1:10">
      <c r="A17" t="s">
        <v>3778</v>
      </c>
      <c r="B17">
        <v>905</v>
      </c>
      <c r="C17" t="s">
        <v>3779</v>
      </c>
      <c r="D17" t="s">
        <v>150</v>
      </c>
      <c r="E17" t="s">
        <v>83</v>
      </c>
      <c r="F17" t="s">
        <v>3780</v>
      </c>
      <c r="G17" t="s">
        <v>152</v>
      </c>
      <c r="H17" t="s">
        <v>153</v>
      </c>
      <c r="I17" t="s">
        <v>154</v>
      </c>
      <c r="J17">
        <v>19990429</v>
      </c>
    </row>
    <row r="18" spans="1:10">
      <c r="A18" t="s">
        <v>3781</v>
      </c>
      <c r="B18">
        <v>906</v>
      </c>
      <c r="C18" t="s">
        <v>3782</v>
      </c>
      <c r="D18" t="s">
        <v>423</v>
      </c>
      <c r="E18" t="s">
        <v>50</v>
      </c>
      <c r="F18" t="s">
        <v>3783</v>
      </c>
      <c r="G18" t="s">
        <v>152</v>
      </c>
      <c r="H18" t="s">
        <v>153</v>
      </c>
      <c r="I18" t="s">
        <v>154</v>
      </c>
      <c r="J18">
        <v>19990707</v>
      </c>
    </row>
    <row r="19" spans="1:10">
      <c r="A19" t="s">
        <v>3784</v>
      </c>
      <c r="B19">
        <v>927</v>
      </c>
      <c r="C19" t="s">
        <v>3785</v>
      </c>
      <c r="D19" t="s">
        <v>576</v>
      </c>
      <c r="E19" t="s">
        <v>50</v>
      </c>
      <c r="F19" t="s">
        <v>3786</v>
      </c>
      <c r="G19" t="s">
        <v>152</v>
      </c>
      <c r="H19" t="s">
        <v>153</v>
      </c>
      <c r="I19" t="s">
        <v>154</v>
      </c>
      <c r="J19">
        <v>19990727</v>
      </c>
    </row>
    <row r="20" spans="1:10">
      <c r="A20" t="s">
        <v>3787</v>
      </c>
      <c r="B20">
        <v>1202</v>
      </c>
      <c r="C20" t="s">
        <v>3788</v>
      </c>
      <c r="D20" t="s">
        <v>223</v>
      </c>
      <c r="E20" t="s">
        <v>50</v>
      </c>
      <c r="F20" t="s">
        <v>3789</v>
      </c>
      <c r="G20" t="s">
        <v>152</v>
      </c>
      <c r="H20" t="s">
        <v>153</v>
      </c>
      <c r="I20" t="s">
        <v>154</v>
      </c>
      <c r="J20">
        <v>20210429</v>
      </c>
    </row>
    <row r="21" spans="1:10">
      <c r="A21" t="s">
        <v>3790</v>
      </c>
      <c r="B21">
        <v>1205</v>
      </c>
      <c r="C21" t="s">
        <v>3791</v>
      </c>
      <c r="D21" t="s">
        <v>212</v>
      </c>
      <c r="E21" t="s">
        <v>92</v>
      </c>
      <c r="F21" t="s">
        <v>3792</v>
      </c>
      <c r="G21" t="s">
        <v>152</v>
      </c>
      <c r="H21" t="s">
        <v>153</v>
      </c>
      <c r="I21" t="s">
        <v>154</v>
      </c>
      <c r="J21">
        <v>20210513</v>
      </c>
    </row>
    <row r="22" spans="1:10">
      <c r="A22" t="s">
        <v>3793</v>
      </c>
      <c r="B22">
        <v>1213</v>
      </c>
      <c r="C22" t="s">
        <v>3794</v>
      </c>
      <c r="D22" t="s">
        <v>164</v>
      </c>
      <c r="E22" t="s">
        <v>50</v>
      </c>
      <c r="F22" t="s">
        <v>3795</v>
      </c>
      <c r="G22" t="s">
        <v>152</v>
      </c>
      <c r="H22" t="s">
        <v>153</v>
      </c>
      <c r="I22" t="s">
        <v>154</v>
      </c>
      <c r="J22">
        <v>20210908</v>
      </c>
    </row>
    <row r="23" spans="1:10">
      <c r="A23" t="s">
        <v>3796</v>
      </c>
      <c r="B23">
        <v>1228</v>
      </c>
      <c r="C23" t="s">
        <v>3797</v>
      </c>
      <c r="D23" t="s">
        <v>423</v>
      </c>
      <c r="E23" t="s">
        <v>50</v>
      </c>
      <c r="F23" t="s">
        <v>3798</v>
      </c>
      <c r="G23" t="s">
        <v>152</v>
      </c>
      <c r="H23" t="s">
        <v>153</v>
      </c>
      <c r="I23" t="s">
        <v>154</v>
      </c>
      <c r="J23">
        <v>20220429</v>
      </c>
    </row>
    <row r="24" spans="1:10">
      <c r="A24" t="s">
        <v>3799</v>
      </c>
      <c r="B24">
        <v>1317</v>
      </c>
      <c r="C24" t="s">
        <v>3800</v>
      </c>
      <c r="D24" t="s">
        <v>937</v>
      </c>
      <c r="E24" t="s">
        <v>50</v>
      </c>
      <c r="F24" t="s">
        <v>3801</v>
      </c>
      <c r="G24" t="s">
        <v>152</v>
      </c>
      <c r="H24" t="s">
        <v>153</v>
      </c>
      <c r="I24" t="s">
        <v>154</v>
      </c>
      <c r="J24">
        <v>20211130</v>
      </c>
    </row>
    <row r="25" spans="1:10">
      <c r="A25" t="s">
        <v>3802</v>
      </c>
      <c r="B25">
        <v>1331</v>
      </c>
      <c r="C25" t="s">
        <v>3803</v>
      </c>
      <c r="D25" t="s">
        <v>198</v>
      </c>
      <c r="E25" t="s">
        <v>50</v>
      </c>
      <c r="F25" t="s">
        <v>3804</v>
      </c>
      <c r="G25" t="s">
        <v>152</v>
      </c>
      <c r="H25" t="s">
        <v>153</v>
      </c>
      <c r="I25" t="s">
        <v>154</v>
      </c>
      <c r="J25">
        <v>20220908</v>
      </c>
    </row>
    <row r="26" spans="1:10">
      <c r="A26" t="s">
        <v>3805</v>
      </c>
      <c r="B26">
        <v>1872</v>
      </c>
      <c r="C26" t="s">
        <v>3806</v>
      </c>
      <c r="D26" t="s">
        <v>243</v>
      </c>
      <c r="E26" t="s">
        <v>83</v>
      </c>
      <c r="F26" t="s">
        <v>3807</v>
      </c>
      <c r="G26" t="s">
        <v>152</v>
      </c>
      <c r="H26" t="s">
        <v>153</v>
      </c>
      <c r="I26" t="s">
        <v>154</v>
      </c>
      <c r="J26">
        <v>19930505</v>
      </c>
    </row>
    <row r="27" spans="1:10">
      <c r="A27" t="s">
        <v>3808</v>
      </c>
      <c r="B27">
        <v>1965</v>
      </c>
      <c r="C27" t="s">
        <v>3809</v>
      </c>
      <c r="D27" t="s">
        <v>576</v>
      </c>
      <c r="E27" t="s">
        <v>98</v>
      </c>
      <c r="F27" t="s">
        <v>3810</v>
      </c>
      <c r="G27" t="s">
        <v>152</v>
      </c>
      <c r="H27" t="s">
        <v>153</v>
      </c>
      <c r="I27" t="s">
        <v>154</v>
      </c>
      <c r="J27">
        <v>20171225</v>
      </c>
    </row>
    <row r="28" spans="1:10">
      <c r="A28" t="s">
        <v>3811</v>
      </c>
      <c r="B28">
        <v>600004</v>
      </c>
      <c r="C28" t="s">
        <v>3812</v>
      </c>
      <c r="D28" t="s">
        <v>223</v>
      </c>
      <c r="E28" t="s">
        <v>101</v>
      </c>
      <c r="F28" t="s">
        <v>3813</v>
      </c>
      <c r="G28" t="s">
        <v>152</v>
      </c>
      <c r="H28" t="s">
        <v>174</v>
      </c>
      <c r="I28" t="s">
        <v>154</v>
      </c>
      <c r="J28">
        <v>20030428</v>
      </c>
    </row>
    <row r="29" spans="1:10">
      <c r="A29" t="s">
        <v>3814</v>
      </c>
      <c r="B29">
        <v>600009</v>
      </c>
      <c r="C29" t="s">
        <v>3815</v>
      </c>
      <c r="D29" t="s">
        <v>172</v>
      </c>
      <c r="E29" t="s">
        <v>101</v>
      </c>
      <c r="F29" t="s">
        <v>3816</v>
      </c>
      <c r="G29" t="s">
        <v>152</v>
      </c>
      <c r="H29" t="s">
        <v>174</v>
      </c>
      <c r="I29" t="s">
        <v>154</v>
      </c>
      <c r="J29">
        <v>19980218</v>
      </c>
    </row>
    <row r="30" spans="1:10">
      <c r="A30" t="s">
        <v>3817</v>
      </c>
      <c r="B30">
        <v>600012</v>
      </c>
      <c r="C30" t="s">
        <v>3818</v>
      </c>
      <c r="D30" t="s">
        <v>160</v>
      </c>
      <c r="E30" t="s">
        <v>98</v>
      </c>
      <c r="F30" t="s">
        <v>3819</v>
      </c>
      <c r="G30" t="s">
        <v>152</v>
      </c>
      <c r="H30" t="s">
        <v>174</v>
      </c>
      <c r="I30" t="s">
        <v>154</v>
      </c>
      <c r="J30">
        <v>20030107</v>
      </c>
    </row>
    <row r="31" spans="1:10">
      <c r="A31" t="s">
        <v>3820</v>
      </c>
      <c r="B31">
        <v>600017</v>
      </c>
      <c r="C31" t="s">
        <v>3821</v>
      </c>
      <c r="D31" t="s">
        <v>198</v>
      </c>
      <c r="E31" t="s">
        <v>83</v>
      </c>
      <c r="F31" t="s">
        <v>3822</v>
      </c>
      <c r="G31" t="s">
        <v>152</v>
      </c>
      <c r="H31" t="s">
        <v>174</v>
      </c>
      <c r="I31" t="s">
        <v>154</v>
      </c>
      <c r="J31">
        <v>20061017</v>
      </c>
    </row>
    <row r="32" spans="1:10">
      <c r="A32" t="s">
        <v>3823</v>
      </c>
      <c r="B32">
        <v>600018</v>
      </c>
      <c r="C32" t="s">
        <v>3824</v>
      </c>
      <c r="D32" t="s">
        <v>172</v>
      </c>
      <c r="E32" t="s">
        <v>83</v>
      </c>
      <c r="F32" t="s">
        <v>3825</v>
      </c>
      <c r="G32" t="s">
        <v>152</v>
      </c>
      <c r="H32" t="s">
        <v>174</v>
      </c>
      <c r="I32" t="s">
        <v>154</v>
      </c>
      <c r="J32">
        <v>20061026</v>
      </c>
    </row>
    <row r="33" spans="1:10">
      <c r="A33" t="s">
        <v>3826</v>
      </c>
      <c r="B33">
        <v>600020</v>
      </c>
      <c r="C33" t="s">
        <v>3827</v>
      </c>
      <c r="D33" t="s">
        <v>292</v>
      </c>
      <c r="E33" t="s">
        <v>98</v>
      </c>
      <c r="F33" t="s">
        <v>3828</v>
      </c>
      <c r="G33" t="s">
        <v>152</v>
      </c>
      <c r="H33" t="s">
        <v>174</v>
      </c>
      <c r="I33" t="s">
        <v>154</v>
      </c>
      <c r="J33">
        <v>20030808</v>
      </c>
    </row>
    <row r="34" spans="1:10">
      <c r="A34" t="s">
        <v>3829</v>
      </c>
      <c r="B34">
        <v>600026</v>
      </c>
      <c r="C34" t="s">
        <v>3830</v>
      </c>
      <c r="D34" t="s">
        <v>172</v>
      </c>
      <c r="E34" t="s">
        <v>92</v>
      </c>
      <c r="F34" t="s">
        <v>3831</v>
      </c>
      <c r="G34" t="s">
        <v>152</v>
      </c>
      <c r="H34" t="s">
        <v>174</v>
      </c>
      <c r="I34" t="s">
        <v>154</v>
      </c>
      <c r="J34">
        <v>20020523</v>
      </c>
    </row>
    <row r="35" spans="1:10">
      <c r="A35" t="s">
        <v>3832</v>
      </c>
      <c r="B35">
        <v>600029</v>
      </c>
      <c r="C35" t="s">
        <v>3833</v>
      </c>
      <c r="D35" t="s">
        <v>223</v>
      </c>
      <c r="E35" t="s">
        <v>103</v>
      </c>
      <c r="F35" t="s">
        <v>3834</v>
      </c>
      <c r="G35" t="s">
        <v>152</v>
      </c>
      <c r="H35" t="s">
        <v>174</v>
      </c>
      <c r="I35" t="s">
        <v>154</v>
      </c>
      <c r="J35">
        <v>20030725</v>
      </c>
    </row>
    <row r="36" spans="1:10">
      <c r="A36" t="s">
        <v>3835</v>
      </c>
      <c r="B36">
        <v>600033</v>
      </c>
      <c r="C36" t="s">
        <v>3836</v>
      </c>
      <c r="D36" t="s">
        <v>150</v>
      </c>
      <c r="E36" t="s">
        <v>98</v>
      </c>
      <c r="F36" t="s">
        <v>3837</v>
      </c>
      <c r="G36" t="s">
        <v>152</v>
      </c>
      <c r="H36" t="s">
        <v>174</v>
      </c>
      <c r="I36" t="s">
        <v>154</v>
      </c>
      <c r="J36">
        <v>20010209</v>
      </c>
    </row>
    <row r="37" spans="1:10">
      <c r="A37" t="s">
        <v>3838</v>
      </c>
      <c r="B37">
        <v>600035</v>
      </c>
      <c r="C37" t="s">
        <v>3839</v>
      </c>
      <c r="D37" t="s">
        <v>316</v>
      </c>
      <c r="E37" t="s">
        <v>98</v>
      </c>
      <c r="F37" t="s">
        <v>3840</v>
      </c>
      <c r="G37" t="s">
        <v>152</v>
      </c>
      <c r="H37" t="s">
        <v>174</v>
      </c>
      <c r="I37" t="s">
        <v>154</v>
      </c>
      <c r="J37">
        <v>20040310</v>
      </c>
    </row>
    <row r="38" spans="1:10">
      <c r="A38" t="s">
        <v>3841</v>
      </c>
      <c r="B38">
        <v>600038</v>
      </c>
      <c r="C38" t="s">
        <v>3842</v>
      </c>
      <c r="D38" t="s">
        <v>194</v>
      </c>
      <c r="E38" t="s">
        <v>102</v>
      </c>
      <c r="F38" t="s">
        <v>3843</v>
      </c>
      <c r="G38" t="s">
        <v>152</v>
      </c>
      <c r="H38" t="s">
        <v>174</v>
      </c>
      <c r="I38" t="s">
        <v>154</v>
      </c>
      <c r="J38">
        <v>20001218</v>
      </c>
    </row>
    <row r="39" spans="1:10">
      <c r="A39" t="s">
        <v>3844</v>
      </c>
      <c r="B39">
        <v>600057</v>
      </c>
      <c r="C39" t="s">
        <v>3845</v>
      </c>
      <c r="D39" t="s">
        <v>150</v>
      </c>
      <c r="E39" t="s">
        <v>50</v>
      </c>
      <c r="F39" t="s">
        <v>3846</v>
      </c>
      <c r="G39" t="s">
        <v>152</v>
      </c>
      <c r="H39" t="s">
        <v>174</v>
      </c>
      <c r="I39" t="s">
        <v>154</v>
      </c>
      <c r="J39">
        <v>19970604</v>
      </c>
    </row>
    <row r="40" spans="1:10">
      <c r="A40" t="s">
        <v>3847</v>
      </c>
      <c r="B40">
        <v>600072</v>
      </c>
      <c r="C40" t="s">
        <v>3848</v>
      </c>
      <c r="D40" t="s">
        <v>172</v>
      </c>
      <c r="E40" t="s">
        <v>66</v>
      </c>
      <c r="F40" t="s">
        <v>3849</v>
      </c>
      <c r="G40" t="s">
        <v>152</v>
      </c>
      <c r="H40" t="s">
        <v>174</v>
      </c>
      <c r="I40" t="s">
        <v>154</v>
      </c>
      <c r="J40">
        <v>19970603</v>
      </c>
    </row>
    <row r="41" spans="1:10">
      <c r="A41" t="s">
        <v>3850</v>
      </c>
      <c r="B41">
        <v>600106</v>
      </c>
      <c r="C41" t="s">
        <v>3851</v>
      </c>
      <c r="D41" t="s">
        <v>937</v>
      </c>
      <c r="E41" t="s">
        <v>98</v>
      </c>
      <c r="F41" t="s">
        <v>3852</v>
      </c>
      <c r="G41" t="s">
        <v>152</v>
      </c>
      <c r="H41" t="s">
        <v>174</v>
      </c>
      <c r="I41" t="s">
        <v>154</v>
      </c>
      <c r="J41">
        <v>19970618</v>
      </c>
    </row>
    <row r="42" spans="1:10">
      <c r="A42" t="s">
        <v>3853</v>
      </c>
      <c r="B42">
        <v>600115</v>
      </c>
      <c r="C42" t="s">
        <v>3854</v>
      </c>
      <c r="D42" t="s">
        <v>172</v>
      </c>
      <c r="E42" t="s">
        <v>103</v>
      </c>
      <c r="F42" t="s">
        <v>3855</v>
      </c>
      <c r="G42" t="s">
        <v>152</v>
      </c>
      <c r="H42" t="s">
        <v>174</v>
      </c>
      <c r="I42" t="s">
        <v>154</v>
      </c>
      <c r="J42">
        <v>19971105</v>
      </c>
    </row>
    <row r="43" spans="1:10">
      <c r="A43" t="s">
        <v>3856</v>
      </c>
      <c r="B43">
        <v>600118</v>
      </c>
      <c r="C43" t="s">
        <v>3857</v>
      </c>
      <c r="D43" t="s">
        <v>164</v>
      </c>
      <c r="E43" t="s">
        <v>102</v>
      </c>
      <c r="F43" t="s">
        <v>3858</v>
      </c>
      <c r="G43" t="s">
        <v>152</v>
      </c>
      <c r="H43" t="s">
        <v>174</v>
      </c>
      <c r="I43" t="s">
        <v>154</v>
      </c>
      <c r="J43">
        <v>19970908</v>
      </c>
    </row>
    <row r="44" spans="1:10">
      <c r="A44" t="s">
        <v>3859</v>
      </c>
      <c r="B44">
        <v>600119</v>
      </c>
      <c r="C44" t="s">
        <v>3860</v>
      </c>
      <c r="D44" t="s">
        <v>172</v>
      </c>
      <c r="E44" t="s">
        <v>50</v>
      </c>
      <c r="F44" t="s">
        <v>3861</v>
      </c>
      <c r="G44" t="s">
        <v>152</v>
      </c>
      <c r="H44" t="s">
        <v>174</v>
      </c>
      <c r="I44" t="s">
        <v>154</v>
      </c>
      <c r="J44">
        <v>19980115</v>
      </c>
    </row>
    <row r="45" spans="1:10">
      <c r="A45" t="s">
        <v>3862</v>
      </c>
      <c r="B45">
        <v>600125</v>
      </c>
      <c r="C45" t="s">
        <v>3863</v>
      </c>
      <c r="D45" t="s">
        <v>236</v>
      </c>
      <c r="E45" t="s">
        <v>97</v>
      </c>
      <c r="F45" t="s">
        <v>3864</v>
      </c>
      <c r="G45" t="s">
        <v>152</v>
      </c>
      <c r="H45" t="s">
        <v>174</v>
      </c>
      <c r="I45" t="s">
        <v>154</v>
      </c>
      <c r="J45">
        <v>19980511</v>
      </c>
    </row>
    <row r="46" spans="1:10">
      <c r="A46" t="s">
        <v>3865</v>
      </c>
      <c r="B46">
        <v>600150</v>
      </c>
      <c r="C46" t="s">
        <v>3866</v>
      </c>
      <c r="D46" t="s">
        <v>172</v>
      </c>
      <c r="E46" t="s">
        <v>66</v>
      </c>
      <c r="F46" t="s">
        <v>3867</v>
      </c>
      <c r="G46" t="s">
        <v>152</v>
      </c>
      <c r="H46" t="s">
        <v>174</v>
      </c>
      <c r="I46" t="s">
        <v>154</v>
      </c>
      <c r="J46">
        <v>19980520</v>
      </c>
    </row>
    <row r="47" spans="1:10">
      <c r="A47" t="s">
        <v>3868</v>
      </c>
      <c r="B47">
        <v>600153</v>
      </c>
      <c r="C47" t="s">
        <v>3869</v>
      </c>
      <c r="D47" t="s">
        <v>150</v>
      </c>
      <c r="E47" t="s">
        <v>50</v>
      </c>
      <c r="F47" t="s">
        <v>3870</v>
      </c>
      <c r="G47" t="s">
        <v>152</v>
      </c>
      <c r="H47" t="s">
        <v>174</v>
      </c>
      <c r="I47" t="s">
        <v>154</v>
      </c>
      <c r="J47">
        <v>19980616</v>
      </c>
    </row>
    <row r="48" spans="1:10">
      <c r="A48" t="s">
        <v>3871</v>
      </c>
      <c r="B48">
        <v>600179</v>
      </c>
      <c r="C48" t="s">
        <v>3872</v>
      </c>
      <c r="D48" t="s">
        <v>194</v>
      </c>
      <c r="E48" t="s">
        <v>50</v>
      </c>
      <c r="F48" t="s">
        <v>3873</v>
      </c>
      <c r="G48" t="s">
        <v>152</v>
      </c>
      <c r="H48" t="s">
        <v>174</v>
      </c>
      <c r="I48" t="s">
        <v>154</v>
      </c>
      <c r="J48">
        <v>19981104</v>
      </c>
    </row>
    <row r="49" spans="1:10">
      <c r="A49" t="s">
        <v>3874</v>
      </c>
      <c r="B49">
        <v>600180</v>
      </c>
      <c r="C49" t="s">
        <v>3875</v>
      </c>
      <c r="D49" t="s">
        <v>198</v>
      </c>
      <c r="E49" t="s">
        <v>50</v>
      </c>
      <c r="F49" t="s">
        <v>3876</v>
      </c>
      <c r="G49" t="s">
        <v>152</v>
      </c>
      <c r="H49" t="s">
        <v>174</v>
      </c>
      <c r="I49" t="s">
        <v>154</v>
      </c>
      <c r="J49">
        <v>19980703</v>
      </c>
    </row>
    <row r="50" spans="1:10">
      <c r="A50" t="s">
        <v>3877</v>
      </c>
      <c r="B50">
        <v>600190</v>
      </c>
      <c r="C50" t="s">
        <v>3878</v>
      </c>
      <c r="D50" t="s">
        <v>236</v>
      </c>
      <c r="E50" t="s">
        <v>83</v>
      </c>
      <c r="F50" t="s">
        <v>3879</v>
      </c>
      <c r="G50" t="s">
        <v>152</v>
      </c>
      <c r="H50" t="s">
        <v>174</v>
      </c>
      <c r="I50" t="s">
        <v>154</v>
      </c>
      <c r="J50">
        <v>19990609</v>
      </c>
    </row>
    <row r="51" spans="1:10">
      <c r="A51" t="s">
        <v>3880</v>
      </c>
      <c r="B51">
        <v>600221</v>
      </c>
      <c r="C51" t="s">
        <v>3881</v>
      </c>
      <c r="D51" t="s">
        <v>250</v>
      </c>
      <c r="E51" t="s">
        <v>103</v>
      </c>
      <c r="F51" t="s">
        <v>3882</v>
      </c>
      <c r="G51" t="s">
        <v>152</v>
      </c>
      <c r="H51" t="s">
        <v>174</v>
      </c>
      <c r="I51" t="s">
        <v>154</v>
      </c>
      <c r="J51">
        <v>19991125</v>
      </c>
    </row>
    <row r="52" spans="1:10">
      <c r="A52" t="s">
        <v>3883</v>
      </c>
      <c r="B52">
        <v>600233</v>
      </c>
      <c r="C52" t="s">
        <v>3884</v>
      </c>
      <c r="D52" t="s">
        <v>236</v>
      </c>
      <c r="E52" t="s">
        <v>50</v>
      </c>
      <c r="F52" t="s">
        <v>3885</v>
      </c>
      <c r="G52" t="s">
        <v>152</v>
      </c>
      <c r="H52" t="s">
        <v>174</v>
      </c>
      <c r="I52" t="s">
        <v>154</v>
      </c>
      <c r="J52">
        <v>20000608</v>
      </c>
    </row>
    <row r="53" spans="1:10">
      <c r="A53" t="s">
        <v>3886</v>
      </c>
      <c r="B53">
        <v>600269</v>
      </c>
      <c r="C53" t="s">
        <v>3887</v>
      </c>
      <c r="D53" t="s">
        <v>406</v>
      </c>
      <c r="E53" t="s">
        <v>98</v>
      </c>
      <c r="F53" t="s">
        <v>3888</v>
      </c>
      <c r="G53" t="s">
        <v>152</v>
      </c>
      <c r="H53" t="s">
        <v>174</v>
      </c>
      <c r="I53" t="s">
        <v>154</v>
      </c>
      <c r="J53">
        <v>20000518</v>
      </c>
    </row>
    <row r="54" spans="1:10">
      <c r="A54" t="s">
        <v>3889</v>
      </c>
      <c r="B54">
        <v>600279</v>
      </c>
      <c r="C54" t="s">
        <v>3890</v>
      </c>
      <c r="D54" t="s">
        <v>937</v>
      </c>
      <c r="E54" t="s">
        <v>83</v>
      </c>
      <c r="F54" t="s">
        <v>3891</v>
      </c>
      <c r="G54" t="s">
        <v>152</v>
      </c>
      <c r="H54" t="s">
        <v>174</v>
      </c>
      <c r="I54" t="s">
        <v>154</v>
      </c>
      <c r="J54">
        <v>20000731</v>
      </c>
    </row>
    <row r="55" spans="1:10">
      <c r="A55" t="s">
        <v>3892</v>
      </c>
      <c r="B55">
        <v>600316</v>
      </c>
      <c r="C55" t="s">
        <v>3893</v>
      </c>
      <c r="D55" t="s">
        <v>406</v>
      </c>
      <c r="E55" t="s">
        <v>102</v>
      </c>
      <c r="F55" t="s">
        <v>3894</v>
      </c>
      <c r="G55" t="s">
        <v>152</v>
      </c>
      <c r="H55" t="s">
        <v>174</v>
      </c>
      <c r="I55" t="s">
        <v>154</v>
      </c>
      <c r="J55">
        <v>20001215</v>
      </c>
    </row>
    <row r="56" spans="1:10">
      <c r="A56" t="s">
        <v>3895</v>
      </c>
      <c r="B56">
        <v>600343</v>
      </c>
      <c r="C56" t="s">
        <v>3896</v>
      </c>
      <c r="D56" t="s">
        <v>419</v>
      </c>
      <c r="E56" t="s">
        <v>102</v>
      </c>
      <c r="F56" t="s">
        <v>3897</v>
      </c>
      <c r="G56" t="s">
        <v>152</v>
      </c>
      <c r="H56" t="s">
        <v>174</v>
      </c>
      <c r="I56" t="s">
        <v>154</v>
      </c>
      <c r="J56">
        <v>20030408</v>
      </c>
    </row>
    <row r="57" spans="1:10">
      <c r="A57" t="s">
        <v>3898</v>
      </c>
      <c r="B57">
        <v>600350</v>
      </c>
      <c r="C57" t="s">
        <v>3899</v>
      </c>
      <c r="D57" t="s">
        <v>198</v>
      </c>
      <c r="E57" t="s">
        <v>98</v>
      </c>
      <c r="F57" t="s">
        <v>3900</v>
      </c>
      <c r="G57" t="s">
        <v>152</v>
      </c>
      <c r="H57" t="s">
        <v>174</v>
      </c>
      <c r="I57" t="s">
        <v>154</v>
      </c>
      <c r="J57">
        <v>20020318</v>
      </c>
    </row>
    <row r="58" spans="1:10">
      <c r="A58" t="s">
        <v>3901</v>
      </c>
      <c r="B58">
        <v>600368</v>
      </c>
      <c r="C58" t="s">
        <v>3902</v>
      </c>
      <c r="D58" t="s">
        <v>345</v>
      </c>
      <c r="E58" t="s">
        <v>98</v>
      </c>
      <c r="F58" t="s">
        <v>3903</v>
      </c>
      <c r="G58" t="s">
        <v>152</v>
      </c>
      <c r="H58" t="s">
        <v>174</v>
      </c>
      <c r="I58" t="s">
        <v>154</v>
      </c>
      <c r="J58">
        <v>20001221</v>
      </c>
    </row>
    <row r="59" spans="1:10">
      <c r="A59" t="s">
        <v>3904</v>
      </c>
      <c r="B59">
        <v>600372</v>
      </c>
      <c r="C59" t="s">
        <v>3905</v>
      </c>
      <c r="D59" t="s">
        <v>164</v>
      </c>
      <c r="E59" t="s">
        <v>102</v>
      </c>
      <c r="F59" t="s">
        <v>3906</v>
      </c>
      <c r="G59" t="s">
        <v>152</v>
      </c>
      <c r="H59" t="s">
        <v>174</v>
      </c>
      <c r="I59" t="s">
        <v>154</v>
      </c>
      <c r="J59">
        <v>20010706</v>
      </c>
    </row>
    <row r="60" spans="1:10">
      <c r="A60" t="s">
        <v>3907</v>
      </c>
      <c r="B60">
        <v>600377</v>
      </c>
      <c r="C60" t="s">
        <v>3908</v>
      </c>
      <c r="D60" t="s">
        <v>212</v>
      </c>
      <c r="E60" t="s">
        <v>98</v>
      </c>
      <c r="F60" t="s">
        <v>3909</v>
      </c>
      <c r="G60" t="s">
        <v>152</v>
      </c>
      <c r="H60" t="s">
        <v>174</v>
      </c>
      <c r="I60" t="s">
        <v>154</v>
      </c>
      <c r="J60">
        <v>20010116</v>
      </c>
    </row>
    <row r="61" spans="1:10">
      <c r="A61" t="s">
        <v>3910</v>
      </c>
      <c r="B61">
        <v>600391</v>
      </c>
      <c r="C61" t="s">
        <v>3911</v>
      </c>
      <c r="D61" t="s">
        <v>219</v>
      </c>
      <c r="E61" t="s">
        <v>102</v>
      </c>
      <c r="F61" t="s">
        <v>3912</v>
      </c>
      <c r="G61" t="s">
        <v>152</v>
      </c>
      <c r="H61" t="s">
        <v>174</v>
      </c>
      <c r="I61" t="s">
        <v>154</v>
      </c>
      <c r="J61">
        <v>20011212</v>
      </c>
    </row>
    <row r="62" spans="1:10">
      <c r="A62" t="s">
        <v>3913</v>
      </c>
      <c r="B62">
        <v>600428</v>
      </c>
      <c r="C62" t="s">
        <v>3914</v>
      </c>
      <c r="D62" t="s">
        <v>223</v>
      </c>
      <c r="E62" t="s">
        <v>92</v>
      </c>
      <c r="F62" t="s">
        <v>3915</v>
      </c>
      <c r="G62" t="s">
        <v>152</v>
      </c>
      <c r="H62" t="s">
        <v>174</v>
      </c>
      <c r="I62" t="s">
        <v>154</v>
      </c>
      <c r="J62">
        <v>20020418</v>
      </c>
    </row>
    <row r="63" spans="1:10">
      <c r="A63" t="s">
        <v>3916</v>
      </c>
      <c r="B63">
        <v>600482</v>
      </c>
      <c r="C63" t="s">
        <v>3917</v>
      </c>
      <c r="D63" t="s">
        <v>279</v>
      </c>
      <c r="E63" t="s">
        <v>66</v>
      </c>
      <c r="F63" t="s">
        <v>3918</v>
      </c>
      <c r="G63" t="s">
        <v>152</v>
      </c>
      <c r="H63" t="s">
        <v>174</v>
      </c>
      <c r="I63" t="s">
        <v>154</v>
      </c>
      <c r="J63">
        <v>20040714</v>
      </c>
    </row>
    <row r="64" spans="1:10">
      <c r="A64" t="s">
        <v>3919</v>
      </c>
      <c r="B64">
        <v>600515</v>
      </c>
      <c r="C64" t="s">
        <v>3920</v>
      </c>
      <c r="D64" t="s">
        <v>250</v>
      </c>
      <c r="E64" t="s">
        <v>101</v>
      </c>
      <c r="F64" t="s">
        <v>3921</v>
      </c>
      <c r="G64" t="s">
        <v>152</v>
      </c>
      <c r="H64" t="s">
        <v>174</v>
      </c>
      <c r="I64" t="s">
        <v>154</v>
      </c>
      <c r="J64">
        <v>20020806</v>
      </c>
    </row>
    <row r="65" spans="1:10">
      <c r="A65" t="s">
        <v>3922</v>
      </c>
      <c r="B65">
        <v>600548</v>
      </c>
      <c r="C65" t="s">
        <v>3923</v>
      </c>
      <c r="D65" t="s">
        <v>243</v>
      </c>
      <c r="E65" t="s">
        <v>98</v>
      </c>
      <c r="F65" t="s">
        <v>3924</v>
      </c>
      <c r="G65" t="s">
        <v>152</v>
      </c>
      <c r="H65" t="s">
        <v>174</v>
      </c>
      <c r="I65" t="s">
        <v>154</v>
      </c>
      <c r="J65">
        <v>20011225</v>
      </c>
    </row>
    <row r="66" spans="1:10">
      <c r="A66" t="s">
        <v>3925</v>
      </c>
      <c r="B66">
        <v>600561</v>
      </c>
      <c r="C66" t="s">
        <v>3926</v>
      </c>
      <c r="D66" t="s">
        <v>406</v>
      </c>
      <c r="E66" t="s">
        <v>69</v>
      </c>
      <c r="F66" t="s">
        <v>3927</v>
      </c>
      <c r="G66" t="s">
        <v>152</v>
      </c>
      <c r="H66" t="s">
        <v>174</v>
      </c>
      <c r="I66" t="s">
        <v>154</v>
      </c>
      <c r="J66">
        <v>20020716</v>
      </c>
    </row>
    <row r="67" spans="1:10">
      <c r="A67" t="s">
        <v>3928</v>
      </c>
      <c r="B67">
        <v>600575</v>
      </c>
      <c r="C67" t="s">
        <v>3929</v>
      </c>
      <c r="D67" t="s">
        <v>160</v>
      </c>
      <c r="E67" t="s">
        <v>97</v>
      </c>
      <c r="F67" t="s">
        <v>3930</v>
      </c>
      <c r="G67" t="s">
        <v>152</v>
      </c>
      <c r="H67" t="s">
        <v>174</v>
      </c>
      <c r="I67" t="s">
        <v>154</v>
      </c>
      <c r="J67">
        <v>20030328</v>
      </c>
    </row>
    <row r="68" spans="1:10">
      <c r="A68" t="s">
        <v>3931</v>
      </c>
      <c r="B68">
        <v>600611</v>
      </c>
      <c r="C68" t="s">
        <v>3932</v>
      </c>
      <c r="D68" t="s">
        <v>172</v>
      </c>
      <c r="E68" t="s">
        <v>69</v>
      </c>
      <c r="F68" t="s">
        <v>3933</v>
      </c>
      <c r="G68" t="s">
        <v>152</v>
      </c>
      <c r="H68" t="s">
        <v>174</v>
      </c>
      <c r="I68" t="s">
        <v>154</v>
      </c>
      <c r="J68">
        <v>19920807</v>
      </c>
    </row>
    <row r="69" spans="1:10">
      <c r="A69" t="s">
        <v>3934</v>
      </c>
      <c r="B69">
        <v>600650</v>
      </c>
      <c r="C69" t="s">
        <v>3935</v>
      </c>
      <c r="D69" t="s">
        <v>172</v>
      </c>
      <c r="E69" t="s">
        <v>69</v>
      </c>
      <c r="F69" t="s">
        <v>3936</v>
      </c>
      <c r="G69" t="s">
        <v>152</v>
      </c>
      <c r="H69" t="s">
        <v>174</v>
      </c>
      <c r="I69" t="s">
        <v>154</v>
      </c>
      <c r="J69">
        <v>19930607</v>
      </c>
    </row>
    <row r="70" spans="1:10">
      <c r="A70" t="s">
        <v>3937</v>
      </c>
      <c r="B70">
        <v>600685</v>
      </c>
      <c r="C70" t="s">
        <v>3938</v>
      </c>
      <c r="D70" t="s">
        <v>223</v>
      </c>
      <c r="E70" t="s">
        <v>66</v>
      </c>
      <c r="F70" t="s">
        <v>3939</v>
      </c>
      <c r="G70" t="s">
        <v>152</v>
      </c>
      <c r="H70" t="s">
        <v>174</v>
      </c>
      <c r="I70" t="s">
        <v>154</v>
      </c>
      <c r="J70">
        <v>19931028</v>
      </c>
    </row>
    <row r="71" spans="1:10">
      <c r="A71" t="s">
        <v>3940</v>
      </c>
      <c r="B71">
        <v>600704</v>
      </c>
      <c r="C71" t="s">
        <v>3941</v>
      </c>
      <c r="D71" t="s">
        <v>423</v>
      </c>
      <c r="E71" t="s">
        <v>50</v>
      </c>
      <c r="F71" t="s">
        <v>3942</v>
      </c>
      <c r="G71" t="s">
        <v>152</v>
      </c>
      <c r="H71" t="s">
        <v>174</v>
      </c>
      <c r="I71" t="s">
        <v>154</v>
      </c>
      <c r="J71">
        <v>19960606</v>
      </c>
    </row>
    <row r="72" spans="1:10">
      <c r="A72" t="s">
        <v>3943</v>
      </c>
      <c r="B72">
        <v>600717</v>
      </c>
      <c r="C72" t="s">
        <v>3944</v>
      </c>
      <c r="D72" t="s">
        <v>576</v>
      </c>
      <c r="E72" t="s">
        <v>83</v>
      </c>
      <c r="F72" t="s">
        <v>3945</v>
      </c>
      <c r="G72" t="s">
        <v>152</v>
      </c>
      <c r="H72" t="s">
        <v>174</v>
      </c>
      <c r="I72" t="s">
        <v>154</v>
      </c>
      <c r="J72">
        <v>19960614</v>
      </c>
    </row>
    <row r="73" spans="1:10">
      <c r="A73" t="s">
        <v>3946</v>
      </c>
      <c r="B73">
        <v>600755</v>
      </c>
      <c r="C73" t="s">
        <v>3947</v>
      </c>
      <c r="D73" t="s">
        <v>150</v>
      </c>
      <c r="E73" t="s">
        <v>50</v>
      </c>
      <c r="F73" t="s">
        <v>3948</v>
      </c>
      <c r="G73" t="s">
        <v>152</v>
      </c>
      <c r="H73" t="s">
        <v>174</v>
      </c>
      <c r="I73" t="s">
        <v>154</v>
      </c>
      <c r="J73">
        <v>19961003</v>
      </c>
    </row>
    <row r="74" spans="1:10">
      <c r="A74" t="s">
        <v>3949</v>
      </c>
      <c r="B74">
        <v>600760</v>
      </c>
      <c r="C74" t="s">
        <v>3950</v>
      </c>
      <c r="D74" t="s">
        <v>198</v>
      </c>
      <c r="E74" t="s">
        <v>102</v>
      </c>
      <c r="F74" t="s">
        <v>3951</v>
      </c>
      <c r="G74" t="s">
        <v>152</v>
      </c>
      <c r="H74" t="s">
        <v>174</v>
      </c>
      <c r="I74" t="s">
        <v>154</v>
      </c>
      <c r="J74">
        <v>19961011</v>
      </c>
    </row>
    <row r="75" spans="1:10">
      <c r="A75" t="s">
        <v>3952</v>
      </c>
      <c r="B75">
        <v>600764</v>
      </c>
      <c r="C75" t="s">
        <v>3953</v>
      </c>
      <c r="D75" t="s">
        <v>164</v>
      </c>
      <c r="E75" t="s">
        <v>66</v>
      </c>
      <c r="F75" t="s">
        <v>3954</v>
      </c>
      <c r="G75" t="s">
        <v>152</v>
      </c>
      <c r="H75" t="s">
        <v>174</v>
      </c>
      <c r="I75" t="s">
        <v>154</v>
      </c>
      <c r="J75">
        <v>19961104</v>
      </c>
    </row>
    <row r="76" spans="1:10">
      <c r="A76" t="s">
        <v>3955</v>
      </c>
      <c r="B76">
        <v>600765</v>
      </c>
      <c r="C76" t="s">
        <v>3956</v>
      </c>
      <c r="D76" t="s">
        <v>463</v>
      </c>
      <c r="E76" t="s">
        <v>102</v>
      </c>
      <c r="F76" t="s">
        <v>3957</v>
      </c>
      <c r="G76" t="s">
        <v>152</v>
      </c>
      <c r="H76" t="s">
        <v>174</v>
      </c>
      <c r="I76" t="s">
        <v>154</v>
      </c>
      <c r="J76">
        <v>19961106</v>
      </c>
    </row>
    <row r="77" spans="1:10">
      <c r="A77" t="s">
        <v>3958</v>
      </c>
      <c r="B77">
        <v>600787</v>
      </c>
      <c r="C77" t="s">
        <v>3959</v>
      </c>
      <c r="D77" t="s">
        <v>576</v>
      </c>
      <c r="E77" t="s">
        <v>50</v>
      </c>
      <c r="F77" t="s">
        <v>3960</v>
      </c>
      <c r="G77" t="s">
        <v>152</v>
      </c>
      <c r="H77" t="s">
        <v>174</v>
      </c>
      <c r="I77" t="s">
        <v>154</v>
      </c>
      <c r="J77">
        <v>19970121</v>
      </c>
    </row>
    <row r="78" spans="1:10">
      <c r="A78" t="s">
        <v>3961</v>
      </c>
      <c r="B78">
        <v>600794</v>
      </c>
      <c r="C78" t="s">
        <v>3962</v>
      </c>
      <c r="D78" t="s">
        <v>212</v>
      </c>
      <c r="E78" t="s">
        <v>50</v>
      </c>
      <c r="F78" t="s">
        <v>3963</v>
      </c>
      <c r="G78" t="s">
        <v>152</v>
      </c>
      <c r="H78" t="s">
        <v>174</v>
      </c>
      <c r="I78" t="s">
        <v>154</v>
      </c>
      <c r="J78">
        <v>19970306</v>
      </c>
    </row>
    <row r="79" spans="1:10">
      <c r="A79" t="s">
        <v>3964</v>
      </c>
      <c r="B79">
        <v>600798</v>
      </c>
      <c r="C79" t="s">
        <v>3965</v>
      </c>
      <c r="D79" t="s">
        <v>423</v>
      </c>
      <c r="E79" t="s">
        <v>92</v>
      </c>
      <c r="F79" t="s">
        <v>3966</v>
      </c>
      <c r="G79" t="s">
        <v>152</v>
      </c>
      <c r="H79" t="s">
        <v>174</v>
      </c>
      <c r="I79" t="s">
        <v>154</v>
      </c>
      <c r="J79">
        <v>19970423</v>
      </c>
    </row>
    <row r="80" spans="1:10">
      <c r="A80" t="s">
        <v>3967</v>
      </c>
      <c r="B80">
        <v>600834</v>
      </c>
      <c r="C80" t="s">
        <v>3968</v>
      </c>
      <c r="D80" t="s">
        <v>172</v>
      </c>
      <c r="E80" t="s">
        <v>69</v>
      </c>
      <c r="F80" t="s">
        <v>3969</v>
      </c>
      <c r="G80" t="s">
        <v>152</v>
      </c>
      <c r="H80" t="s">
        <v>174</v>
      </c>
      <c r="I80" t="s">
        <v>154</v>
      </c>
      <c r="J80">
        <v>19940224</v>
      </c>
    </row>
    <row r="81" spans="1:10">
      <c r="A81" t="s">
        <v>3970</v>
      </c>
      <c r="B81">
        <v>600862</v>
      </c>
      <c r="C81" t="s">
        <v>3971</v>
      </c>
      <c r="D81" t="s">
        <v>212</v>
      </c>
      <c r="E81" t="s">
        <v>102</v>
      </c>
      <c r="F81" t="s">
        <v>3972</v>
      </c>
      <c r="G81" t="s">
        <v>152</v>
      </c>
      <c r="H81" t="s">
        <v>174</v>
      </c>
      <c r="I81" t="s">
        <v>154</v>
      </c>
      <c r="J81">
        <v>19940520</v>
      </c>
    </row>
    <row r="82" spans="1:10">
      <c r="A82" t="s">
        <v>3973</v>
      </c>
      <c r="B82">
        <v>600879</v>
      </c>
      <c r="C82" t="s">
        <v>3974</v>
      </c>
      <c r="D82" t="s">
        <v>316</v>
      </c>
      <c r="E82" t="s">
        <v>102</v>
      </c>
      <c r="F82" t="s">
        <v>3975</v>
      </c>
      <c r="G82" t="s">
        <v>152</v>
      </c>
      <c r="H82" t="s">
        <v>174</v>
      </c>
      <c r="I82" t="s">
        <v>154</v>
      </c>
      <c r="J82">
        <v>19951115</v>
      </c>
    </row>
    <row r="83" spans="1:10">
      <c r="A83" t="s">
        <v>3976</v>
      </c>
      <c r="B83">
        <v>600893</v>
      </c>
      <c r="C83" t="s">
        <v>3977</v>
      </c>
      <c r="D83" t="s">
        <v>419</v>
      </c>
      <c r="E83" t="s">
        <v>102</v>
      </c>
      <c r="F83" t="s">
        <v>3978</v>
      </c>
      <c r="G83" t="s">
        <v>152</v>
      </c>
      <c r="H83" t="s">
        <v>174</v>
      </c>
      <c r="I83" t="s">
        <v>154</v>
      </c>
      <c r="J83">
        <v>19960408</v>
      </c>
    </row>
    <row r="84" spans="1:10">
      <c r="A84" t="s">
        <v>3979</v>
      </c>
      <c r="B84">
        <v>600897</v>
      </c>
      <c r="C84" t="s">
        <v>3980</v>
      </c>
      <c r="D84" t="s">
        <v>150</v>
      </c>
      <c r="E84" t="s">
        <v>101</v>
      </c>
      <c r="F84" t="s">
        <v>3981</v>
      </c>
      <c r="G84" t="s">
        <v>152</v>
      </c>
      <c r="H84" t="s">
        <v>174</v>
      </c>
      <c r="I84" t="s">
        <v>154</v>
      </c>
      <c r="J84">
        <v>19960531</v>
      </c>
    </row>
    <row r="85" spans="1:10">
      <c r="A85" t="s">
        <v>3982</v>
      </c>
      <c r="B85">
        <v>601000</v>
      </c>
      <c r="C85" t="s">
        <v>3983</v>
      </c>
      <c r="D85" t="s">
        <v>279</v>
      </c>
      <c r="E85" t="s">
        <v>83</v>
      </c>
      <c r="F85" t="s">
        <v>3984</v>
      </c>
      <c r="G85" t="s">
        <v>152</v>
      </c>
      <c r="H85" t="s">
        <v>174</v>
      </c>
      <c r="I85" t="s">
        <v>154</v>
      </c>
      <c r="J85">
        <v>20100705</v>
      </c>
    </row>
    <row r="86" spans="1:10">
      <c r="A86" t="s">
        <v>3985</v>
      </c>
      <c r="B86">
        <v>601006</v>
      </c>
      <c r="C86" t="s">
        <v>3986</v>
      </c>
      <c r="D86" t="s">
        <v>557</v>
      </c>
      <c r="E86" t="s">
        <v>97</v>
      </c>
      <c r="F86" t="s">
        <v>3987</v>
      </c>
      <c r="G86" t="s">
        <v>152</v>
      </c>
      <c r="H86" t="s">
        <v>174</v>
      </c>
      <c r="I86" t="s">
        <v>154</v>
      </c>
      <c r="J86">
        <v>20060801</v>
      </c>
    </row>
    <row r="87" spans="1:10">
      <c r="A87" t="s">
        <v>3988</v>
      </c>
      <c r="B87">
        <v>601008</v>
      </c>
      <c r="C87" t="s">
        <v>3989</v>
      </c>
      <c r="D87" t="s">
        <v>212</v>
      </c>
      <c r="E87" t="s">
        <v>83</v>
      </c>
      <c r="F87" t="s">
        <v>3990</v>
      </c>
      <c r="G87" t="s">
        <v>152</v>
      </c>
      <c r="H87" t="s">
        <v>174</v>
      </c>
      <c r="I87" t="s">
        <v>154</v>
      </c>
      <c r="J87">
        <v>20070426</v>
      </c>
    </row>
    <row r="88" spans="1:10">
      <c r="A88" t="s">
        <v>3991</v>
      </c>
      <c r="B88">
        <v>601018</v>
      </c>
      <c r="C88" t="s">
        <v>3992</v>
      </c>
      <c r="D88" t="s">
        <v>423</v>
      </c>
      <c r="E88" t="s">
        <v>83</v>
      </c>
      <c r="F88" t="s">
        <v>3993</v>
      </c>
      <c r="G88" t="s">
        <v>152</v>
      </c>
      <c r="H88" t="s">
        <v>174</v>
      </c>
      <c r="I88" t="s">
        <v>154</v>
      </c>
      <c r="J88">
        <v>20100928</v>
      </c>
    </row>
    <row r="89" spans="1:10">
      <c r="A89" t="s">
        <v>3994</v>
      </c>
      <c r="B89">
        <v>601021</v>
      </c>
      <c r="C89" t="s">
        <v>3995</v>
      </c>
      <c r="D89" t="s">
        <v>172</v>
      </c>
      <c r="E89" t="s">
        <v>103</v>
      </c>
      <c r="F89" t="s">
        <v>3996</v>
      </c>
      <c r="G89" t="s">
        <v>152</v>
      </c>
      <c r="H89" t="s">
        <v>174</v>
      </c>
      <c r="I89" t="s">
        <v>154</v>
      </c>
      <c r="J89">
        <v>20150121</v>
      </c>
    </row>
    <row r="90" spans="1:10">
      <c r="A90" t="s">
        <v>3997</v>
      </c>
      <c r="B90">
        <v>601022</v>
      </c>
      <c r="C90" t="s">
        <v>3998</v>
      </c>
      <c r="D90" t="s">
        <v>423</v>
      </c>
      <c r="E90" t="s">
        <v>92</v>
      </c>
      <c r="F90" t="s">
        <v>3999</v>
      </c>
      <c r="G90" t="s">
        <v>152</v>
      </c>
      <c r="H90" t="s">
        <v>174</v>
      </c>
      <c r="I90" t="s">
        <v>154</v>
      </c>
      <c r="J90">
        <v>20221208</v>
      </c>
    </row>
    <row r="91" spans="1:10">
      <c r="A91" t="s">
        <v>4000</v>
      </c>
      <c r="B91">
        <v>601107</v>
      </c>
      <c r="C91" t="s">
        <v>4001</v>
      </c>
      <c r="D91" t="s">
        <v>219</v>
      </c>
      <c r="E91" t="s">
        <v>98</v>
      </c>
      <c r="F91" t="s">
        <v>4002</v>
      </c>
      <c r="G91" t="s">
        <v>152</v>
      </c>
      <c r="H91" t="s">
        <v>174</v>
      </c>
      <c r="I91" t="s">
        <v>154</v>
      </c>
      <c r="J91">
        <v>20090727</v>
      </c>
    </row>
    <row r="92" spans="1:10">
      <c r="A92" t="s">
        <v>4003</v>
      </c>
      <c r="B92">
        <v>601111</v>
      </c>
      <c r="C92" t="s">
        <v>4004</v>
      </c>
      <c r="D92" t="s">
        <v>164</v>
      </c>
      <c r="E92" t="s">
        <v>103</v>
      </c>
      <c r="F92" t="s">
        <v>4005</v>
      </c>
      <c r="G92" t="s">
        <v>152</v>
      </c>
      <c r="H92" t="s">
        <v>174</v>
      </c>
      <c r="I92" t="s">
        <v>154</v>
      </c>
      <c r="J92">
        <v>20060818</v>
      </c>
    </row>
    <row r="93" spans="1:10">
      <c r="A93" t="s">
        <v>4006</v>
      </c>
      <c r="B93">
        <v>601156</v>
      </c>
      <c r="C93" t="s">
        <v>4007</v>
      </c>
      <c r="D93" t="s">
        <v>172</v>
      </c>
      <c r="E93" t="s">
        <v>103</v>
      </c>
      <c r="F93" t="s">
        <v>4008</v>
      </c>
      <c r="G93" t="s">
        <v>152</v>
      </c>
      <c r="H93" t="s">
        <v>174</v>
      </c>
      <c r="I93" t="s">
        <v>154</v>
      </c>
      <c r="J93">
        <v>20210609</v>
      </c>
    </row>
    <row r="94" spans="1:10">
      <c r="A94" t="s">
        <v>4009</v>
      </c>
      <c r="B94">
        <v>601188</v>
      </c>
      <c r="C94" t="s">
        <v>4010</v>
      </c>
      <c r="D94" t="s">
        <v>194</v>
      </c>
      <c r="E94" t="s">
        <v>98</v>
      </c>
      <c r="F94" t="s">
        <v>4011</v>
      </c>
      <c r="G94" t="s">
        <v>152</v>
      </c>
      <c r="H94" t="s">
        <v>174</v>
      </c>
      <c r="I94" t="s">
        <v>154</v>
      </c>
      <c r="J94">
        <v>20100319</v>
      </c>
    </row>
    <row r="95" spans="1:10">
      <c r="A95" t="s">
        <v>4012</v>
      </c>
      <c r="B95">
        <v>601228</v>
      </c>
      <c r="C95" t="s">
        <v>4013</v>
      </c>
      <c r="D95" t="s">
        <v>223</v>
      </c>
      <c r="E95" t="s">
        <v>83</v>
      </c>
      <c r="F95" t="s">
        <v>4014</v>
      </c>
      <c r="G95" t="s">
        <v>152</v>
      </c>
      <c r="H95" t="s">
        <v>174</v>
      </c>
      <c r="I95" t="s">
        <v>154</v>
      </c>
      <c r="J95">
        <v>20170329</v>
      </c>
    </row>
    <row r="96" spans="1:10">
      <c r="A96" s="3" t="s">
        <v>4015</v>
      </c>
      <c r="B96" s="3">
        <v>601298</v>
      </c>
      <c r="C96" s="3" t="s">
        <v>4016</v>
      </c>
      <c r="D96" s="3" t="s">
        <v>198</v>
      </c>
      <c r="E96" s="3" t="s">
        <v>83</v>
      </c>
      <c r="F96" s="3" t="s">
        <v>4017</v>
      </c>
      <c r="G96" s="3" t="s">
        <v>152</v>
      </c>
      <c r="H96" s="3" t="s">
        <v>174</v>
      </c>
      <c r="I96" s="3" t="s">
        <v>154</v>
      </c>
      <c r="J96" s="3">
        <v>20190121</v>
      </c>
    </row>
    <row r="97" spans="1:10">
      <c r="A97" t="s">
        <v>4018</v>
      </c>
      <c r="B97">
        <v>601326</v>
      </c>
      <c r="C97" t="s">
        <v>4019</v>
      </c>
      <c r="D97" t="s">
        <v>279</v>
      </c>
      <c r="E97" t="s">
        <v>83</v>
      </c>
      <c r="F97" t="s">
        <v>4020</v>
      </c>
      <c r="G97" t="s">
        <v>152</v>
      </c>
      <c r="H97" t="s">
        <v>174</v>
      </c>
      <c r="I97" t="s">
        <v>154</v>
      </c>
      <c r="J97">
        <v>20170816</v>
      </c>
    </row>
    <row r="98" spans="1:10">
      <c r="A98" t="s">
        <v>4021</v>
      </c>
      <c r="B98">
        <v>601333</v>
      </c>
      <c r="C98" t="s">
        <v>4022</v>
      </c>
      <c r="D98" t="s">
        <v>243</v>
      </c>
      <c r="E98" t="s">
        <v>97</v>
      </c>
      <c r="F98" t="s">
        <v>4023</v>
      </c>
      <c r="G98" t="s">
        <v>152</v>
      </c>
      <c r="H98" t="s">
        <v>174</v>
      </c>
      <c r="I98" t="s">
        <v>154</v>
      </c>
      <c r="J98">
        <v>20061222</v>
      </c>
    </row>
    <row r="99" spans="1:10">
      <c r="A99" t="s">
        <v>4024</v>
      </c>
      <c r="B99">
        <v>601518</v>
      </c>
      <c r="C99" t="s">
        <v>4025</v>
      </c>
      <c r="D99" t="s">
        <v>312</v>
      </c>
      <c r="E99" t="s">
        <v>98</v>
      </c>
      <c r="F99" t="s">
        <v>4026</v>
      </c>
      <c r="G99" t="s">
        <v>152</v>
      </c>
      <c r="H99" t="s">
        <v>174</v>
      </c>
      <c r="I99" t="s">
        <v>154</v>
      </c>
      <c r="J99">
        <v>20100319</v>
      </c>
    </row>
    <row r="100" spans="1:10">
      <c r="A100" t="s">
        <v>4027</v>
      </c>
      <c r="B100">
        <v>601598</v>
      </c>
      <c r="C100" t="s">
        <v>4028</v>
      </c>
      <c r="D100" t="s">
        <v>164</v>
      </c>
      <c r="E100" t="s">
        <v>50</v>
      </c>
      <c r="F100" t="s">
        <v>4029</v>
      </c>
      <c r="G100" t="s">
        <v>152</v>
      </c>
      <c r="H100" t="s">
        <v>174</v>
      </c>
      <c r="I100" t="s">
        <v>154</v>
      </c>
      <c r="J100">
        <v>20190118</v>
      </c>
    </row>
    <row r="101" spans="1:10">
      <c r="A101" t="s">
        <v>4030</v>
      </c>
      <c r="B101">
        <v>601816</v>
      </c>
      <c r="C101" t="s">
        <v>4031</v>
      </c>
      <c r="D101" t="s">
        <v>164</v>
      </c>
      <c r="E101" t="s">
        <v>97</v>
      </c>
      <c r="F101" t="s">
        <v>4032</v>
      </c>
      <c r="G101" t="s">
        <v>152</v>
      </c>
      <c r="H101" t="s">
        <v>174</v>
      </c>
      <c r="I101" t="s">
        <v>154</v>
      </c>
      <c r="J101">
        <v>20200116</v>
      </c>
    </row>
    <row r="102" spans="1:10">
      <c r="A102" t="s">
        <v>4033</v>
      </c>
      <c r="B102">
        <v>601866</v>
      </c>
      <c r="C102" t="s">
        <v>4034</v>
      </c>
      <c r="D102" t="s">
        <v>172</v>
      </c>
      <c r="E102" t="s">
        <v>92</v>
      </c>
      <c r="F102" t="s">
        <v>4035</v>
      </c>
      <c r="G102" t="s">
        <v>152</v>
      </c>
      <c r="H102" t="s">
        <v>174</v>
      </c>
      <c r="I102" t="s">
        <v>154</v>
      </c>
      <c r="J102">
        <v>20071212</v>
      </c>
    </row>
    <row r="103" spans="1:10">
      <c r="A103" t="s">
        <v>4036</v>
      </c>
      <c r="B103">
        <v>601872</v>
      </c>
      <c r="C103" t="s">
        <v>4037</v>
      </c>
      <c r="D103" t="s">
        <v>172</v>
      </c>
      <c r="E103" t="s">
        <v>92</v>
      </c>
      <c r="F103" t="s">
        <v>4038</v>
      </c>
      <c r="G103" t="s">
        <v>152</v>
      </c>
      <c r="H103" t="s">
        <v>174</v>
      </c>
      <c r="I103" t="s">
        <v>154</v>
      </c>
      <c r="J103">
        <v>20061201</v>
      </c>
    </row>
    <row r="104" spans="1:10">
      <c r="A104" t="s">
        <v>4039</v>
      </c>
      <c r="B104">
        <v>601880</v>
      </c>
      <c r="C104" t="s">
        <v>4040</v>
      </c>
      <c r="D104" t="s">
        <v>236</v>
      </c>
      <c r="E104" t="s">
        <v>83</v>
      </c>
      <c r="F104" t="s">
        <v>4041</v>
      </c>
      <c r="G104" t="s">
        <v>152</v>
      </c>
      <c r="H104" t="s">
        <v>174</v>
      </c>
      <c r="I104" t="s">
        <v>154</v>
      </c>
      <c r="J104">
        <v>20101206</v>
      </c>
    </row>
    <row r="105" spans="1:10">
      <c r="A105" t="s">
        <v>4042</v>
      </c>
      <c r="B105">
        <v>601890</v>
      </c>
      <c r="C105" t="s">
        <v>4043</v>
      </c>
      <c r="D105" t="s">
        <v>212</v>
      </c>
      <c r="E105" t="s">
        <v>66</v>
      </c>
      <c r="F105" t="s">
        <v>4044</v>
      </c>
      <c r="G105" t="s">
        <v>152</v>
      </c>
      <c r="H105" t="s">
        <v>174</v>
      </c>
      <c r="I105" t="s">
        <v>154</v>
      </c>
      <c r="J105">
        <v>20101228</v>
      </c>
    </row>
    <row r="106" spans="1:10">
      <c r="A106" t="s">
        <v>4045</v>
      </c>
      <c r="B106">
        <v>601919</v>
      </c>
      <c r="C106" t="s">
        <v>4046</v>
      </c>
      <c r="D106" t="s">
        <v>576</v>
      </c>
      <c r="E106" t="s">
        <v>92</v>
      </c>
      <c r="F106" t="s">
        <v>4047</v>
      </c>
      <c r="G106" t="s">
        <v>152</v>
      </c>
      <c r="H106" t="s">
        <v>174</v>
      </c>
      <c r="I106" t="s">
        <v>154</v>
      </c>
      <c r="J106">
        <v>20070626</v>
      </c>
    </row>
    <row r="107" spans="1:10">
      <c r="A107" t="s">
        <v>4048</v>
      </c>
      <c r="B107">
        <v>601975</v>
      </c>
      <c r="C107" t="s">
        <v>4049</v>
      </c>
      <c r="D107" t="s">
        <v>212</v>
      </c>
      <c r="E107" t="s">
        <v>92</v>
      </c>
      <c r="F107" t="s">
        <v>4050</v>
      </c>
      <c r="G107" t="s">
        <v>152</v>
      </c>
      <c r="H107" t="s">
        <v>174</v>
      </c>
      <c r="I107" t="s">
        <v>154</v>
      </c>
      <c r="J107">
        <v>20190108</v>
      </c>
    </row>
    <row r="108" spans="1:10">
      <c r="A108" t="s">
        <v>4051</v>
      </c>
      <c r="B108">
        <v>601989</v>
      </c>
      <c r="C108" t="s">
        <v>4052</v>
      </c>
      <c r="D108" t="s">
        <v>164</v>
      </c>
      <c r="E108" t="s">
        <v>66</v>
      </c>
      <c r="F108" t="s">
        <v>4053</v>
      </c>
      <c r="G108" t="s">
        <v>152</v>
      </c>
      <c r="H108" t="s">
        <v>174</v>
      </c>
      <c r="I108" t="s">
        <v>154</v>
      </c>
      <c r="J108">
        <v>20091216</v>
      </c>
    </row>
    <row r="109" spans="1:10">
      <c r="A109" t="s">
        <v>4054</v>
      </c>
      <c r="B109">
        <v>603056</v>
      </c>
      <c r="C109" t="s">
        <v>4055</v>
      </c>
      <c r="D109" t="s">
        <v>172</v>
      </c>
      <c r="E109" t="s">
        <v>50</v>
      </c>
      <c r="F109" t="s">
        <v>4056</v>
      </c>
      <c r="G109" t="s">
        <v>152</v>
      </c>
      <c r="H109" t="s">
        <v>174</v>
      </c>
      <c r="I109" t="s">
        <v>154</v>
      </c>
      <c r="J109">
        <v>20180116</v>
      </c>
    </row>
    <row r="110" spans="1:10">
      <c r="A110" t="s">
        <v>4057</v>
      </c>
      <c r="B110">
        <v>603066</v>
      </c>
      <c r="C110" t="s">
        <v>4058</v>
      </c>
      <c r="D110" t="s">
        <v>212</v>
      </c>
      <c r="E110" t="s">
        <v>50</v>
      </c>
      <c r="F110" t="s">
        <v>4059</v>
      </c>
      <c r="G110" t="s">
        <v>152</v>
      </c>
      <c r="H110" t="s">
        <v>174</v>
      </c>
      <c r="I110" t="s">
        <v>154</v>
      </c>
      <c r="J110">
        <v>20150611</v>
      </c>
    </row>
    <row r="111" spans="1:10">
      <c r="A111" t="s">
        <v>4060</v>
      </c>
      <c r="B111">
        <v>603069</v>
      </c>
      <c r="C111" t="s">
        <v>4061</v>
      </c>
      <c r="D111" t="s">
        <v>250</v>
      </c>
      <c r="E111" t="s">
        <v>78</v>
      </c>
      <c r="F111" t="s">
        <v>4062</v>
      </c>
      <c r="G111" t="s">
        <v>152</v>
      </c>
      <c r="H111" t="s">
        <v>174</v>
      </c>
      <c r="I111" t="s">
        <v>154</v>
      </c>
      <c r="J111">
        <v>20160712</v>
      </c>
    </row>
    <row r="112" spans="1:10">
      <c r="A112" t="s">
        <v>4063</v>
      </c>
      <c r="B112">
        <v>603117</v>
      </c>
      <c r="C112" t="s">
        <v>4064</v>
      </c>
      <c r="D112" t="s">
        <v>212</v>
      </c>
      <c r="E112" t="s">
        <v>50</v>
      </c>
      <c r="F112" t="s">
        <v>4065</v>
      </c>
      <c r="G112" t="s">
        <v>152</v>
      </c>
      <c r="H112" t="s">
        <v>174</v>
      </c>
      <c r="I112" t="s">
        <v>154</v>
      </c>
      <c r="J112">
        <v>20150629</v>
      </c>
    </row>
    <row r="113" spans="1:10">
      <c r="A113" t="s">
        <v>4066</v>
      </c>
      <c r="B113">
        <v>603128</v>
      </c>
      <c r="C113" t="s">
        <v>4067</v>
      </c>
      <c r="D113" t="s">
        <v>172</v>
      </c>
      <c r="E113" t="s">
        <v>50</v>
      </c>
      <c r="F113" t="s">
        <v>4068</v>
      </c>
      <c r="G113" t="s">
        <v>152</v>
      </c>
      <c r="H113" t="s">
        <v>174</v>
      </c>
      <c r="I113" t="s">
        <v>154</v>
      </c>
      <c r="J113">
        <v>20120529</v>
      </c>
    </row>
    <row r="114" spans="1:10">
      <c r="A114" t="s">
        <v>4069</v>
      </c>
      <c r="B114">
        <v>603167</v>
      </c>
      <c r="C114" t="s">
        <v>4070</v>
      </c>
      <c r="D114" t="s">
        <v>198</v>
      </c>
      <c r="E114" t="s">
        <v>92</v>
      </c>
      <c r="F114" t="s">
        <v>4071</v>
      </c>
      <c r="G114" t="s">
        <v>152</v>
      </c>
      <c r="H114" t="s">
        <v>174</v>
      </c>
      <c r="I114" t="s">
        <v>154</v>
      </c>
      <c r="J114">
        <v>20120906</v>
      </c>
    </row>
    <row r="115" spans="1:10">
      <c r="A115" t="s">
        <v>4072</v>
      </c>
      <c r="B115">
        <v>603209</v>
      </c>
      <c r="C115" t="s">
        <v>4073</v>
      </c>
      <c r="D115" t="s">
        <v>150</v>
      </c>
      <c r="E115" t="s">
        <v>92</v>
      </c>
      <c r="F115" t="s">
        <v>4074</v>
      </c>
      <c r="G115" t="s">
        <v>152</v>
      </c>
      <c r="H115" t="s">
        <v>174</v>
      </c>
      <c r="I115" t="s">
        <v>154</v>
      </c>
      <c r="J115">
        <v>20220324</v>
      </c>
    </row>
    <row r="116" spans="1:10">
      <c r="A116" t="s">
        <v>4075</v>
      </c>
      <c r="B116">
        <v>603223</v>
      </c>
      <c r="C116" t="s">
        <v>4076</v>
      </c>
      <c r="D116" t="s">
        <v>198</v>
      </c>
      <c r="E116" t="s">
        <v>50</v>
      </c>
      <c r="F116" t="s">
        <v>4077</v>
      </c>
      <c r="G116" t="s">
        <v>152</v>
      </c>
      <c r="H116" t="s">
        <v>174</v>
      </c>
      <c r="I116" t="s">
        <v>154</v>
      </c>
      <c r="J116">
        <v>20150630</v>
      </c>
    </row>
    <row r="117" spans="1:10">
      <c r="A117" t="s">
        <v>4078</v>
      </c>
      <c r="B117">
        <v>603261</v>
      </c>
      <c r="C117" t="s">
        <v>4079</v>
      </c>
      <c r="D117" t="s">
        <v>219</v>
      </c>
      <c r="E117" t="s">
        <v>102</v>
      </c>
      <c r="F117" t="s">
        <v>4080</v>
      </c>
      <c r="G117" t="s">
        <v>152</v>
      </c>
      <c r="H117" t="s">
        <v>174</v>
      </c>
      <c r="I117" t="s">
        <v>154</v>
      </c>
      <c r="J117">
        <v>20220315</v>
      </c>
    </row>
    <row r="118" spans="1:10">
      <c r="A118" t="s">
        <v>4081</v>
      </c>
      <c r="B118">
        <v>603329</v>
      </c>
      <c r="C118" t="s">
        <v>4082</v>
      </c>
      <c r="D118" t="s">
        <v>172</v>
      </c>
      <c r="E118" t="s">
        <v>50</v>
      </c>
      <c r="F118" t="s">
        <v>4083</v>
      </c>
      <c r="G118" t="s">
        <v>152</v>
      </c>
      <c r="H118" t="s">
        <v>174</v>
      </c>
      <c r="I118" t="s">
        <v>154</v>
      </c>
      <c r="J118">
        <v>20171229</v>
      </c>
    </row>
    <row r="119" spans="1:10">
      <c r="A119" t="s">
        <v>4084</v>
      </c>
      <c r="B119">
        <v>603535</v>
      </c>
      <c r="C119" t="s">
        <v>4085</v>
      </c>
      <c r="D119" t="s">
        <v>223</v>
      </c>
      <c r="E119" t="s">
        <v>50</v>
      </c>
      <c r="F119" t="s">
        <v>4086</v>
      </c>
      <c r="G119" t="s">
        <v>152</v>
      </c>
      <c r="H119" t="s">
        <v>174</v>
      </c>
      <c r="I119" t="s">
        <v>154</v>
      </c>
      <c r="J119">
        <v>20170808</v>
      </c>
    </row>
    <row r="120" spans="1:10">
      <c r="A120" t="s">
        <v>4087</v>
      </c>
      <c r="B120">
        <v>603565</v>
      </c>
      <c r="C120" t="s">
        <v>4088</v>
      </c>
      <c r="D120" t="s">
        <v>172</v>
      </c>
      <c r="E120" t="s">
        <v>50</v>
      </c>
      <c r="F120" t="s">
        <v>4089</v>
      </c>
      <c r="G120" t="s">
        <v>152</v>
      </c>
      <c r="H120" t="s">
        <v>174</v>
      </c>
      <c r="I120" t="s">
        <v>154</v>
      </c>
      <c r="J120">
        <v>20200925</v>
      </c>
    </row>
    <row r="121" spans="1:10">
      <c r="A121" t="s">
        <v>4090</v>
      </c>
      <c r="B121">
        <v>603569</v>
      </c>
      <c r="C121" t="s">
        <v>4091</v>
      </c>
      <c r="D121" t="s">
        <v>164</v>
      </c>
      <c r="E121" t="s">
        <v>50</v>
      </c>
      <c r="F121" t="s">
        <v>4092</v>
      </c>
      <c r="G121" t="s">
        <v>152</v>
      </c>
      <c r="H121" t="s">
        <v>174</v>
      </c>
      <c r="I121" t="s">
        <v>154</v>
      </c>
      <c r="J121">
        <v>20160810</v>
      </c>
    </row>
    <row r="122" spans="1:10">
      <c r="A122" t="s">
        <v>4093</v>
      </c>
      <c r="B122">
        <v>603648</v>
      </c>
      <c r="C122" t="s">
        <v>4094</v>
      </c>
      <c r="D122" t="s">
        <v>172</v>
      </c>
      <c r="E122" t="s">
        <v>50</v>
      </c>
      <c r="F122" t="s">
        <v>4095</v>
      </c>
      <c r="G122" t="s">
        <v>152</v>
      </c>
      <c r="H122" t="s">
        <v>174</v>
      </c>
      <c r="I122" t="s">
        <v>154</v>
      </c>
      <c r="J122">
        <v>20170913</v>
      </c>
    </row>
    <row r="123" spans="1:10">
      <c r="A123" t="s">
        <v>4096</v>
      </c>
      <c r="B123">
        <v>603713</v>
      </c>
      <c r="C123" t="s">
        <v>4097</v>
      </c>
      <c r="D123" t="s">
        <v>172</v>
      </c>
      <c r="E123" t="s">
        <v>50</v>
      </c>
      <c r="F123" t="s">
        <v>4098</v>
      </c>
      <c r="G123" t="s">
        <v>152</v>
      </c>
      <c r="H123" t="s">
        <v>174</v>
      </c>
      <c r="I123" t="s">
        <v>154</v>
      </c>
      <c r="J123">
        <v>20180713</v>
      </c>
    </row>
    <row r="124" spans="1:10">
      <c r="A124" t="s">
        <v>4099</v>
      </c>
      <c r="B124">
        <v>603776</v>
      </c>
      <c r="C124" t="s">
        <v>4100</v>
      </c>
      <c r="D124" t="s">
        <v>212</v>
      </c>
      <c r="E124" t="s">
        <v>69</v>
      </c>
      <c r="F124" t="s">
        <v>4101</v>
      </c>
      <c r="G124" t="s">
        <v>152</v>
      </c>
      <c r="H124" t="s">
        <v>174</v>
      </c>
      <c r="I124" t="s">
        <v>154</v>
      </c>
      <c r="J124">
        <v>20170817</v>
      </c>
    </row>
    <row r="125" spans="1:10">
      <c r="A125" t="s">
        <v>4102</v>
      </c>
      <c r="B125">
        <v>603813</v>
      </c>
      <c r="C125" t="s">
        <v>4103</v>
      </c>
      <c r="D125" t="s">
        <v>223</v>
      </c>
      <c r="E125" t="s">
        <v>50</v>
      </c>
      <c r="F125" t="s">
        <v>4104</v>
      </c>
      <c r="G125" t="s">
        <v>152</v>
      </c>
      <c r="H125" t="s">
        <v>174</v>
      </c>
      <c r="I125" t="s">
        <v>154</v>
      </c>
      <c r="J125">
        <v>20170918</v>
      </c>
    </row>
    <row r="126" spans="1:10">
      <c r="A126" t="s">
        <v>4105</v>
      </c>
      <c r="B126">
        <v>603836</v>
      </c>
      <c r="C126" t="s">
        <v>4106</v>
      </c>
      <c r="D126" t="s">
        <v>198</v>
      </c>
      <c r="E126" t="s">
        <v>50</v>
      </c>
      <c r="F126" t="s">
        <v>4107</v>
      </c>
      <c r="G126" t="s">
        <v>152</v>
      </c>
      <c r="H126" t="s">
        <v>174</v>
      </c>
      <c r="I126" t="s">
        <v>154</v>
      </c>
      <c r="J126">
        <v>20210526</v>
      </c>
    </row>
    <row r="127" spans="1:10">
      <c r="A127" t="s">
        <v>4108</v>
      </c>
      <c r="B127">
        <v>603871</v>
      </c>
      <c r="C127" t="s">
        <v>4109</v>
      </c>
      <c r="D127" t="s">
        <v>164</v>
      </c>
      <c r="E127" t="s">
        <v>50</v>
      </c>
      <c r="F127" t="s">
        <v>4110</v>
      </c>
      <c r="G127" t="s">
        <v>152</v>
      </c>
      <c r="H127" t="s">
        <v>174</v>
      </c>
      <c r="I127" t="s">
        <v>154</v>
      </c>
      <c r="J127">
        <v>20180206</v>
      </c>
    </row>
    <row r="128" spans="1:10">
      <c r="A128" t="s">
        <v>4111</v>
      </c>
      <c r="B128">
        <v>603885</v>
      </c>
      <c r="C128" t="s">
        <v>4112</v>
      </c>
      <c r="D128" t="s">
        <v>172</v>
      </c>
      <c r="E128" t="s">
        <v>103</v>
      </c>
      <c r="F128" t="s">
        <v>4113</v>
      </c>
      <c r="G128" t="s">
        <v>152</v>
      </c>
      <c r="H128" t="s">
        <v>174</v>
      </c>
      <c r="I128" t="s">
        <v>154</v>
      </c>
      <c r="J128">
        <v>20150527</v>
      </c>
    </row>
    <row r="129" spans="1:10">
      <c r="A129" t="s">
        <v>4114</v>
      </c>
      <c r="B129">
        <v>603967</v>
      </c>
      <c r="C129" t="s">
        <v>4115</v>
      </c>
      <c r="D129" t="s">
        <v>198</v>
      </c>
      <c r="E129" t="s">
        <v>50</v>
      </c>
      <c r="F129" t="s">
        <v>4116</v>
      </c>
      <c r="G129" t="s">
        <v>152</v>
      </c>
      <c r="H129" t="s">
        <v>174</v>
      </c>
      <c r="I129" t="s">
        <v>154</v>
      </c>
      <c r="J129">
        <v>20190429</v>
      </c>
    </row>
    <row r="130" spans="1:10">
      <c r="A130" t="s">
        <v>4117</v>
      </c>
      <c r="B130">
        <v>605050</v>
      </c>
      <c r="C130" t="s">
        <v>4118</v>
      </c>
      <c r="D130" t="s">
        <v>172</v>
      </c>
      <c r="E130" t="s">
        <v>50</v>
      </c>
      <c r="F130" t="s">
        <v>4119</v>
      </c>
      <c r="G130" t="s">
        <v>152</v>
      </c>
      <c r="H130" t="s">
        <v>174</v>
      </c>
      <c r="I130" t="s">
        <v>154</v>
      </c>
      <c r="J130">
        <v>20200924</v>
      </c>
    </row>
    <row r="131" spans="1:10">
      <c r="A131" t="s">
        <v>4120</v>
      </c>
      <c r="B131">
        <v>605123</v>
      </c>
      <c r="C131" t="s">
        <v>4121</v>
      </c>
      <c r="D131" t="s">
        <v>212</v>
      </c>
      <c r="E131" t="s">
        <v>102</v>
      </c>
      <c r="F131" t="s">
        <v>4122</v>
      </c>
      <c r="G131" t="s">
        <v>152</v>
      </c>
      <c r="H131" t="s">
        <v>174</v>
      </c>
      <c r="I131" t="s">
        <v>154</v>
      </c>
      <c r="J131">
        <v>20200825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workbookViewId="0">
      <selection activeCell="F23" sqref="F23"/>
    </sheetView>
  </sheetViews>
  <sheetFormatPr defaultColWidth="9" defaultRowHeight="13.5"/>
  <cols>
    <col min="1" max="1" width="14.375" customWidth="1"/>
    <col min="5" max="5" width="10.7333333333333" customWidth="1"/>
    <col min="6" max="6" width="18" customWidth="1"/>
    <col min="12" max="12" width="16" customWidth="1"/>
  </cols>
  <sheetData>
    <row r="1" spans="1:10">
      <c r="A1" t="s">
        <v>4123</v>
      </c>
      <c r="B1">
        <v>2</v>
      </c>
      <c r="C1" t="s">
        <v>4124</v>
      </c>
      <c r="D1" t="s">
        <v>243</v>
      </c>
      <c r="E1" t="s">
        <v>84</v>
      </c>
      <c r="F1" t="s">
        <v>4125</v>
      </c>
      <c r="G1" t="s">
        <v>152</v>
      </c>
      <c r="H1" t="s">
        <v>153</v>
      </c>
      <c r="I1" t="s">
        <v>154</v>
      </c>
      <c r="J1">
        <v>19910129</v>
      </c>
    </row>
    <row r="2" spans="1:13">
      <c r="A2" t="s">
        <v>4126</v>
      </c>
      <c r="B2">
        <v>6</v>
      </c>
      <c r="C2" t="s">
        <v>4127</v>
      </c>
      <c r="D2" t="s">
        <v>243</v>
      </c>
      <c r="E2" t="s">
        <v>79</v>
      </c>
      <c r="F2" t="s">
        <v>4128</v>
      </c>
      <c r="G2" t="s">
        <v>152</v>
      </c>
      <c r="H2" t="s">
        <v>153</v>
      </c>
      <c r="I2" t="s">
        <v>154</v>
      </c>
      <c r="J2">
        <v>19920427</v>
      </c>
      <c r="L2" t="s">
        <v>4129</v>
      </c>
      <c r="M2">
        <v>98</v>
      </c>
    </row>
    <row r="3" spans="1:13">
      <c r="A3" t="s">
        <v>4130</v>
      </c>
      <c r="B3">
        <v>11</v>
      </c>
      <c r="C3" t="s">
        <v>4131</v>
      </c>
      <c r="D3" t="s">
        <v>243</v>
      </c>
      <c r="E3" t="s">
        <v>79</v>
      </c>
      <c r="F3" t="s">
        <v>4132</v>
      </c>
      <c r="G3" t="s">
        <v>152</v>
      </c>
      <c r="H3" t="s">
        <v>153</v>
      </c>
      <c r="I3" t="s">
        <v>154</v>
      </c>
      <c r="J3">
        <v>19920330</v>
      </c>
      <c r="L3" t="s">
        <v>4133</v>
      </c>
      <c r="M3" s="2">
        <f ca="1">CEILING(RAND()*98,1)</f>
        <v>88</v>
      </c>
    </row>
    <row r="4" spans="1:10">
      <c r="A4" t="s">
        <v>4134</v>
      </c>
      <c r="B4">
        <v>14</v>
      </c>
      <c r="C4" t="s">
        <v>4135</v>
      </c>
      <c r="D4" t="s">
        <v>243</v>
      </c>
      <c r="E4" t="s">
        <v>84</v>
      </c>
      <c r="F4" t="s">
        <v>4136</v>
      </c>
      <c r="G4" t="s">
        <v>152</v>
      </c>
      <c r="H4" t="s">
        <v>153</v>
      </c>
      <c r="I4" t="s">
        <v>154</v>
      </c>
      <c r="J4">
        <v>19920602</v>
      </c>
    </row>
    <row r="5" spans="1:10">
      <c r="A5" t="s">
        <v>4137</v>
      </c>
      <c r="B5">
        <v>29</v>
      </c>
      <c r="C5" t="s">
        <v>4138</v>
      </c>
      <c r="D5" t="s">
        <v>243</v>
      </c>
      <c r="E5" t="s">
        <v>79</v>
      </c>
      <c r="F5" t="s">
        <v>4139</v>
      </c>
      <c r="G5" t="s">
        <v>152</v>
      </c>
      <c r="H5" t="s">
        <v>153</v>
      </c>
      <c r="I5" t="s">
        <v>154</v>
      </c>
      <c r="J5">
        <v>19930915</v>
      </c>
    </row>
    <row r="6" spans="1:10">
      <c r="A6" t="s">
        <v>4140</v>
      </c>
      <c r="B6">
        <v>31</v>
      </c>
      <c r="C6" t="s">
        <v>4141</v>
      </c>
      <c r="D6" t="s">
        <v>243</v>
      </c>
      <c r="E6" t="s">
        <v>84</v>
      </c>
      <c r="F6" t="s">
        <v>4142</v>
      </c>
      <c r="G6" t="s">
        <v>152</v>
      </c>
      <c r="H6" t="s">
        <v>153</v>
      </c>
      <c r="I6" t="s">
        <v>154</v>
      </c>
      <c r="J6">
        <v>19931008</v>
      </c>
    </row>
    <row r="7" spans="1:10">
      <c r="A7" s="3" t="s">
        <v>4143</v>
      </c>
      <c r="B7" s="3">
        <v>36</v>
      </c>
      <c r="C7" s="3" t="s">
        <v>4144</v>
      </c>
      <c r="D7" s="3" t="s">
        <v>243</v>
      </c>
      <c r="E7" s="3" t="s">
        <v>84</v>
      </c>
      <c r="F7" s="3" t="s">
        <v>4145</v>
      </c>
      <c r="G7" s="3" t="s">
        <v>152</v>
      </c>
      <c r="H7" s="3" t="s">
        <v>153</v>
      </c>
      <c r="I7" s="3" t="s">
        <v>154</v>
      </c>
      <c r="J7" s="3">
        <v>19940617</v>
      </c>
    </row>
    <row r="8" spans="1:10">
      <c r="A8" t="s">
        <v>4146</v>
      </c>
      <c r="B8">
        <v>42</v>
      </c>
      <c r="C8" t="s">
        <v>4147</v>
      </c>
      <c r="D8" t="s">
        <v>243</v>
      </c>
      <c r="E8" t="s">
        <v>84</v>
      </c>
      <c r="F8" t="s">
        <v>4148</v>
      </c>
      <c r="G8" t="s">
        <v>152</v>
      </c>
      <c r="H8" t="s">
        <v>153</v>
      </c>
      <c r="I8" t="s">
        <v>154</v>
      </c>
      <c r="J8">
        <v>19940921</v>
      </c>
    </row>
    <row r="9" spans="1:10">
      <c r="A9" t="s">
        <v>4149</v>
      </c>
      <c r="B9">
        <v>48</v>
      </c>
      <c r="C9" t="s">
        <v>4150</v>
      </c>
      <c r="D9" t="s">
        <v>243</v>
      </c>
      <c r="E9" t="s">
        <v>79</v>
      </c>
      <c r="F9" t="s">
        <v>4151</v>
      </c>
      <c r="G9" t="s">
        <v>152</v>
      </c>
      <c r="H9" t="s">
        <v>153</v>
      </c>
      <c r="I9" t="s">
        <v>154</v>
      </c>
      <c r="J9">
        <v>19941101</v>
      </c>
    </row>
    <row r="10" spans="1:10">
      <c r="A10" t="s">
        <v>4152</v>
      </c>
      <c r="B10">
        <v>56</v>
      </c>
      <c r="C10" t="s">
        <v>4153</v>
      </c>
      <c r="D10" t="s">
        <v>243</v>
      </c>
      <c r="E10" t="s">
        <v>70</v>
      </c>
      <c r="F10" t="s">
        <v>4154</v>
      </c>
      <c r="G10" t="s">
        <v>152</v>
      </c>
      <c r="H10" t="s">
        <v>153</v>
      </c>
      <c r="I10" t="s">
        <v>154</v>
      </c>
      <c r="J10">
        <v>19960708</v>
      </c>
    </row>
    <row r="11" spans="1:10">
      <c r="A11" t="s">
        <v>4155</v>
      </c>
      <c r="B11">
        <v>402</v>
      </c>
      <c r="C11" t="s">
        <v>4156</v>
      </c>
      <c r="D11" t="s">
        <v>164</v>
      </c>
      <c r="E11" t="s">
        <v>84</v>
      </c>
      <c r="F11" t="s">
        <v>4157</v>
      </c>
      <c r="G11" t="s">
        <v>152</v>
      </c>
      <c r="H11" t="s">
        <v>153</v>
      </c>
      <c r="I11" t="s">
        <v>154</v>
      </c>
      <c r="J11">
        <v>19960626</v>
      </c>
    </row>
    <row r="12" spans="1:10">
      <c r="A12" t="s">
        <v>4158</v>
      </c>
      <c r="B12">
        <v>514</v>
      </c>
      <c r="C12" t="s">
        <v>4159</v>
      </c>
      <c r="D12" t="s">
        <v>937</v>
      </c>
      <c r="E12" t="s">
        <v>79</v>
      </c>
      <c r="F12" t="s">
        <v>4160</v>
      </c>
      <c r="G12" t="s">
        <v>152</v>
      </c>
      <c r="H12" t="s">
        <v>153</v>
      </c>
      <c r="I12" t="s">
        <v>154</v>
      </c>
      <c r="J12">
        <v>19930712</v>
      </c>
    </row>
    <row r="13" spans="1:10">
      <c r="A13" t="s">
        <v>4161</v>
      </c>
      <c r="B13">
        <v>517</v>
      </c>
      <c r="C13" t="s">
        <v>4162</v>
      </c>
      <c r="D13" t="s">
        <v>423</v>
      </c>
      <c r="E13" t="s">
        <v>79</v>
      </c>
      <c r="F13" t="s">
        <v>4163</v>
      </c>
      <c r="G13" t="s">
        <v>152</v>
      </c>
      <c r="H13" t="s">
        <v>153</v>
      </c>
      <c r="I13" t="s">
        <v>154</v>
      </c>
      <c r="J13">
        <v>19930806</v>
      </c>
    </row>
    <row r="14" spans="1:10">
      <c r="A14" t="s">
        <v>4164</v>
      </c>
      <c r="B14">
        <v>560</v>
      </c>
      <c r="C14" t="s">
        <v>4165</v>
      </c>
      <c r="D14" t="s">
        <v>184</v>
      </c>
      <c r="E14" t="s">
        <v>70</v>
      </c>
      <c r="F14" t="s">
        <v>4166</v>
      </c>
      <c r="G14" t="s">
        <v>152</v>
      </c>
      <c r="H14" t="s">
        <v>153</v>
      </c>
      <c r="I14" t="s">
        <v>154</v>
      </c>
      <c r="J14">
        <v>19940202</v>
      </c>
    </row>
    <row r="15" spans="1:10">
      <c r="A15" t="s">
        <v>4167</v>
      </c>
      <c r="B15">
        <v>573</v>
      </c>
      <c r="C15" t="s">
        <v>4168</v>
      </c>
      <c r="D15" t="s">
        <v>223</v>
      </c>
      <c r="E15" t="s">
        <v>79</v>
      </c>
      <c r="F15" t="s">
        <v>4169</v>
      </c>
      <c r="G15" t="s">
        <v>152</v>
      </c>
      <c r="H15" t="s">
        <v>153</v>
      </c>
      <c r="I15" t="s">
        <v>154</v>
      </c>
      <c r="J15">
        <v>19940815</v>
      </c>
    </row>
    <row r="16" spans="1:10">
      <c r="A16" t="s">
        <v>4170</v>
      </c>
      <c r="B16">
        <v>608</v>
      </c>
      <c r="C16" t="s">
        <v>4171</v>
      </c>
      <c r="D16" t="s">
        <v>345</v>
      </c>
      <c r="E16" t="s">
        <v>79</v>
      </c>
      <c r="F16" t="s">
        <v>4172</v>
      </c>
      <c r="G16" t="s">
        <v>152</v>
      </c>
      <c r="H16" t="s">
        <v>153</v>
      </c>
      <c r="I16" t="s">
        <v>154</v>
      </c>
      <c r="J16">
        <v>19960919</v>
      </c>
    </row>
    <row r="17" spans="1:10">
      <c r="A17" t="s">
        <v>4173</v>
      </c>
      <c r="B17">
        <v>609</v>
      </c>
      <c r="C17" t="s">
        <v>4174</v>
      </c>
      <c r="D17" t="s">
        <v>164</v>
      </c>
      <c r="E17" t="s">
        <v>79</v>
      </c>
      <c r="F17" t="s">
        <v>4175</v>
      </c>
      <c r="G17" t="s">
        <v>152</v>
      </c>
      <c r="H17" t="s">
        <v>153</v>
      </c>
      <c r="I17" t="s">
        <v>154</v>
      </c>
      <c r="J17">
        <v>19961010</v>
      </c>
    </row>
    <row r="18" spans="1:10">
      <c r="A18" t="s">
        <v>4176</v>
      </c>
      <c r="B18">
        <v>616</v>
      </c>
      <c r="C18" t="s">
        <v>4177</v>
      </c>
      <c r="D18" t="s">
        <v>236</v>
      </c>
      <c r="E18" t="s">
        <v>84</v>
      </c>
      <c r="F18" t="s">
        <v>4178</v>
      </c>
      <c r="G18" t="s">
        <v>152</v>
      </c>
      <c r="H18" t="s">
        <v>153</v>
      </c>
      <c r="I18" t="s">
        <v>154</v>
      </c>
      <c r="J18">
        <v>19961108</v>
      </c>
    </row>
    <row r="19" spans="1:10">
      <c r="A19" t="s">
        <v>4179</v>
      </c>
      <c r="B19">
        <v>620</v>
      </c>
      <c r="C19" t="s">
        <v>4180</v>
      </c>
      <c r="D19" t="s">
        <v>164</v>
      </c>
      <c r="E19" t="s">
        <v>84</v>
      </c>
      <c r="F19" t="s">
        <v>4181</v>
      </c>
      <c r="G19" t="s">
        <v>152</v>
      </c>
      <c r="H19" t="s">
        <v>153</v>
      </c>
      <c r="I19" t="s">
        <v>154</v>
      </c>
      <c r="J19">
        <v>19961029</v>
      </c>
    </row>
    <row r="20" spans="1:10">
      <c r="A20" t="s">
        <v>4182</v>
      </c>
      <c r="B20">
        <v>631</v>
      </c>
      <c r="C20" t="s">
        <v>4183</v>
      </c>
      <c r="D20" t="s">
        <v>423</v>
      </c>
      <c r="E20" t="s">
        <v>79</v>
      </c>
      <c r="F20" t="s">
        <v>4184</v>
      </c>
      <c r="G20" t="s">
        <v>152</v>
      </c>
      <c r="H20" t="s">
        <v>153</v>
      </c>
      <c r="I20" t="s">
        <v>154</v>
      </c>
      <c r="J20">
        <v>19961122</v>
      </c>
    </row>
    <row r="21" spans="1:10">
      <c r="A21" t="s">
        <v>4185</v>
      </c>
      <c r="B21">
        <v>656</v>
      </c>
      <c r="C21" t="s">
        <v>4186</v>
      </c>
      <c r="D21" t="s">
        <v>937</v>
      </c>
      <c r="E21" t="s">
        <v>84</v>
      </c>
      <c r="F21" t="s">
        <v>4187</v>
      </c>
      <c r="G21" t="s">
        <v>152</v>
      </c>
      <c r="H21" t="s">
        <v>153</v>
      </c>
      <c r="I21" t="s">
        <v>154</v>
      </c>
      <c r="J21">
        <v>19961128</v>
      </c>
    </row>
    <row r="22" spans="1:10">
      <c r="A22" t="s">
        <v>4188</v>
      </c>
      <c r="B22">
        <v>667</v>
      </c>
      <c r="C22" t="s">
        <v>4189</v>
      </c>
      <c r="D22" t="s">
        <v>184</v>
      </c>
      <c r="E22" t="s">
        <v>84</v>
      </c>
      <c r="F22" t="s">
        <v>4190</v>
      </c>
      <c r="G22" t="s">
        <v>152</v>
      </c>
      <c r="H22" t="s">
        <v>153</v>
      </c>
      <c r="I22" t="s">
        <v>154</v>
      </c>
      <c r="J22">
        <v>19961205</v>
      </c>
    </row>
    <row r="23" spans="1:10">
      <c r="A23" t="s">
        <v>4191</v>
      </c>
      <c r="B23">
        <v>671</v>
      </c>
      <c r="C23" t="s">
        <v>4192</v>
      </c>
      <c r="D23" t="s">
        <v>150</v>
      </c>
      <c r="E23" t="s">
        <v>79</v>
      </c>
      <c r="F23" t="s">
        <v>4193</v>
      </c>
      <c r="G23" t="s">
        <v>152</v>
      </c>
      <c r="H23" t="s">
        <v>153</v>
      </c>
      <c r="I23" t="s">
        <v>154</v>
      </c>
      <c r="J23">
        <v>19961218</v>
      </c>
    </row>
    <row r="24" spans="1:10">
      <c r="A24" t="s">
        <v>4194</v>
      </c>
      <c r="B24">
        <v>718</v>
      </c>
      <c r="C24" t="s">
        <v>4195</v>
      </c>
      <c r="D24" t="s">
        <v>312</v>
      </c>
      <c r="E24" t="s">
        <v>79</v>
      </c>
      <c r="F24" t="s">
        <v>4196</v>
      </c>
      <c r="G24" t="s">
        <v>152</v>
      </c>
      <c r="H24" t="s">
        <v>153</v>
      </c>
      <c r="I24" t="s">
        <v>154</v>
      </c>
      <c r="J24">
        <v>19970408</v>
      </c>
    </row>
    <row r="25" spans="1:10">
      <c r="A25" t="s">
        <v>4197</v>
      </c>
      <c r="B25">
        <v>732</v>
      </c>
      <c r="C25" t="s">
        <v>4198</v>
      </c>
      <c r="D25" t="s">
        <v>150</v>
      </c>
      <c r="E25" t="s">
        <v>79</v>
      </c>
      <c r="F25" t="s">
        <v>4199</v>
      </c>
      <c r="G25" t="s">
        <v>152</v>
      </c>
      <c r="H25" t="s">
        <v>153</v>
      </c>
      <c r="I25" t="s">
        <v>154</v>
      </c>
      <c r="J25">
        <v>19970704</v>
      </c>
    </row>
    <row r="26" spans="1:10">
      <c r="A26" t="s">
        <v>4200</v>
      </c>
      <c r="B26">
        <v>736</v>
      </c>
      <c r="C26" t="s">
        <v>4201</v>
      </c>
      <c r="D26" t="s">
        <v>937</v>
      </c>
      <c r="E26" t="s">
        <v>84</v>
      </c>
      <c r="F26" t="s">
        <v>4202</v>
      </c>
      <c r="G26" t="s">
        <v>152</v>
      </c>
      <c r="H26" t="s">
        <v>153</v>
      </c>
      <c r="I26" t="s">
        <v>154</v>
      </c>
      <c r="J26">
        <v>19970425</v>
      </c>
    </row>
    <row r="27" spans="1:10">
      <c r="A27" t="s">
        <v>4203</v>
      </c>
      <c r="B27">
        <v>797</v>
      </c>
      <c r="C27" t="s">
        <v>4204</v>
      </c>
      <c r="D27" t="s">
        <v>150</v>
      </c>
      <c r="E27" t="s">
        <v>84</v>
      </c>
      <c r="F27" t="s">
        <v>4205</v>
      </c>
      <c r="G27" t="s">
        <v>152</v>
      </c>
      <c r="H27" t="s">
        <v>153</v>
      </c>
      <c r="I27" t="s">
        <v>154</v>
      </c>
      <c r="J27">
        <v>19970715</v>
      </c>
    </row>
    <row r="28" spans="1:10">
      <c r="A28" t="s">
        <v>4206</v>
      </c>
      <c r="B28">
        <v>809</v>
      </c>
      <c r="C28" t="s">
        <v>4207</v>
      </c>
      <c r="D28" t="s">
        <v>236</v>
      </c>
      <c r="E28" t="s">
        <v>79</v>
      </c>
      <c r="F28" t="s">
        <v>4208</v>
      </c>
      <c r="G28" t="s">
        <v>152</v>
      </c>
      <c r="H28" t="s">
        <v>153</v>
      </c>
      <c r="I28" t="s">
        <v>154</v>
      </c>
      <c r="J28">
        <v>19980616</v>
      </c>
    </row>
    <row r="29" spans="1:10">
      <c r="A29" t="s">
        <v>4209</v>
      </c>
      <c r="B29">
        <v>838</v>
      </c>
      <c r="C29" t="s">
        <v>4210</v>
      </c>
      <c r="D29" t="s">
        <v>937</v>
      </c>
      <c r="E29" t="s">
        <v>79</v>
      </c>
      <c r="F29" t="s">
        <v>4211</v>
      </c>
      <c r="G29" t="s">
        <v>152</v>
      </c>
      <c r="H29" t="s">
        <v>153</v>
      </c>
      <c r="I29" t="s">
        <v>154</v>
      </c>
      <c r="J29">
        <v>19970626</v>
      </c>
    </row>
    <row r="30" spans="1:10">
      <c r="A30" t="s">
        <v>4212</v>
      </c>
      <c r="B30">
        <v>863</v>
      </c>
      <c r="C30" t="s">
        <v>4213</v>
      </c>
      <c r="D30" t="s">
        <v>172</v>
      </c>
      <c r="E30" t="s">
        <v>79</v>
      </c>
      <c r="F30" t="s">
        <v>4214</v>
      </c>
      <c r="G30" t="s">
        <v>152</v>
      </c>
      <c r="H30" t="s">
        <v>153</v>
      </c>
      <c r="I30" t="s">
        <v>154</v>
      </c>
      <c r="J30">
        <v>19970925</v>
      </c>
    </row>
    <row r="31" spans="1:10">
      <c r="A31" t="s">
        <v>4215</v>
      </c>
      <c r="B31">
        <v>886</v>
      </c>
      <c r="C31" t="s">
        <v>4216</v>
      </c>
      <c r="D31" t="s">
        <v>250</v>
      </c>
      <c r="E31" t="s">
        <v>79</v>
      </c>
      <c r="F31" t="s">
        <v>4217</v>
      </c>
      <c r="G31" t="s">
        <v>152</v>
      </c>
      <c r="H31" t="s">
        <v>153</v>
      </c>
      <c r="I31" t="s">
        <v>154</v>
      </c>
      <c r="J31">
        <v>19980123</v>
      </c>
    </row>
    <row r="32" spans="1:10">
      <c r="A32" t="s">
        <v>4218</v>
      </c>
      <c r="B32">
        <v>897</v>
      </c>
      <c r="C32" t="s">
        <v>4219</v>
      </c>
      <c r="D32" t="s">
        <v>576</v>
      </c>
      <c r="E32" t="s">
        <v>79</v>
      </c>
      <c r="F32" t="s">
        <v>4220</v>
      </c>
      <c r="G32" t="s">
        <v>152</v>
      </c>
      <c r="H32" t="s">
        <v>153</v>
      </c>
      <c r="I32" t="s">
        <v>154</v>
      </c>
      <c r="J32">
        <v>19990422</v>
      </c>
    </row>
    <row r="33" spans="1:10">
      <c r="A33" t="s">
        <v>4221</v>
      </c>
      <c r="B33">
        <v>918</v>
      </c>
      <c r="C33" t="s">
        <v>4222</v>
      </c>
      <c r="D33" t="s">
        <v>423</v>
      </c>
      <c r="E33" t="s">
        <v>84</v>
      </c>
      <c r="F33" t="s">
        <v>4223</v>
      </c>
      <c r="G33" t="s">
        <v>152</v>
      </c>
      <c r="H33" t="s">
        <v>153</v>
      </c>
      <c r="I33" t="s">
        <v>154</v>
      </c>
      <c r="J33">
        <v>19990720</v>
      </c>
    </row>
    <row r="34" spans="1:10">
      <c r="A34" t="s">
        <v>4224</v>
      </c>
      <c r="B34">
        <v>926</v>
      </c>
      <c r="C34" t="s">
        <v>4225</v>
      </c>
      <c r="D34" t="s">
        <v>316</v>
      </c>
      <c r="E34" t="s">
        <v>79</v>
      </c>
      <c r="F34" t="s">
        <v>4226</v>
      </c>
      <c r="G34" t="s">
        <v>152</v>
      </c>
      <c r="H34" t="s">
        <v>153</v>
      </c>
      <c r="I34" t="s">
        <v>154</v>
      </c>
      <c r="J34">
        <v>19990618</v>
      </c>
    </row>
    <row r="35" spans="1:10">
      <c r="A35" t="s">
        <v>4227</v>
      </c>
      <c r="B35">
        <v>961</v>
      </c>
      <c r="C35" t="s">
        <v>4228</v>
      </c>
      <c r="D35" t="s">
        <v>212</v>
      </c>
      <c r="E35" t="s">
        <v>84</v>
      </c>
      <c r="F35" t="s">
        <v>4229</v>
      </c>
      <c r="G35" t="s">
        <v>152</v>
      </c>
      <c r="H35" t="s">
        <v>153</v>
      </c>
      <c r="I35" t="s">
        <v>154</v>
      </c>
      <c r="J35">
        <v>20000301</v>
      </c>
    </row>
    <row r="36" spans="1:10">
      <c r="A36" t="s">
        <v>4230</v>
      </c>
      <c r="B36">
        <v>965</v>
      </c>
      <c r="C36" t="s">
        <v>4231</v>
      </c>
      <c r="D36" t="s">
        <v>576</v>
      </c>
      <c r="E36" t="s">
        <v>79</v>
      </c>
      <c r="F36" t="s">
        <v>4232</v>
      </c>
      <c r="G36" t="s">
        <v>152</v>
      </c>
      <c r="H36" t="s">
        <v>153</v>
      </c>
      <c r="I36" t="s">
        <v>154</v>
      </c>
      <c r="J36">
        <v>20000406</v>
      </c>
    </row>
    <row r="37" spans="1:10">
      <c r="A37" t="s">
        <v>4233</v>
      </c>
      <c r="B37">
        <v>1914</v>
      </c>
      <c r="C37" t="s">
        <v>4234</v>
      </c>
      <c r="D37" t="s">
        <v>243</v>
      </c>
      <c r="E37" t="s">
        <v>70</v>
      </c>
      <c r="F37" t="s">
        <v>4235</v>
      </c>
      <c r="G37" t="s">
        <v>152</v>
      </c>
      <c r="H37" t="s">
        <v>153</v>
      </c>
      <c r="I37" t="s">
        <v>154</v>
      </c>
      <c r="J37">
        <v>19940928</v>
      </c>
    </row>
    <row r="38" spans="1:10">
      <c r="A38" t="s">
        <v>4236</v>
      </c>
      <c r="B38">
        <v>1979</v>
      </c>
      <c r="C38" t="s">
        <v>4237</v>
      </c>
      <c r="D38" t="s">
        <v>243</v>
      </c>
      <c r="E38" t="s">
        <v>84</v>
      </c>
      <c r="F38" t="s">
        <v>4238</v>
      </c>
      <c r="G38" t="s">
        <v>152</v>
      </c>
      <c r="H38" t="s">
        <v>153</v>
      </c>
      <c r="I38" t="s">
        <v>154</v>
      </c>
      <c r="J38">
        <v>20151230</v>
      </c>
    </row>
    <row r="39" spans="1:10">
      <c r="A39" t="s">
        <v>4239</v>
      </c>
      <c r="B39">
        <v>600007</v>
      </c>
      <c r="C39" t="s">
        <v>4240</v>
      </c>
      <c r="D39" t="s">
        <v>164</v>
      </c>
      <c r="E39" t="s">
        <v>93</v>
      </c>
      <c r="F39" t="s">
        <v>4241</v>
      </c>
      <c r="G39" t="s">
        <v>152</v>
      </c>
      <c r="H39" t="s">
        <v>174</v>
      </c>
      <c r="I39" t="s">
        <v>154</v>
      </c>
      <c r="J39">
        <v>19990312</v>
      </c>
    </row>
    <row r="40" spans="1:10">
      <c r="A40" t="s">
        <v>4242</v>
      </c>
      <c r="B40">
        <v>600048</v>
      </c>
      <c r="C40" t="s">
        <v>4243</v>
      </c>
      <c r="D40" t="s">
        <v>223</v>
      </c>
      <c r="E40" t="s">
        <v>84</v>
      </c>
      <c r="F40" t="s">
        <v>4244</v>
      </c>
      <c r="G40" t="s">
        <v>152</v>
      </c>
      <c r="H40" t="s">
        <v>174</v>
      </c>
      <c r="I40" t="s">
        <v>154</v>
      </c>
      <c r="J40">
        <v>20060731</v>
      </c>
    </row>
    <row r="41" spans="1:10">
      <c r="A41" t="s">
        <v>4245</v>
      </c>
      <c r="B41">
        <v>600064</v>
      </c>
      <c r="C41" t="s">
        <v>4246</v>
      </c>
      <c r="D41" t="s">
        <v>212</v>
      </c>
      <c r="E41" t="s">
        <v>93</v>
      </c>
      <c r="F41" t="s">
        <v>4247</v>
      </c>
      <c r="G41" t="s">
        <v>152</v>
      </c>
      <c r="H41" t="s">
        <v>174</v>
      </c>
      <c r="I41" t="s">
        <v>154</v>
      </c>
      <c r="J41">
        <v>19970506</v>
      </c>
    </row>
    <row r="42" spans="1:10">
      <c r="A42" t="s">
        <v>4248</v>
      </c>
      <c r="B42">
        <v>600077</v>
      </c>
      <c r="C42" t="s">
        <v>4249</v>
      </c>
      <c r="D42" t="s">
        <v>423</v>
      </c>
      <c r="E42" t="s">
        <v>84</v>
      </c>
      <c r="F42" t="s">
        <v>4250</v>
      </c>
      <c r="G42" t="s">
        <v>152</v>
      </c>
      <c r="H42" t="s">
        <v>174</v>
      </c>
      <c r="I42" t="s">
        <v>154</v>
      </c>
      <c r="J42">
        <v>19970520</v>
      </c>
    </row>
    <row r="43" spans="1:10">
      <c r="A43" t="s">
        <v>4251</v>
      </c>
      <c r="B43">
        <v>600082</v>
      </c>
      <c r="C43" t="s">
        <v>4252</v>
      </c>
      <c r="D43" t="s">
        <v>576</v>
      </c>
      <c r="E43" t="s">
        <v>93</v>
      </c>
      <c r="F43" t="s">
        <v>4253</v>
      </c>
      <c r="G43" t="s">
        <v>152</v>
      </c>
      <c r="H43" t="s">
        <v>174</v>
      </c>
      <c r="I43" t="s">
        <v>154</v>
      </c>
      <c r="J43">
        <v>19970620</v>
      </c>
    </row>
    <row r="44" spans="1:10">
      <c r="A44" t="s">
        <v>4254</v>
      </c>
      <c r="B44">
        <v>600094</v>
      </c>
      <c r="C44" t="s">
        <v>4255</v>
      </c>
      <c r="D44" t="s">
        <v>172</v>
      </c>
      <c r="E44" t="s">
        <v>79</v>
      </c>
      <c r="F44" t="s">
        <v>4256</v>
      </c>
      <c r="G44" t="s">
        <v>152</v>
      </c>
      <c r="H44" t="s">
        <v>174</v>
      </c>
      <c r="I44" t="s">
        <v>154</v>
      </c>
      <c r="J44">
        <v>19970703</v>
      </c>
    </row>
    <row r="45" spans="1:10">
      <c r="A45" t="s">
        <v>4257</v>
      </c>
      <c r="B45">
        <v>600113</v>
      </c>
      <c r="C45" t="s">
        <v>4258</v>
      </c>
      <c r="D45" t="s">
        <v>423</v>
      </c>
      <c r="E45" t="s">
        <v>79</v>
      </c>
      <c r="F45" t="s">
        <v>4259</v>
      </c>
      <c r="G45" t="s">
        <v>152</v>
      </c>
      <c r="H45" t="s">
        <v>174</v>
      </c>
      <c r="I45" t="s">
        <v>154</v>
      </c>
      <c r="J45">
        <v>19971021</v>
      </c>
    </row>
    <row r="46" spans="1:10">
      <c r="A46" t="s">
        <v>4260</v>
      </c>
      <c r="B46">
        <v>600159</v>
      </c>
      <c r="C46" t="s">
        <v>4261</v>
      </c>
      <c r="D46" t="s">
        <v>164</v>
      </c>
      <c r="E46" t="s">
        <v>79</v>
      </c>
      <c r="F46" t="s">
        <v>4262</v>
      </c>
      <c r="G46" t="s">
        <v>152</v>
      </c>
      <c r="H46" t="s">
        <v>174</v>
      </c>
      <c r="I46" t="s">
        <v>154</v>
      </c>
      <c r="J46">
        <v>19980526</v>
      </c>
    </row>
    <row r="47" spans="1:10">
      <c r="A47" t="s">
        <v>4263</v>
      </c>
      <c r="B47">
        <v>600162</v>
      </c>
      <c r="C47" t="s">
        <v>4264</v>
      </c>
      <c r="D47" t="s">
        <v>243</v>
      </c>
      <c r="E47" t="s">
        <v>84</v>
      </c>
      <c r="F47" t="s">
        <v>4265</v>
      </c>
      <c r="G47" t="s">
        <v>152</v>
      </c>
      <c r="H47" t="s">
        <v>174</v>
      </c>
      <c r="I47" t="s">
        <v>154</v>
      </c>
      <c r="J47">
        <v>19980609</v>
      </c>
    </row>
    <row r="48" spans="1:10">
      <c r="A48" t="s">
        <v>4266</v>
      </c>
      <c r="B48">
        <v>600173</v>
      </c>
      <c r="C48" t="s">
        <v>4267</v>
      </c>
      <c r="D48" t="s">
        <v>423</v>
      </c>
      <c r="E48" t="s">
        <v>84</v>
      </c>
      <c r="F48" t="s">
        <v>4268</v>
      </c>
      <c r="G48" t="s">
        <v>152</v>
      </c>
      <c r="H48" t="s">
        <v>174</v>
      </c>
      <c r="I48" t="s">
        <v>154</v>
      </c>
      <c r="J48">
        <v>19990415</v>
      </c>
    </row>
    <row r="49" spans="1:10">
      <c r="A49" t="s">
        <v>4269</v>
      </c>
      <c r="B49">
        <v>600185</v>
      </c>
      <c r="C49" t="s">
        <v>4270</v>
      </c>
      <c r="D49" t="s">
        <v>223</v>
      </c>
      <c r="E49" t="s">
        <v>79</v>
      </c>
      <c r="F49" t="s">
        <v>4271</v>
      </c>
      <c r="G49" t="s">
        <v>152</v>
      </c>
      <c r="H49" t="s">
        <v>174</v>
      </c>
      <c r="I49" t="s">
        <v>154</v>
      </c>
      <c r="J49">
        <v>19990611</v>
      </c>
    </row>
    <row r="50" spans="1:10">
      <c r="A50" t="s">
        <v>4272</v>
      </c>
      <c r="B50">
        <v>600208</v>
      </c>
      <c r="C50" t="s">
        <v>4273</v>
      </c>
      <c r="D50" t="s">
        <v>423</v>
      </c>
      <c r="E50" t="s">
        <v>84</v>
      </c>
      <c r="F50" t="s">
        <v>4274</v>
      </c>
      <c r="G50" t="s">
        <v>152</v>
      </c>
      <c r="H50" t="s">
        <v>174</v>
      </c>
      <c r="I50" t="s">
        <v>154</v>
      </c>
      <c r="J50">
        <v>19990623</v>
      </c>
    </row>
    <row r="51" spans="1:10">
      <c r="A51" t="s">
        <v>4275</v>
      </c>
      <c r="B51">
        <v>600223</v>
      </c>
      <c r="C51" t="s">
        <v>4276</v>
      </c>
      <c r="D51" t="s">
        <v>198</v>
      </c>
      <c r="E51" t="s">
        <v>79</v>
      </c>
      <c r="F51" t="s">
        <v>4277</v>
      </c>
      <c r="G51" t="s">
        <v>152</v>
      </c>
      <c r="H51" t="s">
        <v>174</v>
      </c>
      <c r="I51" t="s">
        <v>154</v>
      </c>
      <c r="J51">
        <v>20000113</v>
      </c>
    </row>
    <row r="52" spans="1:10">
      <c r="A52" t="s">
        <v>4278</v>
      </c>
      <c r="B52">
        <v>600239</v>
      </c>
      <c r="C52" t="s">
        <v>4279</v>
      </c>
      <c r="D52" t="s">
        <v>184</v>
      </c>
      <c r="E52" t="s">
        <v>79</v>
      </c>
      <c r="F52" t="s">
        <v>4280</v>
      </c>
      <c r="G52" t="s">
        <v>152</v>
      </c>
      <c r="H52" t="s">
        <v>174</v>
      </c>
      <c r="I52" t="s">
        <v>154</v>
      </c>
      <c r="J52">
        <v>19991202</v>
      </c>
    </row>
    <row r="53" spans="1:10">
      <c r="A53" t="s">
        <v>4281</v>
      </c>
      <c r="B53">
        <v>600246</v>
      </c>
      <c r="C53" t="s">
        <v>4282</v>
      </c>
      <c r="D53" t="s">
        <v>164</v>
      </c>
      <c r="E53" t="s">
        <v>79</v>
      </c>
      <c r="F53" t="s">
        <v>4283</v>
      </c>
      <c r="G53" t="s">
        <v>152</v>
      </c>
      <c r="H53" t="s">
        <v>174</v>
      </c>
      <c r="I53" t="s">
        <v>154</v>
      </c>
      <c r="J53">
        <v>20000922</v>
      </c>
    </row>
    <row r="54" spans="1:10">
      <c r="A54" t="s">
        <v>4284</v>
      </c>
      <c r="B54">
        <v>600266</v>
      </c>
      <c r="C54" t="s">
        <v>4285</v>
      </c>
      <c r="D54" t="s">
        <v>164</v>
      </c>
      <c r="E54" t="s">
        <v>79</v>
      </c>
      <c r="F54" t="s">
        <v>4286</v>
      </c>
      <c r="G54" t="s">
        <v>152</v>
      </c>
      <c r="H54" t="s">
        <v>174</v>
      </c>
      <c r="I54" t="s">
        <v>154</v>
      </c>
      <c r="J54">
        <v>19990203</v>
      </c>
    </row>
    <row r="55" spans="1:10">
      <c r="A55" t="s">
        <v>4287</v>
      </c>
      <c r="B55">
        <v>600322</v>
      </c>
      <c r="C55" t="s">
        <v>4288</v>
      </c>
      <c r="D55" t="s">
        <v>576</v>
      </c>
      <c r="E55" t="s">
        <v>79</v>
      </c>
      <c r="F55" t="s">
        <v>4289</v>
      </c>
      <c r="G55" t="s">
        <v>152</v>
      </c>
      <c r="H55" t="s">
        <v>174</v>
      </c>
      <c r="I55" t="s">
        <v>154</v>
      </c>
      <c r="J55">
        <v>20010910</v>
      </c>
    </row>
    <row r="56" spans="1:10">
      <c r="A56" t="s">
        <v>4290</v>
      </c>
      <c r="B56">
        <v>600325</v>
      </c>
      <c r="C56" t="s">
        <v>4291</v>
      </c>
      <c r="D56" t="s">
        <v>223</v>
      </c>
      <c r="E56" t="s">
        <v>79</v>
      </c>
      <c r="F56" t="s">
        <v>4292</v>
      </c>
      <c r="G56" t="s">
        <v>152</v>
      </c>
      <c r="H56" t="s">
        <v>174</v>
      </c>
      <c r="I56" t="s">
        <v>154</v>
      </c>
      <c r="J56">
        <v>20040225</v>
      </c>
    </row>
    <row r="57" spans="1:10">
      <c r="A57" t="s">
        <v>4293</v>
      </c>
      <c r="B57">
        <v>600340</v>
      </c>
      <c r="C57" t="s">
        <v>4294</v>
      </c>
      <c r="D57" t="s">
        <v>279</v>
      </c>
      <c r="E57" t="s">
        <v>79</v>
      </c>
      <c r="F57" t="s">
        <v>4295</v>
      </c>
      <c r="G57" t="s">
        <v>152</v>
      </c>
      <c r="H57" t="s">
        <v>174</v>
      </c>
      <c r="I57" t="s">
        <v>154</v>
      </c>
      <c r="J57">
        <v>20031230</v>
      </c>
    </row>
    <row r="58" spans="1:10">
      <c r="A58" t="s">
        <v>4296</v>
      </c>
      <c r="B58">
        <v>600376</v>
      </c>
      <c r="C58" t="s">
        <v>4297</v>
      </c>
      <c r="D58" t="s">
        <v>164</v>
      </c>
      <c r="E58" t="s">
        <v>79</v>
      </c>
      <c r="F58" t="s">
        <v>4298</v>
      </c>
      <c r="G58" t="s">
        <v>152</v>
      </c>
      <c r="H58" t="s">
        <v>174</v>
      </c>
      <c r="I58" t="s">
        <v>154</v>
      </c>
      <c r="J58">
        <v>20010312</v>
      </c>
    </row>
    <row r="59" spans="1:10">
      <c r="A59" t="s">
        <v>4299</v>
      </c>
      <c r="B59">
        <v>600383</v>
      </c>
      <c r="C59" t="s">
        <v>4300</v>
      </c>
      <c r="D59" t="s">
        <v>243</v>
      </c>
      <c r="E59" t="s">
        <v>84</v>
      </c>
      <c r="F59" t="s">
        <v>4301</v>
      </c>
      <c r="G59" t="s">
        <v>152</v>
      </c>
      <c r="H59" t="s">
        <v>174</v>
      </c>
      <c r="I59" t="s">
        <v>154</v>
      </c>
      <c r="J59">
        <v>20010412</v>
      </c>
    </row>
    <row r="60" spans="1:10">
      <c r="A60" t="s">
        <v>4302</v>
      </c>
      <c r="B60">
        <v>600393</v>
      </c>
      <c r="C60" t="s">
        <v>4303</v>
      </c>
      <c r="D60" t="s">
        <v>223</v>
      </c>
      <c r="E60" t="s">
        <v>84</v>
      </c>
      <c r="F60" t="s">
        <v>4304</v>
      </c>
      <c r="G60" t="s">
        <v>152</v>
      </c>
      <c r="H60" t="s">
        <v>174</v>
      </c>
      <c r="I60" t="s">
        <v>154</v>
      </c>
      <c r="J60">
        <v>20010319</v>
      </c>
    </row>
    <row r="61" spans="1:10">
      <c r="A61" s="3" t="s">
        <v>4305</v>
      </c>
      <c r="B61" s="3">
        <v>600463</v>
      </c>
      <c r="C61" s="3" t="s">
        <v>4306</v>
      </c>
      <c r="D61" s="3" t="s">
        <v>164</v>
      </c>
      <c r="E61" s="3" t="s">
        <v>93</v>
      </c>
      <c r="F61" s="3" t="s">
        <v>4307</v>
      </c>
      <c r="G61" s="3" t="s">
        <v>152</v>
      </c>
      <c r="H61" s="3" t="s">
        <v>174</v>
      </c>
      <c r="I61" s="3" t="s">
        <v>154</v>
      </c>
      <c r="J61" s="3">
        <v>20040318</v>
      </c>
    </row>
    <row r="62" spans="1:10">
      <c r="A62" t="s">
        <v>4308</v>
      </c>
      <c r="B62">
        <v>600466</v>
      </c>
      <c r="C62" t="s">
        <v>4309</v>
      </c>
      <c r="D62" t="s">
        <v>219</v>
      </c>
      <c r="E62" t="s">
        <v>79</v>
      </c>
      <c r="F62" t="s">
        <v>4310</v>
      </c>
      <c r="G62" t="s">
        <v>152</v>
      </c>
      <c r="H62" t="s">
        <v>174</v>
      </c>
      <c r="I62" t="s">
        <v>154</v>
      </c>
      <c r="J62">
        <v>20010212</v>
      </c>
    </row>
    <row r="63" spans="1:10">
      <c r="A63" t="s">
        <v>4311</v>
      </c>
      <c r="B63">
        <v>600503</v>
      </c>
      <c r="C63" t="s">
        <v>4312</v>
      </c>
      <c r="D63" t="s">
        <v>172</v>
      </c>
      <c r="E63" t="s">
        <v>79</v>
      </c>
      <c r="F63" t="s">
        <v>4313</v>
      </c>
      <c r="G63" t="s">
        <v>152</v>
      </c>
      <c r="H63" t="s">
        <v>174</v>
      </c>
      <c r="I63" t="s">
        <v>154</v>
      </c>
      <c r="J63">
        <v>20020709</v>
      </c>
    </row>
    <row r="64" spans="1:10">
      <c r="A64" t="s">
        <v>4314</v>
      </c>
      <c r="B64">
        <v>600510</v>
      </c>
      <c r="C64" t="s">
        <v>4315</v>
      </c>
      <c r="D64" t="s">
        <v>212</v>
      </c>
      <c r="E64" t="s">
        <v>84</v>
      </c>
      <c r="F64" t="s">
        <v>4316</v>
      </c>
      <c r="G64" t="s">
        <v>152</v>
      </c>
      <c r="H64" t="s">
        <v>174</v>
      </c>
      <c r="I64" t="s">
        <v>154</v>
      </c>
      <c r="J64">
        <v>20020618</v>
      </c>
    </row>
    <row r="65" spans="1:10">
      <c r="A65" t="s">
        <v>4317</v>
      </c>
      <c r="B65">
        <v>600533</v>
      </c>
      <c r="C65" t="s">
        <v>4318</v>
      </c>
      <c r="D65" t="s">
        <v>212</v>
      </c>
      <c r="E65" t="s">
        <v>79</v>
      </c>
      <c r="F65" t="s">
        <v>4319</v>
      </c>
      <c r="G65" t="s">
        <v>152</v>
      </c>
      <c r="H65" t="s">
        <v>174</v>
      </c>
      <c r="I65" t="s">
        <v>154</v>
      </c>
      <c r="J65">
        <v>20020328</v>
      </c>
    </row>
    <row r="66" spans="1:10">
      <c r="A66" t="s">
        <v>4320</v>
      </c>
      <c r="B66">
        <v>600565</v>
      </c>
      <c r="C66" t="s">
        <v>4321</v>
      </c>
      <c r="D66" t="s">
        <v>937</v>
      </c>
      <c r="E66" t="s">
        <v>84</v>
      </c>
      <c r="F66" t="s">
        <v>4322</v>
      </c>
      <c r="G66" t="s">
        <v>152</v>
      </c>
      <c r="H66" t="s">
        <v>174</v>
      </c>
      <c r="I66" t="s">
        <v>154</v>
      </c>
      <c r="J66">
        <v>20020723</v>
      </c>
    </row>
    <row r="67" spans="1:10">
      <c r="A67" t="s">
        <v>4323</v>
      </c>
      <c r="B67">
        <v>600603</v>
      </c>
      <c r="C67" t="s">
        <v>4324</v>
      </c>
      <c r="D67" t="s">
        <v>219</v>
      </c>
      <c r="E67" t="s">
        <v>79</v>
      </c>
      <c r="F67" t="s">
        <v>4325</v>
      </c>
      <c r="G67" t="s">
        <v>152</v>
      </c>
      <c r="H67" t="s">
        <v>174</v>
      </c>
      <c r="I67" t="s">
        <v>154</v>
      </c>
      <c r="J67">
        <v>19920113</v>
      </c>
    </row>
    <row r="68" spans="1:10">
      <c r="A68" t="s">
        <v>4326</v>
      </c>
      <c r="B68">
        <v>600604</v>
      </c>
      <c r="C68" t="s">
        <v>4327</v>
      </c>
      <c r="D68" t="s">
        <v>172</v>
      </c>
      <c r="E68" t="s">
        <v>93</v>
      </c>
      <c r="F68" t="s">
        <v>4328</v>
      </c>
      <c r="G68" t="s">
        <v>152</v>
      </c>
      <c r="H68" t="s">
        <v>174</v>
      </c>
      <c r="I68" t="s">
        <v>154</v>
      </c>
      <c r="J68">
        <v>19920327</v>
      </c>
    </row>
    <row r="69" spans="1:10">
      <c r="A69" t="s">
        <v>4329</v>
      </c>
      <c r="B69">
        <v>600605</v>
      </c>
      <c r="C69" t="s">
        <v>4330</v>
      </c>
      <c r="D69" t="s">
        <v>172</v>
      </c>
      <c r="E69" t="s">
        <v>70</v>
      </c>
      <c r="F69" t="s">
        <v>4331</v>
      </c>
      <c r="G69" t="s">
        <v>152</v>
      </c>
      <c r="H69" t="s">
        <v>174</v>
      </c>
      <c r="I69" t="s">
        <v>154</v>
      </c>
      <c r="J69">
        <v>19920327</v>
      </c>
    </row>
    <row r="70" spans="1:10">
      <c r="A70" t="s">
        <v>4332</v>
      </c>
      <c r="B70">
        <v>600622</v>
      </c>
      <c r="C70" t="s">
        <v>4333</v>
      </c>
      <c r="D70" t="s">
        <v>172</v>
      </c>
      <c r="E70" t="s">
        <v>79</v>
      </c>
      <c r="F70" t="s">
        <v>4334</v>
      </c>
      <c r="G70" t="s">
        <v>152</v>
      </c>
      <c r="H70" t="s">
        <v>174</v>
      </c>
      <c r="I70" t="s">
        <v>154</v>
      </c>
      <c r="J70">
        <v>19921203</v>
      </c>
    </row>
    <row r="71" spans="1:10">
      <c r="A71" t="s">
        <v>4335</v>
      </c>
      <c r="B71">
        <v>600638</v>
      </c>
      <c r="C71" t="s">
        <v>4336</v>
      </c>
      <c r="D71" t="s">
        <v>172</v>
      </c>
      <c r="E71" t="s">
        <v>79</v>
      </c>
      <c r="F71" t="s">
        <v>4337</v>
      </c>
      <c r="G71" t="s">
        <v>152</v>
      </c>
      <c r="H71" t="s">
        <v>174</v>
      </c>
      <c r="I71" t="s">
        <v>154</v>
      </c>
      <c r="J71">
        <v>19930326</v>
      </c>
    </row>
    <row r="72" spans="1:10">
      <c r="A72" t="s">
        <v>4338</v>
      </c>
      <c r="B72">
        <v>600639</v>
      </c>
      <c r="C72" t="s">
        <v>4339</v>
      </c>
      <c r="D72" t="s">
        <v>172</v>
      </c>
      <c r="E72" t="s">
        <v>93</v>
      </c>
      <c r="F72" t="s">
        <v>4340</v>
      </c>
      <c r="G72" t="s">
        <v>152</v>
      </c>
      <c r="H72" t="s">
        <v>174</v>
      </c>
      <c r="I72" t="s">
        <v>154</v>
      </c>
      <c r="J72">
        <v>19930326</v>
      </c>
    </row>
    <row r="73" spans="1:10">
      <c r="A73" t="s">
        <v>4341</v>
      </c>
      <c r="B73">
        <v>600641</v>
      </c>
      <c r="C73" t="s">
        <v>4342</v>
      </c>
      <c r="D73" t="s">
        <v>172</v>
      </c>
      <c r="E73" t="s">
        <v>79</v>
      </c>
      <c r="F73" t="s">
        <v>4343</v>
      </c>
      <c r="G73" t="s">
        <v>152</v>
      </c>
      <c r="H73" t="s">
        <v>174</v>
      </c>
      <c r="I73" t="s">
        <v>154</v>
      </c>
      <c r="J73">
        <v>19930407</v>
      </c>
    </row>
    <row r="74" spans="1:10">
      <c r="A74" t="s">
        <v>4344</v>
      </c>
      <c r="B74">
        <v>600648</v>
      </c>
      <c r="C74" t="s">
        <v>4345</v>
      </c>
      <c r="D74" t="s">
        <v>172</v>
      </c>
      <c r="E74" t="s">
        <v>93</v>
      </c>
      <c r="F74" t="s">
        <v>4346</v>
      </c>
      <c r="G74" t="s">
        <v>152</v>
      </c>
      <c r="H74" t="s">
        <v>174</v>
      </c>
      <c r="I74" t="s">
        <v>154</v>
      </c>
      <c r="J74">
        <v>19930504</v>
      </c>
    </row>
    <row r="75" spans="1:10">
      <c r="A75" t="s">
        <v>4347</v>
      </c>
      <c r="B75">
        <v>600649</v>
      </c>
      <c r="C75" t="s">
        <v>4348</v>
      </c>
      <c r="D75" t="s">
        <v>172</v>
      </c>
      <c r="E75" t="s">
        <v>79</v>
      </c>
      <c r="F75" t="s">
        <v>4349</v>
      </c>
      <c r="G75" t="s">
        <v>152</v>
      </c>
      <c r="H75" t="s">
        <v>174</v>
      </c>
      <c r="I75" t="s">
        <v>154</v>
      </c>
      <c r="J75">
        <v>19930518</v>
      </c>
    </row>
    <row r="76" spans="1:10">
      <c r="A76" t="s">
        <v>4350</v>
      </c>
      <c r="B76">
        <v>600657</v>
      </c>
      <c r="C76" t="s">
        <v>4351</v>
      </c>
      <c r="D76" t="s">
        <v>164</v>
      </c>
      <c r="E76" t="s">
        <v>84</v>
      </c>
      <c r="F76" t="s">
        <v>4352</v>
      </c>
      <c r="G76" t="s">
        <v>152</v>
      </c>
      <c r="H76" t="s">
        <v>174</v>
      </c>
      <c r="I76" t="s">
        <v>154</v>
      </c>
      <c r="J76">
        <v>19930524</v>
      </c>
    </row>
    <row r="77" spans="1:10">
      <c r="A77" t="s">
        <v>4353</v>
      </c>
      <c r="B77">
        <v>600658</v>
      </c>
      <c r="C77" t="s">
        <v>4354</v>
      </c>
      <c r="D77" t="s">
        <v>164</v>
      </c>
      <c r="E77" t="s">
        <v>93</v>
      </c>
      <c r="F77" t="s">
        <v>4355</v>
      </c>
      <c r="G77" t="s">
        <v>152</v>
      </c>
      <c r="H77" t="s">
        <v>174</v>
      </c>
      <c r="I77" t="s">
        <v>154</v>
      </c>
      <c r="J77">
        <v>19930524</v>
      </c>
    </row>
    <row r="78" spans="1:10">
      <c r="A78" t="s">
        <v>4356</v>
      </c>
      <c r="B78">
        <v>600663</v>
      </c>
      <c r="C78" t="s">
        <v>4357</v>
      </c>
      <c r="D78" t="s">
        <v>172</v>
      </c>
      <c r="E78" t="s">
        <v>93</v>
      </c>
      <c r="F78" t="s">
        <v>4358</v>
      </c>
      <c r="G78" t="s">
        <v>152</v>
      </c>
      <c r="H78" t="s">
        <v>174</v>
      </c>
      <c r="I78" t="s">
        <v>154</v>
      </c>
      <c r="J78">
        <v>19930628</v>
      </c>
    </row>
    <row r="79" spans="1:10">
      <c r="A79" t="s">
        <v>4359</v>
      </c>
      <c r="B79">
        <v>600665</v>
      </c>
      <c r="C79" t="s">
        <v>4360</v>
      </c>
      <c r="D79" t="s">
        <v>419</v>
      </c>
      <c r="E79" t="s">
        <v>84</v>
      </c>
      <c r="F79" t="s">
        <v>4361</v>
      </c>
      <c r="G79" t="s">
        <v>152</v>
      </c>
      <c r="H79" t="s">
        <v>174</v>
      </c>
      <c r="I79" t="s">
        <v>154</v>
      </c>
      <c r="J79">
        <v>19930709</v>
      </c>
    </row>
    <row r="80" spans="1:10">
      <c r="A80" t="s">
        <v>4362</v>
      </c>
      <c r="B80">
        <v>600675</v>
      </c>
      <c r="C80" t="s">
        <v>4363</v>
      </c>
      <c r="D80" t="s">
        <v>172</v>
      </c>
      <c r="E80" t="s">
        <v>79</v>
      </c>
      <c r="F80" t="s">
        <v>4364</v>
      </c>
      <c r="G80" t="s">
        <v>152</v>
      </c>
      <c r="H80" t="s">
        <v>174</v>
      </c>
      <c r="I80" t="s">
        <v>154</v>
      </c>
      <c r="J80">
        <v>19930924</v>
      </c>
    </row>
    <row r="81" spans="1:10">
      <c r="A81" t="s">
        <v>4365</v>
      </c>
      <c r="B81">
        <v>600683</v>
      </c>
      <c r="C81" t="s">
        <v>4366</v>
      </c>
      <c r="D81" t="s">
        <v>423</v>
      </c>
      <c r="E81" t="s">
        <v>79</v>
      </c>
      <c r="F81" t="s">
        <v>4367</v>
      </c>
      <c r="G81" t="s">
        <v>152</v>
      </c>
      <c r="H81" t="s">
        <v>174</v>
      </c>
      <c r="I81" t="s">
        <v>154</v>
      </c>
      <c r="J81">
        <v>19931025</v>
      </c>
    </row>
    <row r="82" spans="1:10">
      <c r="A82" t="s">
        <v>4368</v>
      </c>
      <c r="B82">
        <v>600684</v>
      </c>
      <c r="C82" t="s">
        <v>4369</v>
      </c>
      <c r="D82" t="s">
        <v>223</v>
      </c>
      <c r="E82" t="s">
        <v>84</v>
      </c>
      <c r="F82" t="s">
        <v>4370</v>
      </c>
      <c r="G82" t="s">
        <v>152</v>
      </c>
      <c r="H82" t="s">
        <v>174</v>
      </c>
      <c r="I82" t="s">
        <v>154</v>
      </c>
      <c r="J82">
        <v>19931028</v>
      </c>
    </row>
    <row r="83" spans="1:10">
      <c r="A83" t="s">
        <v>4371</v>
      </c>
      <c r="B83">
        <v>600692</v>
      </c>
      <c r="C83" t="s">
        <v>4372</v>
      </c>
      <c r="D83" t="s">
        <v>172</v>
      </c>
      <c r="E83" t="s">
        <v>70</v>
      </c>
      <c r="F83" t="s">
        <v>4373</v>
      </c>
      <c r="G83" t="s">
        <v>152</v>
      </c>
      <c r="H83" t="s">
        <v>174</v>
      </c>
      <c r="I83" t="s">
        <v>154</v>
      </c>
      <c r="J83">
        <v>19931119</v>
      </c>
    </row>
    <row r="84" spans="1:10">
      <c r="A84" t="s">
        <v>4374</v>
      </c>
      <c r="B84">
        <v>600708</v>
      </c>
      <c r="C84" t="s">
        <v>4375</v>
      </c>
      <c r="D84" t="s">
        <v>172</v>
      </c>
      <c r="E84" t="s">
        <v>84</v>
      </c>
      <c r="F84" t="s">
        <v>4376</v>
      </c>
      <c r="G84" t="s">
        <v>152</v>
      </c>
      <c r="H84" t="s">
        <v>174</v>
      </c>
      <c r="I84" t="s">
        <v>154</v>
      </c>
      <c r="J84">
        <v>19960606</v>
      </c>
    </row>
    <row r="85" spans="1:10">
      <c r="A85" t="s">
        <v>4377</v>
      </c>
      <c r="B85">
        <v>600716</v>
      </c>
      <c r="C85" t="s">
        <v>4378</v>
      </c>
      <c r="D85" t="s">
        <v>212</v>
      </c>
      <c r="E85" t="s">
        <v>79</v>
      </c>
      <c r="F85" t="s">
        <v>4379</v>
      </c>
      <c r="G85" t="s">
        <v>152</v>
      </c>
      <c r="H85" t="s">
        <v>174</v>
      </c>
      <c r="I85" t="s">
        <v>154</v>
      </c>
      <c r="J85">
        <v>19960702</v>
      </c>
    </row>
    <row r="86" spans="1:10">
      <c r="A86" t="s">
        <v>4380</v>
      </c>
      <c r="B86">
        <v>600736</v>
      </c>
      <c r="C86" t="s">
        <v>4381</v>
      </c>
      <c r="D86" t="s">
        <v>212</v>
      </c>
      <c r="E86" t="s">
        <v>93</v>
      </c>
      <c r="F86" t="s">
        <v>4382</v>
      </c>
      <c r="G86" t="s">
        <v>152</v>
      </c>
      <c r="H86" t="s">
        <v>174</v>
      </c>
      <c r="I86" t="s">
        <v>154</v>
      </c>
      <c r="J86">
        <v>19960815</v>
      </c>
    </row>
    <row r="87" spans="1:10">
      <c r="A87" t="s">
        <v>4383</v>
      </c>
      <c r="B87">
        <v>600743</v>
      </c>
      <c r="C87" t="s">
        <v>4384</v>
      </c>
      <c r="D87" t="s">
        <v>164</v>
      </c>
      <c r="E87" t="s">
        <v>79</v>
      </c>
      <c r="F87" t="s">
        <v>4385</v>
      </c>
      <c r="G87" t="s">
        <v>152</v>
      </c>
      <c r="H87" t="s">
        <v>174</v>
      </c>
      <c r="I87" t="s">
        <v>154</v>
      </c>
      <c r="J87">
        <v>19960909</v>
      </c>
    </row>
    <row r="88" spans="1:10">
      <c r="A88" t="s">
        <v>4386</v>
      </c>
      <c r="B88">
        <v>600748</v>
      </c>
      <c r="C88" t="s">
        <v>4387</v>
      </c>
      <c r="D88" t="s">
        <v>172</v>
      </c>
      <c r="E88" t="s">
        <v>84</v>
      </c>
      <c r="F88" t="s">
        <v>4388</v>
      </c>
      <c r="G88" t="s">
        <v>152</v>
      </c>
      <c r="H88" t="s">
        <v>174</v>
      </c>
      <c r="I88" t="s">
        <v>154</v>
      </c>
      <c r="J88">
        <v>19960925</v>
      </c>
    </row>
    <row r="89" spans="1:10">
      <c r="A89" t="s">
        <v>4389</v>
      </c>
      <c r="B89">
        <v>600773</v>
      </c>
      <c r="C89" t="s">
        <v>4390</v>
      </c>
      <c r="D89" t="s">
        <v>1001</v>
      </c>
      <c r="E89" t="s">
        <v>79</v>
      </c>
      <c r="F89" t="s">
        <v>4391</v>
      </c>
      <c r="G89" t="s">
        <v>152</v>
      </c>
      <c r="H89" t="s">
        <v>174</v>
      </c>
      <c r="I89" t="s">
        <v>154</v>
      </c>
      <c r="J89">
        <v>19961108</v>
      </c>
    </row>
    <row r="90" spans="1:10">
      <c r="A90" t="s">
        <v>4392</v>
      </c>
      <c r="B90">
        <v>600791</v>
      </c>
      <c r="C90" t="s">
        <v>4393</v>
      </c>
      <c r="D90" t="s">
        <v>164</v>
      </c>
      <c r="E90" t="s">
        <v>84</v>
      </c>
      <c r="F90" t="s">
        <v>4394</v>
      </c>
      <c r="G90" t="s">
        <v>152</v>
      </c>
      <c r="H90" t="s">
        <v>174</v>
      </c>
      <c r="I90" t="s">
        <v>154</v>
      </c>
      <c r="J90">
        <v>19970130</v>
      </c>
    </row>
    <row r="91" spans="1:10">
      <c r="A91" t="s">
        <v>4395</v>
      </c>
      <c r="B91">
        <v>600823</v>
      </c>
      <c r="C91" t="s">
        <v>4396</v>
      </c>
      <c r="D91" t="s">
        <v>172</v>
      </c>
      <c r="E91" t="s">
        <v>84</v>
      </c>
      <c r="F91" t="s">
        <v>4397</v>
      </c>
      <c r="G91" t="s">
        <v>152</v>
      </c>
      <c r="H91" t="s">
        <v>174</v>
      </c>
      <c r="I91" t="s">
        <v>154</v>
      </c>
      <c r="J91">
        <v>19940204</v>
      </c>
    </row>
    <row r="92" spans="1:10">
      <c r="A92" t="s">
        <v>4398</v>
      </c>
      <c r="B92">
        <v>600848</v>
      </c>
      <c r="C92" t="s">
        <v>4399</v>
      </c>
      <c r="D92" t="s">
        <v>172</v>
      </c>
      <c r="E92" t="s">
        <v>93</v>
      </c>
      <c r="F92" t="s">
        <v>4400</v>
      </c>
      <c r="G92" t="s">
        <v>152</v>
      </c>
      <c r="H92" t="s">
        <v>174</v>
      </c>
      <c r="I92" t="s">
        <v>154</v>
      </c>
      <c r="J92">
        <v>19940324</v>
      </c>
    </row>
    <row r="93" spans="1:10">
      <c r="A93" t="s">
        <v>4401</v>
      </c>
      <c r="B93">
        <v>600895</v>
      </c>
      <c r="C93" t="s">
        <v>4402</v>
      </c>
      <c r="D93" t="s">
        <v>172</v>
      </c>
      <c r="E93" t="s">
        <v>93</v>
      </c>
      <c r="F93" t="s">
        <v>4403</v>
      </c>
      <c r="G93" t="s">
        <v>152</v>
      </c>
      <c r="H93" t="s">
        <v>174</v>
      </c>
      <c r="I93" t="s">
        <v>154</v>
      </c>
      <c r="J93">
        <v>19960422</v>
      </c>
    </row>
    <row r="94" spans="1:10">
      <c r="A94" t="s">
        <v>4404</v>
      </c>
      <c r="B94">
        <v>601155</v>
      </c>
      <c r="C94" t="s">
        <v>4405</v>
      </c>
      <c r="D94" t="s">
        <v>212</v>
      </c>
      <c r="E94" t="s">
        <v>79</v>
      </c>
      <c r="F94" t="s">
        <v>4406</v>
      </c>
      <c r="G94" t="s">
        <v>152</v>
      </c>
      <c r="H94" t="s">
        <v>174</v>
      </c>
      <c r="I94" t="s">
        <v>154</v>
      </c>
      <c r="J94">
        <v>20151204</v>
      </c>
    </row>
    <row r="95" spans="1:10">
      <c r="A95" t="s">
        <v>4407</v>
      </c>
      <c r="B95">
        <v>601512</v>
      </c>
      <c r="C95" t="s">
        <v>4408</v>
      </c>
      <c r="D95" t="s">
        <v>212</v>
      </c>
      <c r="E95" t="s">
        <v>93</v>
      </c>
      <c r="F95" t="s">
        <v>4409</v>
      </c>
      <c r="G95" t="s">
        <v>152</v>
      </c>
      <c r="H95" t="s">
        <v>174</v>
      </c>
      <c r="I95" t="s">
        <v>154</v>
      </c>
      <c r="J95">
        <v>20191220</v>
      </c>
    </row>
    <row r="96" spans="1:10">
      <c r="A96" t="s">
        <v>4410</v>
      </c>
      <c r="B96">
        <v>601588</v>
      </c>
      <c r="C96" t="s">
        <v>4411</v>
      </c>
      <c r="D96" t="s">
        <v>164</v>
      </c>
      <c r="E96" t="s">
        <v>79</v>
      </c>
      <c r="F96" t="s">
        <v>4412</v>
      </c>
      <c r="G96" t="s">
        <v>152</v>
      </c>
      <c r="H96" t="s">
        <v>174</v>
      </c>
      <c r="I96" t="s">
        <v>154</v>
      </c>
      <c r="J96">
        <v>20061016</v>
      </c>
    </row>
    <row r="97" spans="1:10">
      <c r="A97" t="s">
        <v>4413</v>
      </c>
      <c r="B97">
        <v>603506</v>
      </c>
      <c r="C97" t="s">
        <v>4414</v>
      </c>
      <c r="D97" t="s">
        <v>423</v>
      </c>
      <c r="E97" t="s">
        <v>70</v>
      </c>
      <c r="F97" t="s">
        <v>4415</v>
      </c>
      <c r="G97" t="s">
        <v>152</v>
      </c>
      <c r="H97" t="s">
        <v>174</v>
      </c>
      <c r="I97" t="s">
        <v>154</v>
      </c>
      <c r="J97">
        <v>20180201</v>
      </c>
    </row>
    <row r="98" spans="1:10">
      <c r="A98" t="s">
        <v>4416</v>
      </c>
      <c r="B98">
        <v>603682</v>
      </c>
      <c r="C98" t="s">
        <v>4417</v>
      </c>
      <c r="D98" t="s">
        <v>172</v>
      </c>
      <c r="E98" t="s">
        <v>70</v>
      </c>
      <c r="F98" t="s">
        <v>4418</v>
      </c>
      <c r="G98" t="s">
        <v>152</v>
      </c>
      <c r="H98" t="s">
        <v>174</v>
      </c>
      <c r="I98" t="s">
        <v>154</v>
      </c>
      <c r="J98">
        <v>20200421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workbookViewId="0">
      <selection activeCell="L2" sqref="L2:M3"/>
    </sheetView>
  </sheetViews>
  <sheetFormatPr defaultColWidth="9" defaultRowHeight="13.5"/>
  <cols>
    <col min="1" max="1" width="13.3" customWidth="1"/>
    <col min="12" max="12" width="14.625" customWidth="1"/>
  </cols>
  <sheetData>
    <row r="1" spans="1:10">
      <c r="A1" t="s">
        <v>4419</v>
      </c>
      <c r="B1">
        <v>151</v>
      </c>
      <c r="C1" t="s">
        <v>4420</v>
      </c>
      <c r="D1" t="s">
        <v>164</v>
      </c>
      <c r="E1" t="s">
        <v>71</v>
      </c>
      <c r="F1" t="s">
        <v>4421</v>
      </c>
      <c r="G1" t="s">
        <v>152</v>
      </c>
      <c r="H1" t="s">
        <v>153</v>
      </c>
      <c r="I1" t="s">
        <v>154</v>
      </c>
      <c r="J1">
        <v>20000906</v>
      </c>
    </row>
    <row r="2" spans="1:13">
      <c r="A2" t="s">
        <v>4422</v>
      </c>
      <c r="B2">
        <v>417</v>
      </c>
      <c r="C2" t="s">
        <v>4423</v>
      </c>
      <c r="D2" t="s">
        <v>160</v>
      </c>
      <c r="E2" t="s">
        <v>22</v>
      </c>
      <c r="F2" t="s">
        <v>4424</v>
      </c>
      <c r="G2" t="s">
        <v>152</v>
      </c>
      <c r="H2" t="s">
        <v>153</v>
      </c>
      <c r="I2" t="s">
        <v>154</v>
      </c>
      <c r="J2">
        <v>19960812</v>
      </c>
      <c r="L2" t="s">
        <v>4129</v>
      </c>
      <c r="M2">
        <v>63</v>
      </c>
    </row>
    <row r="3" spans="1:13">
      <c r="A3" t="s">
        <v>4425</v>
      </c>
      <c r="B3">
        <v>419</v>
      </c>
      <c r="C3" t="s">
        <v>4426</v>
      </c>
      <c r="D3" t="s">
        <v>168</v>
      </c>
      <c r="E3" t="s">
        <v>22</v>
      </c>
      <c r="F3" t="s">
        <v>4427</v>
      </c>
      <c r="G3" t="s">
        <v>152</v>
      </c>
      <c r="H3" t="s">
        <v>153</v>
      </c>
      <c r="I3" t="s">
        <v>154</v>
      </c>
      <c r="J3">
        <v>19960816</v>
      </c>
      <c r="L3" t="s">
        <v>4133</v>
      </c>
      <c r="M3" s="2">
        <f ca="1">CEILING(RAND()*M2,1)</f>
        <v>40</v>
      </c>
    </row>
    <row r="4" spans="1:10">
      <c r="A4" t="s">
        <v>4428</v>
      </c>
      <c r="B4">
        <v>501</v>
      </c>
      <c r="C4" t="s">
        <v>4429</v>
      </c>
      <c r="D4" t="s">
        <v>316</v>
      </c>
      <c r="E4" t="s">
        <v>22</v>
      </c>
      <c r="F4" t="s">
        <v>4430</v>
      </c>
      <c r="G4" t="s">
        <v>152</v>
      </c>
      <c r="H4" t="s">
        <v>153</v>
      </c>
      <c r="I4" t="s">
        <v>154</v>
      </c>
      <c r="J4">
        <v>19921120</v>
      </c>
    </row>
    <row r="5" spans="1:10">
      <c r="A5" t="s">
        <v>4431</v>
      </c>
      <c r="B5">
        <v>564</v>
      </c>
      <c r="C5" t="s">
        <v>4432</v>
      </c>
      <c r="D5" t="s">
        <v>419</v>
      </c>
      <c r="E5" t="s">
        <v>22</v>
      </c>
      <c r="F5" t="s">
        <v>4433</v>
      </c>
      <c r="G5" t="s">
        <v>152</v>
      </c>
      <c r="H5" t="s">
        <v>153</v>
      </c>
      <c r="I5" t="s">
        <v>154</v>
      </c>
      <c r="J5">
        <v>19940110</v>
      </c>
    </row>
    <row r="6" spans="1:10">
      <c r="A6" t="s">
        <v>4434</v>
      </c>
      <c r="B6">
        <v>622</v>
      </c>
      <c r="C6" t="s">
        <v>4435</v>
      </c>
      <c r="D6" t="s">
        <v>168</v>
      </c>
      <c r="E6" t="s">
        <v>85</v>
      </c>
      <c r="F6" t="s">
        <v>4436</v>
      </c>
      <c r="G6" t="s">
        <v>152</v>
      </c>
      <c r="H6" t="s">
        <v>153</v>
      </c>
      <c r="I6" t="s">
        <v>154</v>
      </c>
      <c r="J6">
        <v>19961107</v>
      </c>
    </row>
    <row r="7" spans="1:10">
      <c r="A7" t="s">
        <v>4437</v>
      </c>
      <c r="B7">
        <v>626</v>
      </c>
      <c r="C7" t="s">
        <v>4438</v>
      </c>
      <c r="D7" t="s">
        <v>212</v>
      </c>
      <c r="E7" t="s">
        <v>71</v>
      </c>
      <c r="F7" t="s">
        <v>4439</v>
      </c>
      <c r="G7" t="s">
        <v>152</v>
      </c>
      <c r="H7" t="s">
        <v>153</v>
      </c>
      <c r="I7" t="s">
        <v>154</v>
      </c>
      <c r="J7">
        <v>19961128</v>
      </c>
    </row>
    <row r="8" spans="1:10">
      <c r="A8" t="s">
        <v>4440</v>
      </c>
      <c r="B8">
        <v>652</v>
      </c>
      <c r="C8" t="s">
        <v>4441</v>
      </c>
      <c r="D8" t="s">
        <v>576</v>
      </c>
      <c r="E8" t="s">
        <v>85</v>
      </c>
      <c r="F8" t="s">
        <v>4442</v>
      </c>
      <c r="G8" t="s">
        <v>152</v>
      </c>
      <c r="H8" t="s">
        <v>153</v>
      </c>
      <c r="I8" t="s">
        <v>154</v>
      </c>
      <c r="J8">
        <v>19961128</v>
      </c>
    </row>
    <row r="9" spans="1:10">
      <c r="A9" t="s">
        <v>4443</v>
      </c>
      <c r="B9">
        <v>679</v>
      </c>
      <c r="C9" t="s">
        <v>4444</v>
      </c>
      <c r="D9" t="s">
        <v>236</v>
      </c>
      <c r="E9" t="s">
        <v>22</v>
      </c>
      <c r="F9" t="s">
        <v>4445</v>
      </c>
      <c r="G9" t="s">
        <v>152</v>
      </c>
      <c r="H9" t="s">
        <v>153</v>
      </c>
      <c r="I9" t="s">
        <v>154</v>
      </c>
      <c r="J9">
        <v>19970124</v>
      </c>
    </row>
    <row r="10" spans="1:10">
      <c r="A10" t="s">
        <v>4446</v>
      </c>
      <c r="B10">
        <v>701</v>
      </c>
      <c r="C10" t="s">
        <v>4447</v>
      </c>
      <c r="D10" t="s">
        <v>150</v>
      </c>
      <c r="E10" t="s">
        <v>71</v>
      </c>
      <c r="F10" t="s">
        <v>4448</v>
      </c>
      <c r="G10" t="s">
        <v>152</v>
      </c>
      <c r="H10" t="s">
        <v>153</v>
      </c>
      <c r="I10" t="s">
        <v>154</v>
      </c>
      <c r="J10">
        <v>19970226</v>
      </c>
    </row>
    <row r="11" spans="1:10">
      <c r="A11" t="s">
        <v>4449</v>
      </c>
      <c r="B11">
        <v>715</v>
      </c>
      <c r="C11" t="s">
        <v>4450</v>
      </c>
      <c r="D11" t="s">
        <v>236</v>
      </c>
      <c r="E11" t="s">
        <v>22</v>
      </c>
      <c r="F11" t="s">
        <v>4451</v>
      </c>
      <c r="G11" t="s">
        <v>152</v>
      </c>
      <c r="H11" t="s">
        <v>153</v>
      </c>
      <c r="I11" t="s">
        <v>154</v>
      </c>
      <c r="J11">
        <v>19970508</v>
      </c>
    </row>
    <row r="12" spans="1:10">
      <c r="A12" t="s">
        <v>4452</v>
      </c>
      <c r="B12">
        <v>759</v>
      </c>
      <c r="C12" t="s">
        <v>4453</v>
      </c>
      <c r="D12" t="s">
        <v>316</v>
      </c>
      <c r="E12" t="s">
        <v>54</v>
      </c>
      <c r="F12" t="s">
        <v>4454</v>
      </c>
      <c r="G12" t="s">
        <v>152</v>
      </c>
      <c r="H12" t="s">
        <v>153</v>
      </c>
      <c r="I12" t="s">
        <v>154</v>
      </c>
      <c r="J12">
        <v>19970519</v>
      </c>
    </row>
    <row r="13" spans="1:10">
      <c r="A13" t="s">
        <v>4455</v>
      </c>
      <c r="B13">
        <v>785</v>
      </c>
      <c r="C13" t="s">
        <v>4456</v>
      </c>
      <c r="D13" t="s">
        <v>316</v>
      </c>
      <c r="E13" t="s">
        <v>22</v>
      </c>
      <c r="F13" t="s">
        <v>4457</v>
      </c>
      <c r="G13" t="s">
        <v>152</v>
      </c>
      <c r="H13" t="s">
        <v>153</v>
      </c>
      <c r="I13" t="s">
        <v>154</v>
      </c>
      <c r="J13">
        <v>19970711</v>
      </c>
    </row>
    <row r="14" spans="1:10">
      <c r="A14" t="s">
        <v>4458</v>
      </c>
      <c r="B14">
        <v>1298</v>
      </c>
      <c r="C14" t="s">
        <v>4459</v>
      </c>
      <c r="D14" t="s">
        <v>243</v>
      </c>
      <c r="E14" t="s">
        <v>85</v>
      </c>
      <c r="F14" t="s">
        <v>4460</v>
      </c>
      <c r="G14" t="s">
        <v>152</v>
      </c>
      <c r="H14" t="s">
        <v>153</v>
      </c>
      <c r="I14" t="s">
        <v>154</v>
      </c>
      <c r="J14">
        <v>20221031</v>
      </c>
    </row>
    <row r="15" spans="1:10">
      <c r="A15" t="s">
        <v>4461</v>
      </c>
      <c r="B15">
        <v>1316</v>
      </c>
      <c r="C15" t="s">
        <v>4462</v>
      </c>
      <c r="D15" t="s">
        <v>243</v>
      </c>
      <c r="E15" t="s">
        <v>85</v>
      </c>
      <c r="F15" t="s">
        <v>4463</v>
      </c>
      <c r="G15" t="s">
        <v>152</v>
      </c>
      <c r="H15" t="s">
        <v>153</v>
      </c>
      <c r="I15" t="s">
        <v>154</v>
      </c>
      <c r="J15">
        <v>20220624</v>
      </c>
    </row>
    <row r="16" spans="1:10">
      <c r="A16" t="s">
        <v>4464</v>
      </c>
      <c r="B16">
        <v>600058</v>
      </c>
      <c r="C16" t="s">
        <v>4465</v>
      </c>
      <c r="D16" t="s">
        <v>164</v>
      </c>
      <c r="E16" t="s">
        <v>71</v>
      </c>
      <c r="F16" t="s">
        <v>4466</v>
      </c>
      <c r="G16" t="s">
        <v>152</v>
      </c>
      <c r="H16" t="s">
        <v>174</v>
      </c>
      <c r="I16" t="s">
        <v>154</v>
      </c>
      <c r="J16">
        <v>19970528</v>
      </c>
    </row>
    <row r="17" spans="1:10">
      <c r="A17" t="s">
        <v>4467</v>
      </c>
      <c r="B17">
        <v>600128</v>
      </c>
      <c r="C17" t="s">
        <v>4468</v>
      </c>
      <c r="D17" t="s">
        <v>212</v>
      </c>
      <c r="E17" t="s">
        <v>71</v>
      </c>
      <c r="F17" t="s">
        <v>4469</v>
      </c>
      <c r="G17" t="s">
        <v>152</v>
      </c>
      <c r="H17" t="s">
        <v>174</v>
      </c>
      <c r="I17" t="s">
        <v>154</v>
      </c>
      <c r="J17">
        <v>19970901</v>
      </c>
    </row>
    <row r="18" spans="1:10">
      <c r="A18" s="3" t="s">
        <v>4470</v>
      </c>
      <c r="B18" s="3">
        <v>600250</v>
      </c>
      <c r="C18" s="3" t="s">
        <v>4471</v>
      </c>
      <c r="D18" s="3" t="s">
        <v>212</v>
      </c>
      <c r="E18" s="3" t="s">
        <v>71</v>
      </c>
      <c r="F18" s="3" t="s">
        <v>4472</v>
      </c>
      <c r="G18" s="3" t="s">
        <v>152</v>
      </c>
      <c r="H18" s="3" t="s">
        <v>174</v>
      </c>
      <c r="I18" s="3" t="s">
        <v>154</v>
      </c>
      <c r="J18" s="3">
        <v>20010306</v>
      </c>
    </row>
    <row r="19" spans="1:10">
      <c r="A19" t="s">
        <v>4473</v>
      </c>
      <c r="B19">
        <v>600278</v>
      </c>
      <c r="C19" t="s">
        <v>4474</v>
      </c>
      <c r="D19" t="s">
        <v>172</v>
      </c>
      <c r="E19" t="s">
        <v>71</v>
      </c>
      <c r="F19" t="s">
        <v>4475</v>
      </c>
      <c r="G19" t="s">
        <v>152</v>
      </c>
      <c r="H19" t="s">
        <v>174</v>
      </c>
      <c r="I19" t="s">
        <v>154</v>
      </c>
      <c r="J19">
        <v>20000712</v>
      </c>
    </row>
    <row r="20" spans="1:10">
      <c r="A20" t="s">
        <v>4476</v>
      </c>
      <c r="B20">
        <v>600280</v>
      </c>
      <c r="C20" t="s">
        <v>4477</v>
      </c>
      <c r="D20" t="s">
        <v>212</v>
      </c>
      <c r="E20" t="s">
        <v>22</v>
      </c>
      <c r="F20" t="s">
        <v>4478</v>
      </c>
      <c r="G20" t="s">
        <v>152</v>
      </c>
      <c r="H20" t="s">
        <v>174</v>
      </c>
      <c r="I20" t="s">
        <v>154</v>
      </c>
      <c r="J20">
        <v>20000926</v>
      </c>
    </row>
    <row r="21" spans="1:10">
      <c r="A21" t="s">
        <v>4479</v>
      </c>
      <c r="B21">
        <v>600287</v>
      </c>
      <c r="C21" t="s">
        <v>4480</v>
      </c>
      <c r="D21" t="s">
        <v>212</v>
      </c>
      <c r="E21" t="s">
        <v>71</v>
      </c>
      <c r="F21" t="s">
        <v>4481</v>
      </c>
      <c r="G21" t="s">
        <v>152</v>
      </c>
      <c r="H21" t="s">
        <v>174</v>
      </c>
      <c r="I21" t="s">
        <v>154</v>
      </c>
      <c r="J21">
        <v>20000901</v>
      </c>
    </row>
    <row r="22" spans="1:10">
      <c r="A22" t="s">
        <v>4482</v>
      </c>
      <c r="B22">
        <v>600301</v>
      </c>
      <c r="C22" t="s">
        <v>4483</v>
      </c>
      <c r="D22" t="s">
        <v>345</v>
      </c>
      <c r="E22" t="s">
        <v>71</v>
      </c>
      <c r="F22" t="s">
        <v>4484</v>
      </c>
      <c r="G22" t="s">
        <v>152</v>
      </c>
      <c r="H22" t="s">
        <v>174</v>
      </c>
      <c r="I22" t="s">
        <v>154</v>
      </c>
      <c r="J22">
        <v>20000712</v>
      </c>
    </row>
    <row r="23" spans="1:10">
      <c r="A23" t="s">
        <v>4485</v>
      </c>
      <c r="B23">
        <v>600306</v>
      </c>
      <c r="C23" t="s">
        <v>4486</v>
      </c>
      <c r="D23" t="s">
        <v>236</v>
      </c>
      <c r="E23" t="s">
        <v>22</v>
      </c>
      <c r="F23" t="s">
        <v>4487</v>
      </c>
      <c r="G23" t="s">
        <v>152</v>
      </c>
      <c r="H23" t="s">
        <v>174</v>
      </c>
      <c r="I23" t="s">
        <v>154</v>
      </c>
      <c r="J23">
        <v>20001226</v>
      </c>
    </row>
    <row r="24" spans="1:10">
      <c r="A24" t="s">
        <v>4488</v>
      </c>
      <c r="B24">
        <v>600361</v>
      </c>
      <c r="C24" t="s">
        <v>4489</v>
      </c>
      <c r="D24" t="s">
        <v>164</v>
      </c>
      <c r="E24" t="s">
        <v>54</v>
      </c>
      <c r="F24" t="s">
        <v>4490</v>
      </c>
      <c r="G24" t="s">
        <v>152</v>
      </c>
      <c r="H24" t="s">
        <v>174</v>
      </c>
      <c r="I24" t="s">
        <v>154</v>
      </c>
      <c r="J24">
        <v>20011129</v>
      </c>
    </row>
    <row r="25" spans="1:10">
      <c r="A25" t="s">
        <v>4491</v>
      </c>
      <c r="B25">
        <v>600608</v>
      </c>
      <c r="C25" t="s">
        <v>4492</v>
      </c>
      <c r="D25" t="s">
        <v>172</v>
      </c>
      <c r="E25" t="s">
        <v>71</v>
      </c>
      <c r="F25" t="s">
        <v>4493</v>
      </c>
      <c r="G25" t="s">
        <v>152</v>
      </c>
      <c r="H25" t="s">
        <v>174</v>
      </c>
      <c r="I25" t="s">
        <v>154</v>
      </c>
      <c r="J25">
        <v>19920327</v>
      </c>
    </row>
    <row r="26" spans="1:10">
      <c r="A26" t="s">
        <v>4494</v>
      </c>
      <c r="B26">
        <v>600628</v>
      </c>
      <c r="C26" t="s">
        <v>4495</v>
      </c>
      <c r="D26" t="s">
        <v>172</v>
      </c>
      <c r="E26" t="s">
        <v>22</v>
      </c>
      <c r="F26" t="s">
        <v>4496</v>
      </c>
      <c r="G26" t="s">
        <v>152</v>
      </c>
      <c r="H26" t="s">
        <v>174</v>
      </c>
      <c r="I26" t="s">
        <v>154</v>
      </c>
      <c r="J26">
        <v>19930119</v>
      </c>
    </row>
    <row r="27" spans="1:10">
      <c r="A27" t="s">
        <v>4497</v>
      </c>
      <c r="B27">
        <v>600655</v>
      </c>
      <c r="C27" t="s">
        <v>4498</v>
      </c>
      <c r="D27" t="s">
        <v>172</v>
      </c>
      <c r="E27" t="s">
        <v>22</v>
      </c>
      <c r="F27" t="s">
        <v>4499</v>
      </c>
      <c r="G27" t="s">
        <v>152</v>
      </c>
      <c r="H27" t="s">
        <v>174</v>
      </c>
      <c r="I27" t="s">
        <v>154</v>
      </c>
      <c r="J27">
        <v>19920902</v>
      </c>
    </row>
    <row r="28" spans="1:10">
      <c r="A28" t="s">
        <v>4500</v>
      </c>
      <c r="B28">
        <v>600693</v>
      </c>
      <c r="C28" t="s">
        <v>4501</v>
      </c>
      <c r="D28" t="s">
        <v>150</v>
      </c>
      <c r="E28" t="s">
        <v>22</v>
      </c>
      <c r="F28" t="s">
        <v>4502</v>
      </c>
      <c r="G28" t="s">
        <v>152</v>
      </c>
      <c r="H28" t="s">
        <v>174</v>
      </c>
      <c r="I28" t="s">
        <v>154</v>
      </c>
      <c r="J28">
        <v>19931122</v>
      </c>
    </row>
    <row r="29" spans="1:10">
      <c r="A29" t="s">
        <v>4503</v>
      </c>
      <c r="B29">
        <v>600694</v>
      </c>
      <c r="C29" t="s">
        <v>4504</v>
      </c>
      <c r="D29" t="s">
        <v>236</v>
      </c>
      <c r="E29" t="s">
        <v>22</v>
      </c>
      <c r="F29" t="s">
        <v>4505</v>
      </c>
      <c r="G29" t="s">
        <v>152</v>
      </c>
      <c r="H29" t="s">
        <v>174</v>
      </c>
      <c r="I29" t="s">
        <v>154</v>
      </c>
      <c r="J29">
        <v>19931122</v>
      </c>
    </row>
    <row r="30" spans="1:10">
      <c r="A30" t="s">
        <v>4506</v>
      </c>
      <c r="B30">
        <v>600697</v>
      </c>
      <c r="C30" t="s">
        <v>4507</v>
      </c>
      <c r="D30" t="s">
        <v>312</v>
      </c>
      <c r="E30" t="s">
        <v>22</v>
      </c>
      <c r="F30" t="s">
        <v>4508</v>
      </c>
      <c r="G30" t="s">
        <v>152</v>
      </c>
      <c r="H30" t="s">
        <v>174</v>
      </c>
      <c r="I30" t="s">
        <v>154</v>
      </c>
      <c r="J30">
        <v>19931206</v>
      </c>
    </row>
    <row r="31" spans="1:10">
      <c r="A31" t="s">
        <v>4509</v>
      </c>
      <c r="B31">
        <v>600710</v>
      </c>
      <c r="C31" t="s">
        <v>4510</v>
      </c>
      <c r="D31" t="s">
        <v>212</v>
      </c>
      <c r="E31" t="s">
        <v>71</v>
      </c>
      <c r="F31" t="s">
        <v>4511</v>
      </c>
      <c r="G31" t="s">
        <v>152</v>
      </c>
      <c r="H31" t="s">
        <v>174</v>
      </c>
      <c r="I31" t="s">
        <v>154</v>
      </c>
      <c r="J31">
        <v>19960701</v>
      </c>
    </row>
    <row r="32" spans="1:10">
      <c r="A32" t="s">
        <v>4512</v>
      </c>
      <c r="B32">
        <v>600712</v>
      </c>
      <c r="C32" t="s">
        <v>4513</v>
      </c>
      <c r="D32" t="s">
        <v>345</v>
      </c>
      <c r="E32" t="s">
        <v>22</v>
      </c>
      <c r="F32" t="s">
        <v>4514</v>
      </c>
      <c r="G32" t="s">
        <v>152</v>
      </c>
      <c r="H32" t="s">
        <v>174</v>
      </c>
      <c r="I32" t="s">
        <v>154</v>
      </c>
      <c r="J32">
        <v>19960626</v>
      </c>
    </row>
    <row r="33" spans="1:10">
      <c r="A33" t="s">
        <v>4515</v>
      </c>
      <c r="B33">
        <v>600729</v>
      </c>
      <c r="C33" t="s">
        <v>4516</v>
      </c>
      <c r="D33" t="s">
        <v>937</v>
      </c>
      <c r="E33" t="s">
        <v>22</v>
      </c>
      <c r="F33" t="s">
        <v>4517</v>
      </c>
      <c r="G33" t="s">
        <v>152</v>
      </c>
      <c r="H33" t="s">
        <v>174</v>
      </c>
      <c r="I33" t="s">
        <v>154</v>
      </c>
      <c r="J33">
        <v>19960702</v>
      </c>
    </row>
    <row r="34" spans="1:10">
      <c r="A34" t="s">
        <v>4518</v>
      </c>
      <c r="B34">
        <v>600738</v>
      </c>
      <c r="C34" t="s">
        <v>4519</v>
      </c>
      <c r="D34" t="s">
        <v>177</v>
      </c>
      <c r="E34" t="s">
        <v>22</v>
      </c>
      <c r="F34" t="s">
        <v>4520</v>
      </c>
      <c r="G34" t="s">
        <v>152</v>
      </c>
      <c r="H34" t="s">
        <v>174</v>
      </c>
      <c r="I34" t="s">
        <v>154</v>
      </c>
      <c r="J34">
        <v>19960802</v>
      </c>
    </row>
    <row r="35" spans="1:10">
      <c r="A35" t="s">
        <v>4521</v>
      </c>
      <c r="B35">
        <v>600753</v>
      </c>
      <c r="C35" t="s">
        <v>4522</v>
      </c>
      <c r="D35" t="s">
        <v>150</v>
      </c>
      <c r="E35" t="s">
        <v>71</v>
      </c>
      <c r="F35" t="s">
        <v>4523</v>
      </c>
      <c r="G35" t="s">
        <v>152</v>
      </c>
      <c r="H35" t="s">
        <v>174</v>
      </c>
      <c r="I35" t="s">
        <v>154</v>
      </c>
      <c r="J35">
        <v>19960927</v>
      </c>
    </row>
    <row r="36" spans="1:10">
      <c r="A36" s="1" t="s">
        <v>4524</v>
      </c>
      <c r="B36" s="1">
        <v>600778</v>
      </c>
      <c r="C36" s="1" t="s">
        <v>4525</v>
      </c>
      <c r="D36" s="1" t="s">
        <v>202</v>
      </c>
      <c r="E36" s="1" t="s">
        <v>22</v>
      </c>
      <c r="F36" s="1" t="s">
        <v>4526</v>
      </c>
      <c r="G36" s="1" t="s">
        <v>152</v>
      </c>
      <c r="H36" s="1" t="s">
        <v>174</v>
      </c>
      <c r="I36" s="1" t="s">
        <v>154</v>
      </c>
      <c r="J36" s="1">
        <v>19961203</v>
      </c>
    </row>
    <row r="37" spans="1:10">
      <c r="A37" t="s">
        <v>4527</v>
      </c>
      <c r="B37">
        <v>600785</v>
      </c>
      <c r="C37" t="s">
        <v>4528</v>
      </c>
      <c r="D37" t="s">
        <v>332</v>
      </c>
      <c r="E37" t="s">
        <v>22</v>
      </c>
      <c r="F37" t="s">
        <v>4529</v>
      </c>
      <c r="G37" t="s">
        <v>152</v>
      </c>
      <c r="H37" t="s">
        <v>174</v>
      </c>
      <c r="I37" t="s">
        <v>154</v>
      </c>
      <c r="J37">
        <v>19970108</v>
      </c>
    </row>
    <row r="38" spans="1:10">
      <c r="A38" t="s">
        <v>4530</v>
      </c>
      <c r="B38">
        <v>600814</v>
      </c>
      <c r="C38" t="s">
        <v>4531</v>
      </c>
      <c r="D38" t="s">
        <v>423</v>
      </c>
      <c r="E38" t="s">
        <v>22</v>
      </c>
      <c r="F38" t="s">
        <v>4532</v>
      </c>
      <c r="G38" t="s">
        <v>152</v>
      </c>
      <c r="H38" t="s">
        <v>174</v>
      </c>
      <c r="I38" t="s">
        <v>154</v>
      </c>
      <c r="J38">
        <v>19940114</v>
      </c>
    </row>
    <row r="39" spans="1:10">
      <c r="A39" t="s">
        <v>4533</v>
      </c>
      <c r="B39">
        <v>600822</v>
      </c>
      <c r="C39" t="s">
        <v>4534</v>
      </c>
      <c r="D39" t="s">
        <v>172</v>
      </c>
      <c r="E39" t="s">
        <v>71</v>
      </c>
      <c r="F39" t="s">
        <v>4535</v>
      </c>
      <c r="G39" t="s">
        <v>152</v>
      </c>
      <c r="H39" t="s">
        <v>174</v>
      </c>
      <c r="I39" t="s">
        <v>154</v>
      </c>
      <c r="J39">
        <v>19940204</v>
      </c>
    </row>
    <row r="40" spans="1:10">
      <c r="A40" t="s">
        <v>4536</v>
      </c>
      <c r="B40">
        <v>600824</v>
      </c>
      <c r="C40" t="s">
        <v>4537</v>
      </c>
      <c r="D40" t="s">
        <v>172</v>
      </c>
      <c r="E40" t="s">
        <v>22</v>
      </c>
      <c r="F40" t="s">
        <v>4538</v>
      </c>
      <c r="G40" t="s">
        <v>152</v>
      </c>
      <c r="H40" t="s">
        <v>174</v>
      </c>
      <c r="I40" t="s">
        <v>154</v>
      </c>
      <c r="J40">
        <v>19940204</v>
      </c>
    </row>
    <row r="41" spans="1:10">
      <c r="A41" t="s">
        <v>4539</v>
      </c>
      <c r="B41">
        <v>600826</v>
      </c>
      <c r="C41" t="s">
        <v>4540</v>
      </c>
      <c r="D41" t="s">
        <v>172</v>
      </c>
      <c r="E41" t="s">
        <v>71</v>
      </c>
      <c r="F41" t="s">
        <v>4541</v>
      </c>
      <c r="G41" t="s">
        <v>152</v>
      </c>
      <c r="H41" t="s">
        <v>174</v>
      </c>
      <c r="I41" t="s">
        <v>154</v>
      </c>
      <c r="J41">
        <v>19940204</v>
      </c>
    </row>
    <row r="42" spans="1:10">
      <c r="A42" t="s">
        <v>4542</v>
      </c>
      <c r="B42">
        <v>600827</v>
      </c>
      <c r="C42" t="s">
        <v>4543</v>
      </c>
      <c r="D42" t="s">
        <v>172</v>
      </c>
      <c r="E42" t="s">
        <v>54</v>
      </c>
      <c r="F42" t="s">
        <v>4544</v>
      </c>
      <c r="G42" t="s">
        <v>152</v>
      </c>
      <c r="H42" t="s">
        <v>174</v>
      </c>
      <c r="I42" t="s">
        <v>154</v>
      </c>
      <c r="J42">
        <v>19940204</v>
      </c>
    </row>
    <row r="43" spans="1:10">
      <c r="A43" t="s">
        <v>4545</v>
      </c>
      <c r="B43">
        <v>600828</v>
      </c>
      <c r="C43" t="s">
        <v>4546</v>
      </c>
      <c r="D43" t="s">
        <v>219</v>
      </c>
      <c r="E43" t="s">
        <v>22</v>
      </c>
      <c r="F43" t="s">
        <v>4547</v>
      </c>
      <c r="G43" t="s">
        <v>152</v>
      </c>
      <c r="H43" t="s">
        <v>174</v>
      </c>
      <c r="I43" t="s">
        <v>154</v>
      </c>
      <c r="J43">
        <v>19940224</v>
      </c>
    </row>
    <row r="44" spans="1:10">
      <c r="A44" t="s">
        <v>4548</v>
      </c>
      <c r="B44">
        <v>600838</v>
      </c>
      <c r="C44" t="s">
        <v>4549</v>
      </c>
      <c r="D44" t="s">
        <v>172</v>
      </c>
      <c r="E44" t="s">
        <v>22</v>
      </c>
      <c r="F44" t="s">
        <v>4550</v>
      </c>
      <c r="G44" t="s">
        <v>152</v>
      </c>
      <c r="H44" t="s">
        <v>174</v>
      </c>
      <c r="I44" t="s">
        <v>154</v>
      </c>
      <c r="J44">
        <v>19940224</v>
      </c>
    </row>
    <row r="45" spans="1:10">
      <c r="A45" t="s">
        <v>4551</v>
      </c>
      <c r="B45">
        <v>600857</v>
      </c>
      <c r="C45" t="s">
        <v>4552</v>
      </c>
      <c r="D45" t="s">
        <v>423</v>
      </c>
      <c r="E45" t="s">
        <v>22</v>
      </c>
      <c r="F45" t="s">
        <v>4553</v>
      </c>
      <c r="G45" t="s">
        <v>152</v>
      </c>
      <c r="H45" t="s">
        <v>174</v>
      </c>
      <c r="I45" t="s">
        <v>154</v>
      </c>
      <c r="J45">
        <v>19940425</v>
      </c>
    </row>
    <row r="46" spans="1:10">
      <c r="A46" t="s">
        <v>4554</v>
      </c>
      <c r="B46">
        <v>600858</v>
      </c>
      <c r="C46" t="s">
        <v>4555</v>
      </c>
      <c r="D46" t="s">
        <v>198</v>
      </c>
      <c r="E46" t="s">
        <v>22</v>
      </c>
      <c r="F46" t="s">
        <v>4556</v>
      </c>
      <c r="G46" t="s">
        <v>152</v>
      </c>
      <c r="H46" t="s">
        <v>174</v>
      </c>
      <c r="I46" t="s">
        <v>154</v>
      </c>
      <c r="J46">
        <v>19940506</v>
      </c>
    </row>
    <row r="47" spans="1:10">
      <c r="A47" t="s">
        <v>4557</v>
      </c>
      <c r="B47">
        <v>600859</v>
      </c>
      <c r="C47" t="s">
        <v>4558</v>
      </c>
      <c r="D47" t="s">
        <v>164</v>
      </c>
      <c r="E47" t="s">
        <v>22</v>
      </c>
      <c r="F47" t="s">
        <v>4559</v>
      </c>
      <c r="G47" t="s">
        <v>152</v>
      </c>
      <c r="H47" t="s">
        <v>174</v>
      </c>
      <c r="I47" t="s">
        <v>154</v>
      </c>
      <c r="J47">
        <v>19940506</v>
      </c>
    </row>
    <row r="48" spans="1:10">
      <c r="A48" t="s">
        <v>4560</v>
      </c>
      <c r="B48">
        <v>600861</v>
      </c>
      <c r="C48" t="s">
        <v>4561</v>
      </c>
      <c r="D48" t="s">
        <v>164</v>
      </c>
      <c r="E48" t="s">
        <v>22</v>
      </c>
      <c r="F48" t="s">
        <v>4562</v>
      </c>
      <c r="G48" t="s">
        <v>152</v>
      </c>
      <c r="H48" t="s">
        <v>174</v>
      </c>
      <c r="I48" t="s">
        <v>154</v>
      </c>
      <c r="J48">
        <v>19940520</v>
      </c>
    </row>
    <row r="49" spans="1:10">
      <c r="A49" t="s">
        <v>4563</v>
      </c>
      <c r="B49">
        <v>600865</v>
      </c>
      <c r="C49" t="s">
        <v>4564</v>
      </c>
      <c r="D49" t="s">
        <v>423</v>
      </c>
      <c r="E49" t="s">
        <v>22</v>
      </c>
      <c r="F49" t="s">
        <v>4565</v>
      </c>
      <c r="G49" t="s">
        <v>152</v>
      </c>
      <c r="H49" t="s">
        <v>174</v>
      </c>
      <c r="I49" t="s">
        <v>154</v>
      </c>
      <c r="J49">
        <v>19940809</v>
      </c>
    </row>
    <row r="50" spans="1:10">
      <c r="A50" t="s">
        <v>4566</v>
      </c>
      <c r="B50">
        <v>600981</v>
      </c>
      <c r="C50" t="s">
        <v>4567</v>
      </c>
      <c r="D50" t="s">
        <v>212</v>
      </c>
      <c r="E50" t="s">
        <v>71</v>
      </c>
      <c r="F50" t="s">
        <v>4568</v>
      </c>
      <c r="G50" t="s">
        <v>152</v>
      </c>
      <c r="H50" t="s">
        <v>174</v>
      </c>
      <c r="I50" t="s">
        <v>154</v>
      </c>
      <c r="J50">
        <v>20040630</v>
      </c>
    </row>
    <row r="51" spans="1:10">
      <c r="A51" t="s">
        <v>4569</v>
      </c>
      <c r="B51">
        <v>601010</v>
      </c>
      <c r="C51" t="s">
        <v>4570</v>
      </c>
      <c r="D51" t="s">
        <v>212</v>
      </c>
      <c r="E51" t="s">
        <v>22</v>
      </c>
      <c r="F51" t="s">
        <v>4571</v>
      </c>
      <c r="G51" t="s">
        <v>152</v>
      </c>
      <c r="H51" t="s">
        <v>174</v>
      </c>
      <c r="I51" t="s">
        <v>154</v>
      </c>
      <c r="J51">
        <v>20110603</v>
      </c>
    </row>
    <row r="52" spans="1:10">
      <c r="A52" t="s">
        <v>4572</v>
      </c>
      <c r="B52">
        <v>601028</v>
      </c>
      <c r="C52" t="s">
        <v>4573</v>
      </c>
      <c r="D52" t="s">
        <v>198</v>
      </c>
      <c r="E52" t="s">
        <v>71</v>
      </c>
      <c r="F52" t="s">
        <v>4574</v>
      </c>
      <c r="G52" t="s">
        <v>152</v>
      </c>
      <c r="H52" t="s">
        <v>174</v>
      </c>
      <c r="I52" t="s">
        <v>154</v>
      </c>
      <c r="J52">
        <v>20111107</v>
      </c>
    </row>
    <row r="53" spans="1:10">
      <c r="A53" t="s">
        <v>4575</v>
      </c>
      <c r="B53">
        <v>601086</v>
      </c>
      <c r="C53" t="s">
        <v>4576</v>
      </c>
      <c r="D53" t="s">
        <v>177</v>
      </c>
      <c r="E53" t="s">
        <v>22</v>
      </c>
      <c r="F53" t="s">
        <v>4577</v>
      </c>
      <c r="G53" t="s">
        <v>152</v>
      </c>
      <c r="H53" t="s">
        <v>174</v>
      </c>
      <c r="I53" t="s">
        <v>154</v>
      </c>
      <c r="J53">
        <v>20170929</v>
      </c>
    </row>
    <row r="54" spans="1:10">
      <c r="A54" t="s">
        <v>4578</v>
      </c>
      <c r="B54">
        <v>601116</v>
      </c>
      <c r="C54" t="s">
        <v>4579</v>
      </c>
      <c r="D54" t="s">
        <v>423</v>
      </c>
      <c r="E54" t="s">
        <v>54</v>
      </c>
      <c r="F54" t="s">
        <v>4580</v>
      </c>
      <c r="G54" t="s">
        <v>152</v>
      </c>
      <c r="H54" t="s">
        <v>174</v>
      </c>
      <c r="I54" t="s">
        <v>154</v>
      </c>
      <c r="J54">
        <v>20110302</v>
      </c>
    </row>
    <row r="55" spans="1:10">
      <c r="A55" t="s">
        <v>4581</v>
      </c>
      <c r="B55">
        <v>601366</v>
      </c>
      <c r="C55" t="s">
        <v>4582</v>
      </c>
      <c r="D55" t="s">
        <v>198</v>
      </c>
      <c r="E55" t="s">
        <v>22</v>
      </c>
      <c r="F55" t="s">
        <v>4583</v>
      </c>
      <c r="G55" t="s">
        <v>152</v>
      </c>
      <c r="H55" t="s">
        <v>174</v>
      </c>
      <c r="I55" t="s">
        <v>154</v>
      </c>
      <c r="J55">
        <v>20170412</v>
      </c>
    </row>
    <row r="56" spans="1:10">
      <c r="A56" t="s">
        <v>4584</v>
      </c>
      <c r="B56">
        <v>601933</v>
      </c>
      <c r="C56" t="s">
        <v>4585</v>
      </c>
      <c r="D56" t="s">
        <v>150</v>
      </c>
      <c r="E56" t="s">
        <v>54</v>
      </c>
      <c r="F56" t="s">
        <v>4586</v>
      </c>
      <c r="G56" t="s">
        <v>152</v>
      </c>
      <c r="H56" t="s">
        <v>174</v>
      </c>
      <c r="I56" t="s">
        <v>154</v>
      </c>
      <c r="J56">
        <v>20101215</v>
      </c>
    </row>
    <row r="57" spans="1:10">
      <c r="A57" t="s">
        <v>4587</v>
      </c>
      <c r="B57">
        <v>603031</v>
      </c>
      <c r="C57" t="s">
        <v>4588</v>
      </c>
      <c r="D57" t="s">
        <v>160</v>
      </c>
      <c r="E57" t="s">
        <v>54</v>
      </c>
      <c r="F57" t="s">
        <v>4589</v>
      </c>
      <c r="G57" t="s">
        <v>152</v>
      </c>
      <c r="H57" t="s">
        <v>174</v>
      </c>
      <c r="I57" t="s">
        <v>154</v>
      </c>
      <c r="J57">
        <v>20160822</v>
      </c>
    </row>
    <row r="58" spans="1:10">
      <c r="A58" t="s">
        <v>4590</v>
      </c>
      <c r="B58">
        <v>603071</v>
      </c>
      <c r="C58" t="s">
        <v>4591</v>
      </c>
      <c r="D58" t="s">
        <v>423</v>
      </c>
      <c r="E58" t="s">
        <v>85</v>
      </c>
      <c r="F58" t="s">
        <v>4592</v>
      </c>
      <c r="G58" t="s">
        <v>152</v>
      </c>
      <c r="H58" t="s">
        <v>174</v>
      </c>
      <c r="I58" t="s">
        <v>154</v>
      </c>
      <c r="J58">
        <v>20211216</v>
      </c>
    </row>
    <row r="59" spans="1:10">
      <c r="A59" t="s">
        <v>4593</v>
      </c>
      <c r="B59">
        <v>603101</v>
      </c>
      <c r="C59" t="s">
        <v>4594</v>
      </c>
      <c r="D59" t="s">
        <v>202</v>
      </c>
      <c r="E59" t="s">
        <v>22</v>
      </c>
      <c r="F59" t="s">
        <v>4595</v>
      </c>
      <c r="G59" t="s">
        <v>152</v>
      </c>
      <c r="H59" t="s">
        <v>174</v>
      </c>
      <c r="I59" t="s">
        <v>154</v>
      </c>
      <c r="J59">
        <v>20160506</v>
      </c>
    </row>
    <row r="60" spans="1:10">
      <c r="A60" t="s">
        <v>4596</v>
      </c>
      <c r="B60">
        <v>603123</v>
      </c>
      <c r="C60" t="s">
        <v>4597</v>
      </c>
      <c r="D60" t="s">
        <v>164</v>
      </c>
      <c r="E60" t="s">
        <v>22</v>
      </c>
      <c r="F60" t="s">
        <v>4598</v>
      </c>
      <c r="G60" t="s">
        <v>152</v>
      </c>
      <c r="H60" t="s">
        <v>174</v>
      </c>
      <c r="I60" t="s">
        <v>154</v>
      </c>
      <c r="J60">
        <v>20120503</v>
      </c>
    </row>
    <row r="61" spans="1:10">
      <c r="A61" t="s">
        <v>4599</v>
      </c>
      <c r="B61">
        <v>603214</v>
      </c>
      <c r="C61" t="s">
        <v>4600</v>
      </c>
      <c r="D61" t="s">
        <v>172</v>
      </c>
      <c r="E61" t="s">
        <v>22</v>
      </c>
      <c r="F61" t="s">
        <v>4601</v>
      </c>
      <c r="G61" t="s">
        <v>152</v>
      </c>
      <c r="H61" t="s">
        <v>174</v>
      </c>
      <c r="I61" t="s">
        <v>154</v>
      </c>
      <c r="J61">
        <v>20180330</v>
      </c>
    </row>
    <row r="62" spans="1:10">
      <c r="A62" t="s">
        <v>4602</v>
      </c>
      <c r="B62">
        <v>603708</v>
      </c>
      <c r="C62" t="s">
        <v>4603</v>
      </c>
      <c r="D62" t="s">
        <v>198</v>
      </c>
      <c r="E62" t="s">
        <v>54</v>
      </c>
      <c r="F62" t="s">
        <v>4604</v>
      </c>
      <c r="G62" t="s">
        <v>152</v>
      </c>
      <c r="H62" t="s">
        <v>174</v>
      </c>
      <c r="I62" t="s">
        <v>154</v>
      </c>
      <c r="J62">
        <v>20161213</v>
      </c>
    </row>
    <row r="63" spans="1:10">
      <c r="A63" t="s">
        <v>4605</v>
      </c>
      <c r="B63">
        <v>605188</v>
      </c>
      <c r="C63" t="s">
        <v>4606</v>
      </c>
      <c r="D63" t="s">
        <v>406</v>
      </c>
      <c r="E63" t="s">
        <v>54</v>
      </c>
      <c r="F63" t="s">
        <v>4607</v>
      </c>
      <c r="G63" t="s">
        <v>152</v>
      </c>
      <c r="H63" t="s">
        <v>174</v>
      </c>
      <c r="I63" t="s">
        <v>154</v>
      </c>
      <c r="J63">
        <v>20200728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L2" sqref="L2:M3"/>
    </sheetView>
  </sheetViews>
  <sheetFormatPr defaultColWidth="9.23333333333333" defaultRowHeight="13.5"/>
  <cols>
    <col min="1" max="1" width="15.7" customWidth="1"/>
    <col min="6" max="6" width="27.5666666666667" customWidth="1"/>
  </cols>
  <sheetData>
    <row r="1" spans="1:10">
      <c r="A1" t="s">
        <v>4608</v>
      </c>
      <c r="B1">
        <v>69</v>
      </c>
      <c r="C1" t="s">
        <v>4609</v>
      </c>
      <c r="D1" t="s">
        <v>243</v>
      </c>
      <c r="E1" t="s">
        <v>80</v>
      </c>
      <c r="F1" t="s">
        <v>4610</v>
      </c>
      <c r="G1" t="s">
        <v>152</v>
      </c>
      <c r="H1" t="s">
        <v>153</v>
      </c>
      <c r="I1" t="s">
        <v>154</v>
      </c>
      <c r="J1">
        <v>19970910</v>
      </c>
    </row>
    <row r="2" spans="1:13">
      <c r="A2" t="s">
        <v>4611</v>
      </c>
      <c r="B2">
        <v>428</v>
      </c>
      <c r="C2" t="s">
        <v>4612</v>
      </c>
      <c r="D2" t="s">
        <v>168</v>
      </c>
      <c r="E2" t="s">
        <v>86</v>
      </c>
      <c r="F2" t="s">
        <v>4613</v>
      </c>
      <c r="G2" t="s">
        <v>152</v>
      </c>
      <c r="H2" t="s">
        <v>153</v>
      </c>
      <c r="I2" t="s">
        <v>154</v>
      </c>
      <c r="J2">
        <v>19960808</v>
      </c>
      <c r="L2" t="s">
        <v>4129</v>
      </c>
      <c r="M2">
        <v>23</v>
      </c>
    </row>
    <row r="3" spans="1:13">
      <c r="A3" t="s">
        <v>4614</v>
      </c>
      <c r="B3">
        <v>430</v>
      </c>
      <c r="C3" t="s">
        <v>4615</v>
      </c>
      <c r="D3" t="s">
        <v>168</v>
      </c>
      <c r="E3" t="s">
        <v>80</v>
      </c>
      <c r="F3" t="s">
        <v>4616</v>
      </c>
      <c r="G3" t="s">
        <v>152</v>
      </c>
      <c r="H3" t="s">
        <v>153</v>
      </c>
      <c r="I3" t="s">
        <v>154</v>
      </c>
      <c r="J3">
        <v>19960829</v>
      </c>
      <c r="L3" t="s">
        <v>4133</v>
      </c>
      <c r="M3" s="2">
        <f ca="1">CEILING(RAND()*M2,1)</f>
        <v>17</v>
      </c>
    </row>
    <row r="4" spans="1:10">
      <c r="A4" t="s">
        <v>4617</v>
      </c>
      <c r="B4">
        <v>524</v>
      </c>
      <c r="C4" t="s">
        <v>4618</v>
      </c>
      <c r="D4" t="s">
        <v>223</v>
      </c>
      <c r="E4" t="s">
        <v>72</v>
      </c>
      <c r="F4" t="s">
        <v>4619</v>
      </c>
      <c r="G4" t="s">
        <v>152</v>
      </c>
      <c r="H4" t="s">
        <v>153</v>
      </c>
      <c r="I4" t="s">
        <v>154</v>
      </c>
      <c r="J4">
        <v>19931118</v>
      </c>
    </row>
    <row r="5" spans="1:10">
      <c r="A5" t="s">
        <v>4620</v>
      </c>
      <c r="B5">
        <v>610</v>
      </c>
      <c r="C5" t="s">
        <v>4621</v>
      </c>
      <c r="D5" t="s">
        <v>419</v>
      </c>
      <c r="E5" t="s">
        <v>72</v>
      </c>
      <c r="F5" t="s">
        <v>4622</v>
      </c>
      <c r="G5" t="s">
        <v>152</v>
      </c>
      <c r="H5" t="s">
        <v>153</v>
      </c>
      <c r="I5" t="s">
        <v>154</v>
      </c>
      <c r="J5">
        <v>19960926</v>
      </c>
    </row>
    <row r="6" spans="1:10">
      <c r="A6" t="s">
        <v>4623</v>
      </c>
      <c r="B6">
        <v>721</v>
      </c>
      <c r="C6" t="s">
        <v>4624</v>
      </c>
      <c r="D6" t="s">
        <v>419</v>
      </c>
      <c r="E6" t="s">
        <v>86</v>
      </c>
      <c r="F6" t="s">
        <v>4625</v>
      </c>
      <c r="G6" t="s">
        <v>152</v>
      </c>
      <c r="H6" t="s">
        <v>153</v>
      </c>
      <c r="I6" t="s">
        <v>154</v>
      </c>
      <c r="J6">
        <v>19970430</v>
      </c>
    </row>
    <row r="7" spans="1:10">
      <c r="A7" t="s">
        <v>4626</v>
      </c>
      <c r="B7">
        <v>796</v>
      </c>
      <c r="C7" t="s">
        <v>4627</v>
      </c>
      <c r="D7" t="s">
        <v>250</v>
      </c>
      <c r="E7" t="s">
        <v>72</v>
      </c>
      <c r="F7" t="s">
        <v>4628</v>
      </c>
      <c r="G7" t="s">
        <v>152</v>
      </c>
      <c r="H7" t="s">
        <v>153</v>
      </c>
      <c r="I7" t="s">
        <v>154</v>
      </c>
      <c r="J7">
        <v>19970703</v>
      </c>
    </row>
    <row r="8" spans="1:10">
      <c r="A8" s="4" t="s">
        <v>4629</v>
      </c>
      <c r="B8" s="4">
        <v>888</v>
      </c>
      <c r="C8" s="4" t="s">
        <v>4630</v>
      </c>
      <c r="D8" s="4" t="s">
        <v>219</v>
      </c>
      <c r="E8" s="4" t="s">
        <v>80</v>
      </c>
      <c r="F8" s="4" t="s">
        <v>4631</v>
      </c>
      <c r="G8" s="4" t="s">
        <v>152</v>
      </c>
      <c r="H8" s="4" t="s">
        <v>153</v>
      </c>
      <c r="I8" s="4" t="s">
        <v>154</v>
      </c>
      <c r="J8" s="4">
        <v>19971021</v>
      </c>
    </row>
    <row r="9" spans="1:10">
      <c r="A9" t="s">
        <v>4632</v>
      </c>
      <c r="B9">
        <v>978</v>
      </c>
      <c r="C9" t="s">
        <v>4633</v>
      </c>
      <c r="D9" t="s">
        <v>345</v>
      </c>
      <c r="E9" t="s">
        <v>80</v>
      </c>
      <c r="F9" t="s">
        <v>4634</v>
      </c>
      <c r="G9" t="s">
        <v>152</v>
      </c>
      <c r="H9" t="s">
        <v>153</v>
      </c>
      <c r="I9" t="s">
        <v>154</v>
      </c>
      <c r="J9">
        <v>20000518</v>
      </c>
    </row>
    <row r="10" spans="1:10">
      <c r="A10" t="s">
        <v>4635</v>
      </c>
      <c r="B10">
        <v>600054</v>
      </c>
      <c r="C10" t="s">
        <v>4636</v>
      </c>
      <c r="D10" t="s">
        <v>160</v>
      </c>
      <c r="E10" t="s">
        <v>80</v>
      </c>
      <c r="F10" t="s">
        <v>4637</v>
      </c>
      <c r="G10" t="s">
        <v>152</v>
      </c>
      <c r="H10" t="s">
        <v>174</v>
      </c>
      <c r="I10" t="s">
        <v>154</v>
      </c>
      <c r="J10">
        <v>19970506</v>
      </c>
    </row>
    <row r="11" spans="1:10">
      <c r="A11" s="3" t="s">
        <v>4638</v>
      </c>
      <c r="B11" s="3">
        <v>600138</v>
      </c>
      <c r="C11" s="3" t="s">
        <v>4639</v>
      </c>
      <c r="D11" s="3" t="s">
        <v>164</v>
      </c>
      <c r="E11" s="3" t="s">
        <v>72</v>
      </c>
      <c r="F11" s="3" t="s">
        <v>4640</v>
      </c>
      <c r="G11" s="3" t="s">
        <v>152</v>
      </c>
      <c r="H11" s="3" t="s">
        <v>174</v>
      </c>
      <c r="I11" s="3" t="s">
        <v>154</v>
      </c>
      <c r="J11" s="3">
        <v>19971203</v>
      </c>
    </row>
    <row r="12" spans="1:10">
      <c r="A12" t="s">
        <v>4641</v>
      </c>
      <c r="B12">
        <v>600258</v>
      </c>
      <c r="C12" t="s">
        <v>4642</v>
      </c>
      <c r="D12" t="s">
        <v>164</v>
      </c>
      <c r="E12" t="s">
        <v>86</v>
      </c>
      <c r="F12" t="s">
        <v>4643</v>
      </c>
      <c r="G12" t="s">
        <v>152</v>
      </c>
      <c r="H12" t="s">
        <v>174</v>
      </c>
      <c r="I12" t="s">
        <v>154</v>
      </c>
      <c r="J12">
        <v>20000601</v>
      </c>
    </row>
    <row r="13" spans="1:10">
      <c r="A13" t="s">
        <v>4644</v>
      </c>
      <c r="B13">
        <v>600358</v>
      </c>
      <c r="C13" t="s">
        <v>4645</v>
      </c>
      <c r="D13" t="s">
        <v>406</v>
      </c>
      <c r="E13" t="s">
        <v>72</v>
      </c>
      <c r="F13" t="s">
        <v>4646</v>
      </c>
      <c r="G13" t="s">
        <v>152</v>
      </c>
      <c r="H13" t="s">
        <v>174</v>
      </c>
      <c r="I13" t="s">
        <v>154</v>
      </c>
      <c r="J13">
        <v>20000922</v>
      </c>
    </row>
    <row r="14" spans="1:10">
      <c r="A14" t="s">
        <v>4647</v>
      </c>
      <c r="B14">
        <v>600593</v>
      </c>
      <c r="C14" t="s">
        <v>4648</v>
      </c>
      <c r="D14" t="s">
        <v>236</v>
      </c>
      <c r="E14" t="s">
        <v>72</v>
      </c>
      <c r="F14" t="s">
        <v>4649</v>
      </c>
      <c r="G14" t="s">
        <v>152</v>
      </c>
      <c r="H14" t="s">
        <v>174</v>
      </c>
      <c r="I14" t="s">
        <v>154</v>
      </c>
      <c r="J14">
        <v>20020711</v>
      </c>
    </row>
    <row r="15" spans="1:10">
      <c r="A15" t="s">
        <v>4650</v>
      </c>
      <c r="B15">
        <v>600706</v>
      </c>
      <c r="C15" t="s">
        <v>4651</v>
      </c>
      <c r="D15" t="s">
        <v>419</v>
      </c>
      <c r="E15" t="s">
        <v>72</v>
      </c>
      <c r="F15" t="s">
        <v>4652</v>
      </c>
      <c r="G15" t="s">
        <v>152</v>
      </c>
      <c r="H15" t="s">
        <v>174</v>
      </c>
      <c r="I15" t="s">
        <v>154</v>
      </c>
      <c r="J15">
        <v>19960516</v>
      </c>
    </row>
    <row r="16" spans="1:10">
      <c r="A16" t="s">
        <v>4653</v>
      </c>
      <c r="B16">
        <v>600749</v>
      </c>
      <c r="C16" t="s">
        <v>4654</v>
      </c>
      <c r="D16" t="s">
        <v>1001</v>
      </c>
      <c r="E16" t="s">
        <v>80</v>
      </c>
      <c r="F16" t="s">
        <v>4655</v>
      </c>
      <c r="G16" t="s">
        <v>152</v>
      </c>
      <c r="H16" t="s">
        <v>174</v>
      </c>
      <c r="I16" t="s">
        <v>154</v>
      </c>
      <c r="J16">
        <v>19961015</v>
      </c>
    </row>
    <row r="17" spans="1:10">
      <c r="A17" s="1" t="s">
        <v>4656</v>
      </c>
      <c r="B17" s="1">
        <v>600754</v>
      </c>
      <c r="C17" s="1" t="s">
        <v>4657</v>
      </c>
      <c r="D17" s="1" t="s">
        <v>172</v>
      </c>
      <c r="E17" s="1" t="s">
        <v>86</v>
      </c>
      <c r="F17" s="1" t="s">
        <v>4658</v>
      </c>
      <c r="G17" s="1" t="s">
        <v>152</v>
      </c>
      <c r="H17" s="1" t="s">
        <v>174</v>
      </c>
      <c r="I17" s="1" t="s">
        <v>154</v>
      </c>
      <c r="J17" s="1">
        <v>19961011</v>
      </c>
    </row>
    <row r="18" spans="1:10">
      <c r="A18" t="s">
        <v>4659</v>
      </c>
      <c r="B18">
        <v>601007</v>
      </c>
      <c r="C18" t="s">
        <v>4660</v>
      </c>
      <c r="D18" t="s">
        <v>212</v>
      </c>
      <c r="E18" t="s">
        <v>86</v>
      </c>
      <c r="F18" t="s">
        <v>4661</v>
      </c>
      <c r="G18" t="s">
        <v>152</v>
      </c>
      <c r="H18" t="s">
        <v>174</v>
      </c>
      <c r="I18" t="s">
        <v>154</v>
      </c>
      <c r="J18">
        <v>20070406</v>
      </c>
    </row>
    <row r="19" spans="1:10">
      <c r="A19" t="s">
        <v>4662</v>
      </c>
      <c r="B19">
        <v>601888</v>
      </c>
      <c r="C19" t="s">
        <v>4663</v>
      </c>
      <c r="D19" t="s">
        <v>164</v>
      </c>
      <c r="E19" t="s">
        <v>72</v>
      </c>
      <c r="F19" t="s">
        <v>4664</v>
      </c>
      <c r="G19" t="s">
        <v>152</v>
      </c>
      <c r="H19" t="s">
        <v>174</v>
      </c>
      <c r="I19" t="s">
        <v>154</v>
      </c>
      <c r="J19">
        <v>20091015</v>
      </c>
    </row>
    <row r="20" spans="1:10">
      <c r="A20" t="s">
        <v>4665</v>
      </c>
      <c r="B20">
        <v>603099</v>
      </c>
      <c r="C20" t="s">
        <v>4666</v>
      </c>
      <c r="D20" t="s">
        <v>312</v>
      </c>
      <c r="E20" t="s">
        <v>80</v>
      </c>
      <c r="F20" t="s">
        <v>4667</v>
      </c>
      <c r="G20" t="s">
        <v>152</v>
      </c>
      <c r="H20" t="s">
        <v>174</v>
      </c>
      <c r="I20" t="s">
        <v>154</v>
      </c>
      <c r="J20">
        <v>20140822</v>
      </c>
    </row>
    <row r="21" spans="1:10">
      <c r="A21" t="s">
        <v>4668</v>
      </c>
      <c r="B21">
        <v>603136</v>
      </c>
      <c r="C21" t="s">
        <v>4669</v>
      </c>
      <c r="D21" t="s">
        <v>212</v>
      </c>
      <c r="E21" t="s">
        <v>80</v>
      </c>
      <c r="F21" t="s">
        <v>4670</v>
      </c>
      <c r="G21" t="s">
        <v>152</v>
      </c>
      <c r="H21" t="s">
        <v>174</v>
      </c>
      <c r="I21" t="s">
        <v>154</v>
      </c>
      <c r="J21">
        <v>20170927</v>
      </c>
    </row>
    <row r="22" spans="1:10">
      <c r="A22" t="s">
        <v>4671</v>
      </c>
      <c r="B22">
        <v>603199</v>
      </c>
      <c r="C22" t="s">
        <v>4672</v>
      </c>
      <c r="D22" t="s">
        <v>160</v>
      </c>
      <c r="E22" t="s">
        <v>80</v>
      </c>
      <c r="F22" t="s">
        <v>4673</v>
      </c>
      <c r="G22" t="s">
        <v>152</v>
      </c>
      <c r="H22" t="s">
        <v>174</v>
      </c>
      <c r="I22" t="s">
        <v>154</v>
      </c>
      <c r="J22">
        <v>20150326</v>
      </c>
    </row>
    <row r="23" spans="1:10">
      <c r="A23" t="s">
        <v>4674</v>
      </c>
      <c r="B23">
        <v>605108</v>
      </c>
      <c r="C23" t="s">
        <v>4675</v>
      </c>
      <c r="D23" t="s">
        <v>160</v>
      </c>
      <c r="E23" t="s">
        <v>86</v>
      </c>
      <c r="F23" t="s">
        <v>4676</v>
      </c>
      <c r="G23" t="s">
        <v>152</v>
      </c>
      <c r="H23" t="s">
        <v>174</v>
      </c>
      <c r="I23" t="s">
        <v>154</v>
      </c>
      <c r="J23">
        <v>20200716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6" sqref="A6:J6"/>
    </sheetView>
  </sheetViews>
  <sheetFormatPr defaultColWidth="9.23333333333333" defaultRowHeight="13.5"/>
  <cols>
    <col min="1" max="1" width="13.7916666666667" customWidth="1"/>
    <col min="3" max="3" width="14.7416666666667" customWidth="1"/>
    <col min="6" max="6" width="26.6" customWidth="1"/>
  </cols>
  <sheetData>
    <row r="1" spans="1:10">
      <c r="A1" t="s">
        <v>4677</v>
      </c>
      <c r="B1">
        <v>1</v>
      </c>
      <c r="C1" t="s">
        <v>4678</v>
      </c>
      <c r="D1" t="s">
        <v>243</v>
      </c>
      <c r="E1" t="s">
        <v>62</v>
      </c>
      <c r="F1" t="s">
        <v>4679</v>
      </c>
      <c r="G1" t="s">
        <v>152</v>
      </c>
      <c r="H1" t="s">
        <v>153</v>
      </c>
      <c r="I1" t="s">
        <v>154</v>
      </c>
      <c r="J1">
        <v>19910403</v>
      </c>
    </row>
    <row r="2" spans="1:10">
      <c r="A2" t="s">
        <v>4680</v>
      </c>
      <c r="B2">
        <v>1227</v>
      </c>
      <c r="C2" t="s">
        <v>4681</v>
      </c>
      <c r="D2" t="s">
        <v>177</v>
      </c>
      <c r="E2" t="s">
        <v>62</v>
      </c>
      <c r="F2" t="s">
        <v>4682</v>
      </c>
      <c r="G2" t="s">
        <v>152</v>
      </c>
      <c r="H2" t="s">
        <v>153</v>
      </c>
      <c r="I2" t="s">
        <v>154</v>
      </c>
      <c r="J2">
        <v>20220117</v>
      </c>
    </row>
    <row r="3" spans="1:10">
      <c r="A3" t="s">
        <v>4683</v>
      </c>
      <c r="B3">
        <v>600000</v>
      </c>
      <c r="C3" t="s">
        <v>4684</v>
      </c>
      <c r="D3" t="s">
        <v>172</v>
      </c>
      <c r="E3" t="s">
        <v>62</v>
      </c>
      <c r="F3" t="s">
        <v>4685</v>
      </c>
      <c r="G3" t="s">
        <v>152</v>
      </c>
      <c r="H3" t="s">
        <v>174</v>
      </c>
      <c r="I3" t="s">
        <v>154</v>
      </c>
      <c r="J3">
        <v>19991110</v>
      </c>
    </row>
    <row r="4" spans="1:10">
      <c r="A4" t="s">
        <v>4686</v>
      </c>
      <c r="B4">
        <v>600015</v>
      </c>
      <c r="C4" t="s">
        <v>4687</v>
      </c>
      <c r="D4" t="s">
        <v>164</v>
      </c>
      <c r="E4" t="s">
        <v>62</v>
      </c>
      <c r="F4" t="s">
        <v>4688</v>
      </c>
      <c r="G4" t="s">
        <v>152</v>
      </c>
      <c r="H4" t="s">
        <v>174</v>
      </c>
      <c r="I4" t="s">
        <v>154</v>
      </c>
      <c r="J4">
        <v>20030912</v>
      </c>
    </row>
    <row r="5" spans="1:10">
      <c r="A5" t="s">
        <v>4689</v>
      </c>
      <c r="B5">
        <v>600016</v>
      </c>
      <c r="C5" t="s">
        <v>4690</v>
      </c>
      <c r="D5" t="s">
        <v>164</v>
      </c>
      <c r="E5" t="s">
        <v>62</v>
      </c>
      <c r="F5" t="s">
        <v>4691</v>
      </c>
      <c r="G5" t="s">
        <v>152</v>
      </c>
      <c r="H5" t="s">
        <v>174</v>
      </c>
      <c r="I5" t="s">
        <v>154</v>
      </c>
      <c r="J5">
        <v>20001219</v>
      </c>
    </row>
    <row r="6" spans="1:10">
      <c r="A6" s="3" t="s">
        <v>4692</v>
      </c>
      <c r="B6" s="3">
        <v>600036</v>
      </c>
      <c r="C6" s="3" t="s">
        <v>4693</v>
      </c>
      <c r="D6" s="3" t="s">
        <v>243</v>
      </c>
      <c r="E6" s="3" t="s">
        <v>62</v>
      </c>
      <c r="F6" s="3" t="s">
        <v>4694</v>
      </c>
      <c r="G6" s="3" t="s">
        <v>152</v>
      </c>
      <c r="H6" s="3" t="s">
        <v>174</v>
      </c>
      <c r="I6" s="3" t="s">
        <v>154</v>
      </c>
      <c r="J6" s="3">
        <v>20020409</v>
      </c>
    </row>
    <row r="7" spans="1:10">
      <c r="A7" t="s">
        <v>4695</v>
      </c>
      <c r="B7">
        <v>600908</v>
      </c>
      <c r="C7" t="s">
        <v>4696</v>
      </c>
      <c r="D7" t="s">
        <v>212</v>
      </c>
      <c r="E7" t="s">
        <v>62</v>
      </c>
      <c r="F7" t="s">
        <v>4697</v>
      </c>
      <c r="G7" t="s">
        <v>152</v>
      </c>
      <c r="H7" t="s">
        <v>174</v>
      </c>
      <c r="I7" t="s">
        <v>154</v>
      </c>
      <c r="J7">
        <v>20160923</v>
      </c>
    </row>
    <row r="8" spans="1:10">
      <c r="A8" t="s">
        <v>4698</v>
      </c>
      <c r="B8">
        <v>600919</v>
      </c>
      <c r="C8" t="s">
        <v>4699</v>
      </c>
      <c r="D8" t="s">
        <v>212</v>
      </c>
      <c r="E8" t="s">
        <v>62</v>
      </c>
      <c r="F8" t="s">
        <v>4700</v>
      </c>
      <c r="G8" t="s">
        <v>152</v>
      </c>
      <c r="H8" t="s">
        <v>174</v>
      </c>
      <c r="I8" t="s">
        <v>154</v>
      </c>
      <c r="J8">
        <v>20160802</v>
      </c>
    </row>
    <row r="9" spans="1:10">
      <c r="A9" t="s">
        <v>4701</v>
      </c>
      <c r="B9">
        <v>600926</v>
      </c>
      <c r="C9" t="s">
        <v>4702</v>
      </c>
      <c r="D9" t="s">
        <v>423</v>
      </c>
      <c r="E9" t="s">
        <v>62</v>
      </c>
      <c r="F9" t="s">
        <v>4703</v>
      </c>
      <c r="G9" t="s">
        <v>152</v>
      </c>
      <c r="H9" t="s">
        <v>174</v>
      </c>
      <c r="I9" t="s">
        <v>154</v>
      </c>
      <c r="J9">
        <v>20161027</v>
      </c>
    </row>
    <row r="10" spans="1:10">
      <c r="A10" t="s">
        <v>4704</v>
      </c>
      <c r="B10">
        <v>600928</v>
      </c>
      <c r="C10" t="s">
        <v>4705</v>
      </c>
      <c r="D10" t="s">
        <v>419</v>
      </c>
      <c r="E10" t="s">
        <v>62</v>
      </c>
      <c r="F10" t="s">
        <v>4706</v>
      </c>
      <c r="G10" t="s">
        <v>152</v>
      </c>
      <c r="H10" t="s">
        <v>174</v>
      </c>
      <c r="I10" t="s">
        <v>154</v>
      </c>
      <c r="J10">
        <v>20190301</v>
      </c>
    </row>
    <row r="11" spans="1:10">
      <c r="A11" t="s">
        <v>4707</v>
      </c>
      <c r="B11">
        <v>601009</v>
      </c>
      <c r="C11" t="s">
        <v>4708</v>
      </c>
      <c r="D11" t="s">
        <v>212</v>
      </c>
      <c r="E11" t="s">
        <v>62</v>
      </c>
      <c r="F11" t="s">
        <v>4709</v>
      </c>
      <c r="G11" t="s">
        <v>152</v>
      </c>
      <c r="H11" t="s">
        <v>174</v>
      </c>
      <c r="I11" t="s">
        <v>154</v>
      </c>
      <c r="J11">
        <v>20070719</v>
      </c>
    </row>
    <row r="12" spans="1:10">
      <c r="A12" t="s">
        <v>4710</v>
      </c>
      <c r="B12">
        <v>601077</v>
      </c>
      <c r="C12" t="s">
        <v>4711</v>
      </c>
      <c r="D12" t="s">
        <v>937</v>
      </c>
      <c r="E12" t="s">
        <v>62</v>
      </c>
      <c r="F12" t="s">
        <v>4712</v>
      </c>
      <c r="G12" t="s">
        <v>152</v>
      </c>
      <c r="H12" t="s">
        <v>174</v>
      </c>
      <c r="I12" t="s">
        <v>154</v>
      </c>
      <c r="J12">
        <v>20191029</v>
      </c>
    </row>
    <row r="13" spans="1:10">
      <c r="A13" t="s">
        <v>4713</v>
      </c>
      <c r="B13">
        <v>601128</v>
      </c>
      <c r="C13" t="s">
        <v>4714</v>
      </c>
      <c r="D13" t="s">
        <v>212</v>
      </c>
      <c r="E13" t="s">
        <v>62</v>
      </c>
      <c r="F13" t="s">
        <v>4715</v>
      </c>
      <c r="G13" t="s">
        <v>152</v>
      </c>
      <c r="H13" t="s">
        <v>174</v>
      </c>
      <c r="I13" t="s">
        <v>154</v>
      </c>
      <c r="J13">
        <v>20160930</v>
      </c>
    </row>
    <row r="14" spans="1:10">
      <c r="A14" t="s">
        <v>4716</v>
      </c>
      <c r="B14">
        <v>601166</v>
      </c>
      <c r="C14" t="s">
        <v>4717</v>
      </c>
      <c r="D14" t="s">
        <v>150</v>
      </c>
      <c r="E14" t="s">
        <v>62</v>
      </c>
      <c r="F14" t="s">
        <v>4718</v>
      </c>
      <c r="G14" t="s">
        <v>152</v>
      </c>
      <c r="H14" t="s">
        <v>174</v>
      </c>
      <c r="I14" t="s">
        <v>154</v>
      </c>
      <c r="J14">
        <v>20070205</v>
      </c>
    </row>
    <row r="15" spans="1:10">
      <c r="A15" t="s">
        <v>4719</v>
      </c>
      <c r="B15">
        <v>601169</v>
      </c>
      <c r="C15" t="s">
        <v>4720</v>
      </c>
      <c r="D15" t="s">
        <v>164</v>
      </c>
      <c r="E15" t="s">
        <v>62</v>
      </c>
      <c r="F15" t="s">
        <v>4721</v>
      </c>
      <c r="G15" t="s">
        <v>152</v>
      </c>
      <c r="H15" t="s">
        <v>174</v>
      </c>
      <c r="I15" t="s">
        <v>154</v>
      </c>
      <c r="J15">
        <v>20070919</v>
      </c>
    </row>
    <row r="16" spans="1:10">
      <c r="A16" t="s">
        <v>4722</v>
      </c>
      <c r="B16">
        <v>601187</v>
      </c>
      <c r="C16" t="s">
        <v>4723</v>
      </c>
      <c r="D16" t="s">
        <v>150</v>
      </c>
      <c r="E16" t="s">
        <v>62</v>
      </c>
      <c r="F16" t="s">
        <v>4724</v>
      </c>
      <c r="G16" t="s">
        <v>152</v>
      </c>
      <c r="H16" t="s">
        <v>174</v>
      </c>
      <c r="I16" t="s">
        <v>154</v>
      </c>
      <c r="J16">
        <v>20201027</v>
      </c>
    </row>
    <row r="17" spans="1:10">
      <c r="A17" t="s">
        <v>4725</v>
      </c>
      <c r="B17">
        <v>601229</v>
      </c>
      <c r="C17" t="s">
        <v>4726</v>
      </c>
      <c r="D17" t="s">
        <v>172</v>
      </c>
      <c r="E17" t="s">
        <v>62</v>
      </c>
      <c r="F17" t="s">
        <v>4727</v>
      </c>
      <c r="G17" t="s">
        <v>152</v>
      </c>
      <c r="H17" t="s">
        <v>174</v>
      </c>
      <c r="I17" t="s">
        <v>154</v>
      </c>
      <c r="J17">
        <v>20161116</v>
      </c>
    </row>
    <row r="18" spans="1:10">
      <c r="A18" t="s">
        <v>4728</v>
      </c>
      <c r="B18">
        <v>601288</v>
      </c>
      <c r="C18" t="s">
        <v>4729</v>
      </c>
      <c r="D18" t="s">
        <v>164</v>
      </c>
      <c r="E18" t="s">
        <v>62</v>
      </c>
      <c r="F18" t="s">
        <v>4730</v>
      </c>
      <c r="G18" t="s">
        <v>152</v>
      </c>
      <c r="H18" t="s">
        <v>174</v>
      </c>
      <c r="I18" t="s">
        <v>154</v>
      </c>
      <c r="J18">
        <v>20100715</v>
      </c>
    </row>
    <row r="19" spans="1:10">
      <c r="A19" t="s">
        <v>4731</v>
      </c>
      <c r="B19">
        <v>601328</v>
      </c>
      <c r="C19" t="s">
        <v>4732</v>
      </c>
      <c r="D19" t="s">
        <v>172</v>
      </c>
      <c r="E19" t="s">
        <v>62</v>
      </c>
      <c r="F19" t="s">
        <v>4733</v>
      </c>
      <c r="G19" t="s">
        <v>152</v>
      </c>
      <c r="H19" t="s">
        <v>174</v>
      </c>
      <c r="I19" t="s">
        <v>154</v>
      </c>
      <c r="J19">
        <v>20070515</v>
      </c>
    </row>
    <row r="20" spans="1:10">
      <c r="A20" t="s">
        <v>4734</v>
      </c>
      <c r="B20">
        <v>601398</v>
      </c>
      <c r="C20" t="s">
        <v>4735</v>
      </c>
      <c r="D20" t="s">
        <v>164</v>
      </c>
      <c r="E20" t="s">
        <v>62</v>
      </c>
      <c r="F20" t="s">
        <v>4736</v>
      </c>
      <c r="G20" t="s">
        <v>152</v>
      </c>
      <c r="H20" t="s">
        <v>174</v>
      </c>
      <c r="I20" t="s">
        <v>154</v>
      </c>
      <c r="J20">
        <v>20061027</v>
      </c>
    </row>
    <row r="21" spans="1:10">
      <c r="A21" t="s">
        <v>4737</v>
      </c>
      <c r="B21">
        <v>601528</v>
      </c>
      <c r="C21" t="s">
        <v>4738</v>
      </c>
      <c r="D21" t="s">
        <v>423</v>
      </c>
      <c r="E21" t="s">
        <v>62</v>
      </c>
      <c r="F21" t="s">
        <v>4739</v>
      </c>
      <c r="G21" t="s">
        <v>152</v>
      </c>
      <c r="H21" t="s">
        <v>174</v>
      </c>
      <c r="I21" t="s">
        <v>154</v>
      </c>
      <c r="J21">
        <v>20210625</v>
      </c>
    </row>
    <row r="22" spans="1:10">
      <c r="A22" t="s">
        <v>4740</v>
      </c>
      <c r="B22">
        <v>601577</v>
      </c>
      <c r="C22" t="s">
        <v>4741</v>
      </c>
      <c r="D22" t="s">
        <v>168</v>
      </c>
      <c r="E22" t="s">
        <v>62</v>
      </c>
      <c r="F22" t="s">
        <v>4742</v>
      </c>
      <c r="G22" t="s">
        <v>152</v>
      </c>
      <c r="H22" t="s">
        <v>174</v>
      </c>
      <c r="I22" t="s">
        <v>154</v>
      </c>
      <c r="J22">
        <v>20180926</v>
      </c>
    </row>
    <row r="23" spans="1:10">
      <c r="A23" t="s">
        <v>4743</v>
      </c>
      <c r="B23">
        <v>601658</v>
      </c>
      <c r="C23" t="s">
        <v>4744</v>
      </c>
      <c r="D23" t="s">
        <v>164</v>
      </c>
      <c r="E23" t="s">
        <v>62</v>
      </c>
      <c r="F23" t="s">
        <v>4745</v>
      </c>
      <c r="G23" t="s">
        <v>152</v>
      </c>
      <c r="H23" t="s">
        <v>174</v>
      </c>
      <c r="I23" t="s">
        <v>154</v>
      </c>
      <c r="J23">
        <v>20191210</v>
      </c>
    </row>
    <row r="24" spans="1:10">
      <c r="A24" t="s">
        <v>4746</v>
      </c>
      <c r="B24">
        <v>601665</v>
      </c>
      <c r="C24" t="s">
        <v>4747</v>
      </c>
      <c r="D24" t="s">
        <v>198</v>
      </c>
      <c r="E24" t="s">
        <v>62</v>
      </c>
      <c r="F24" t="s">
        <v>4748</v>
      </c>
      <c r="G24" t="s">
        <v>152</v>
      </c>
      <c r="H24" t="s">
        <v>174</v>
      </c>
      <c r="I24" t="s">
        <v>154</v>
      </c>
      <c r="J24">
        <v>20210618</v>
      </c>
    </row>
    <row r="25" spans="1:10">
      <c r="A25" t="s">
        <v>4749</v>
      </c>
      <c r="B25">
        <v>601818</v>
      </c>
      <c r="C25" t="s">
        <v>4750</v>
      </c>
      <c r="D25" t="s">
        <v>164</v>
      </c>
      <c r="E25" t="s">
        <v>62</v>
      </c>
      <c r="F25" t="s">
        <v>4751</v>
      </c>
      <c r="G25" t="s">
        <v>152</v>
      </c>
      <c r="H25" t="s">
        <v>174</v>
      </c>
      <c r="I25" t="s">
        <v>154</v>
      </c>
      <c r="J25">
        <v>20100818</v>
      </c>
    </row>
    <row r="26" spans="1:10">
      <c r="A26" t="s">
        <v>4752</v>
      </c>
      <c r="B26">
        <v>601825</v>
      </c>
      <c r="C26" t="s">
        <v>4753</v>
      </c>
      <c r="D26" t="s">
        <v>172</v>
      </c>
      <c r="E26" t="s">
        <v>62</v>
      </c>
      <c r="F26" t="s">
        <v>4754</v>
      </c>
      <c r="G26" t="s">
        <v>152</v>
      </c>
      <c r="H26" t="s">
        <v>174</v>
      </c>
      <c r="I26" t="s">
        <v>154</v>
      </c>
      <c r="J26">
        <v>20210819</v>
      </c>
    </row>
    <row r="27" spans="1:10">
      <c r="A27" t="s">
        <v>4755</v>
      </c>
      <c r="B27">
        <v>601838</v>
      </c>
      <c r="C27" t="s">
        <v>4756</v>
      </c>
      <c r="D27" t="s">
        <v>219</v>
      </c>
      <c r="E27" t="s">
        <v>62</v>
      </c>
      <c r="F27" t="s">
        <v>4757</v>
      </c>
      <c r="G27" t="s">
        <v>152</v>
      </c>
      <c r="H27" t="s">
        <v>174</v>
      </c>
      <c r="I27" t="s">
        <v>154</v>
      </c>
      <c r="J27">
        <v>20180131</v>
      </c>
    </row>
    <row r="28" spans="1:10">
      <c r="A28" t="s">
        <v>4758</v>
      </c>
      <c r="B28">
        <v>601860</v>
      </c>
      <c r="C28" t="s">
        <v>4759</v>
      </c>
      <c r="D28" t="s">
        <v>212</v>
      </c>
      <c r="E28" t="s">
        <v>62</v>
      </c>
      <c r="F28" t="s">
        <v>4760</v>
      </c>
      <c r="G28" t="s">
        <v>152</v>
      </c>
      <c r="H28" t="s">
        <v>174</v>
      </c>
      <c r="I28" t="s">
        <v>154</v>
      </c>
      <c r="J28">
        <v>20190103</v>
      </c>
    </row>
    <row r="29" spans="1:10">
      <c r="A29" t="s">
        <v>4761</v>
      </c>
      <c r="B29">
        <v>601916</v>
      </c>
      <c r="C29" t="s">
        <v>4762</v>
      </c>
      <c r="D29" t="s">
        <v>423</v>
      </c>
      <c r="E29" t="s">
        <v>62</v>
      </c>
      <c r="F29" t="s">
        <v>4763</v>
      </c>
      <c r="G29" t="s">
        <v>152</v>
      </c>
      <c r="H29" t="s">
        <v>174</v>
      </c>
      <c r="I29" t="s">
        <v>154</v>
      </c>
      <c r="J29">
        <v>20191126</v>
      </c>
    </row>
    <row r="30" spans="1:10">
      <c r="A30" t="s">
        <v>4764</v>
      </c>
      <c r="B30">
        <v>601939</v>
      </c>
      <c r="C30" t="s">
        <v>4765</v>
      </c>
      <c r="D30" t="s">
        <v>164</v>
      </c>
      <c r="E30" t="s">
        <v>62</v>
      </c>
      <c r="F30" t="s">
        <v>4766</v>
      </c>
      <c r="G30" t="s">
        <v>152</v>
      </c>
      <c r="H30" t="s">
        <v>174</v>
      </c>
      <c r="I30" t="s">
        <v>154</v>
      </c>
      <c r="J30">
        <v>20070925</v>
      </c>
    </row>
    <row r="31" spans="1:10">
      <c r="A31" t="s">
        <v>4767</v>
      </c>
      <c r="B31">
        <v>601963</v>
      </c>
      <c r="C31" t="s">
        <v>4768</v>
      </c>
      <c r="D31" t="s">
        <v>937</v>
      </c>
      <c r="E31" t="s">
        <v>62</v>
      </c>
      <c r="F31" t="s">
        <v>4769</v>
      </c>
      <c r="G31" t="s">
        <v>152</v>
      </c>
      <c r="H31" t="s">
        <v>174</v>
      </c>
      <c r="I31" t="s">
        <v>154</v>
      </c>
      <c r="J31">
        <v>20210205</v>
      </c>
    </row>
    <row r="32" spans="1:10">
      <c r="A32" t="s">
        <v>4770</v>
      </c>
      <c r="B32">
        <v>601988</v>
      </c>
      <c r="C32" t="s">
        <v>4771</v>
      </c>
      <c r="D32" t="s">
        <v>164</v>
      </c>
      <c r="E32" t="s">
        <v>62</v>
      </c>
      <c r="F32" t="s">
        <v>4772</v>
      </c>
      <c r="G32" t="s">
        <v>152</v>
      </c>
      <c r="H32" t="s">
        <v>174</v>
      </c>
      <c r="I32" t="s">
        <v>154</v>
      </c>
      <c r="J32">
        <v>20060705</v>
      </c>
    </row>
    <row r="33" spans="1:10">
      <c r="A33" t="s">
        <v>4773</v>
      </c>
      <c r="B33">
        <v>601997</v>
      </c>
      <c r="C33" t="s">
        <v>4774</v>
      </c>
      <c r="D33" t="s">
        <v>463</v>
      </c>
      <c r="E33" t="s">
        <v>62</v>
      </c>
      <c r="F33" t="s">
        <v>4775</v>
      </c>
      <c r="G33" t="s">
        <v>152</v>
      </c>
      <c r="H33" t="s">
        <v>174</v>
      </c>
      <c r="I33" t="s">
        <v>154</v>
      </c>
      <c r="J33">
        <v>20160816</v>
      </c>
    </row>
    <row r="34" spans="1:10">
      <c r="A34" t="s">
        <v>4776</v>
      </c>
      <c r="B34">
        <v>601998</v>
      </c>
      <c r="C34" t="s">
        <v>4777</v>
      </c>
      <c r="D34" t="s">
        <v>164</v>
      </c>
      <c r="E34" t="s">
        <v>62</v>
      </c>
      <c r="F34" t="s">
        <v>4778</v>
      </c>
      <c r="G34" t="s">
        <v>152</v>
      </c>
      <c r="H34" t="s">
        <v>174</v>
      </c>
      <c r="I34" t="s">
        <v>154</v>
      </c>
      <c r="J34">
        <v>20070427</v>
      </c>
    </row>
    <row r="35" spans="1:10">
      <c r="A35" t="s">
        <v>4779</v>
      </c>
      <c r="B35">
        <v>603323</v>
      </c>
      <c r="C35" t="s">
        <v>4780</v>
      </c>
      <c r="D35" t="s">
        <v>212</v>
      </c>
      <c r="E35" t="s">
        <v>62</v>
      </c>
      <c r="F35" t="s">
        <v>4781</v>
      </c>
      <c r="G35" t="s">
        <v>152</v>
      </c>
      <c r="H35" t="s">
        <v>174</v>
      </c>
      <c r="I35" t="s">
        <v>154</v>
      </c>
      <c r="J35">
        <v>20161129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topLeftCell="A19" workbookViewId="0">
      <selection activeCell="A55" sqref="A55:J55"/>
    </sheetView>
  </sheetViews>
  <sheetFormatPr defaultColWidth="9" defaultRowHeight="13.5"/>
  <cols>
    <col min="1" max="1" width="13.25" customWidth="1"/>
    <col min="6" max="6" width="19.875" customWidth="1"/>
  </cols>
  <sheetData>
    <row r="1" spans="1:10">
      <c r="A1" t="s">
        <v>4782</v>
      </c>
      <c r="B1">
        <v>46</v>
      </c>
      <c r="C1" t="s">
        <v>4783</v>
      </c>
      <c r="D1" t="s">
        <v>164</v>
      </c>
      <c r="E1" t="s">
        <v>73</v>
      </c>
      <c r="F1" t="s">
        <v>4784</v>
      </c>
      <c r="G1" t="s">
        <v>152</v>
      </c>
      <c r="H1" t="s">
        <v>153</v>
      </c>
      <c r="I1" t="s">
        <v>154</v>
      </c>
      <c r="J1">
        <v>19940912</v>
      </c>
    </row>
    <row r="2" spans="1:10">
      <c r="A2" t="s">
        <v>4785</v>
      </c>
      <c r="B2">
        <v>166</v>
      </c>
      <c r="C2" t="s">
        <v>4786</v>
      </c>
      <c r="D2" t="s">
        <v>202</v>
      </c>
      <c r="E2" t="s">
        <v>87</v>
      </c>
      <c r="F2" t="s">
        <v>4787</v>
      </c>
      <c r="G2" t="s">
        <v>152</v>
      </c>
      <c r="H2" t="s">
        <v>153</v>
      </c>
      <c r="I2" t="s">
        <v>154</v>
      </c>
      <c r="J2">
        <v>20150126</v>
      </c>
    </row>
    <row r="3" spans="1:14">
      <c r="A3" t="s">
        <v>4788</v>
      </c>
      <c r="B3">
        <v>415</v>
      </c>
      <c r="C3" t="s">
        <v>4789</v>
      </c>
      <c r="D3" t="s">
        <v>202</v>
      </c>
      <c r="E3" t="s">
        <v>73</v>
      </c>
      <c r="F3" t="s">
        <v>4790</v>
      </c>
      <c r="G3" t="s">
        <v>152</v>
      </c>
      <c r="H3" t="s">
        <v>153</v>
      </c>
      <c r="I3" t="s">
        <v>154</v>
      </c>
      <c r="J3">
        <v>19960716</v>
      </c>
      <c r="M3" t="s">
        <v>4129</v>
      </c>
      <c r="N3">
        <v>73</v>
      </c>
    </row>
    <row r="4" spans="1:14">
      <c r="A4" t="s">
        <v>4791</v>
      </c>
      <c r="B4">
        <v>416</v>
      </c>
      <c r="C4" t="s">
        <v>4792</v>
      </c>
      <c r="D4" t="s">
        <v>198</v>
      </c>
      <c r="E4" t="s">
        <v>73</v>
      </c>
      <c r="F4" t="s">
        <v>4793</v>
      </c>
      <c r="G4" t="s">
        <v>152</v>
      </c>
      <c r="H4" t="s">
        <v>153</v>
      </c>
      <c r="I4" t="s">
        <v>154</v>
      </c>
      <c r="J4">
        <v>19960719</v>
      </c>
      <c r="M4" t="s">
        <v>4133</v>
      </c>
      <c r="N4" s="2">
        <f ca="1">CEILING(RAND()*N3,1)</f>
        <v>16</v>
      </c>
    </row>
    <row r="5" spans="1:10">
      <c r="A5" t="s">
        <v>4794</v>
      </c>
      <c r="B5">
        <v>532</v>
      </c>
      <c r="C5" t="s">
        <v>4795</v>
      </c>
      <c r="D5" t="s">
        <v>223</v>
      </c>
      <c r="E5" t="s">
        <v>73</v>
      </c>
      <c r="F5" t="s">
        <v>4796</v>
      </c>
      <c r="G5" t="s">
        <v>152</v>
      </c>
      <c r="H5" t="s">
        <v>153</v>
      </c>
      <c r="I5" t="s">
        <v>154</v>
      </c>
      <c r="J5">
        <v>19940103</v>
      </c>
    </row>
    <row r="6" spans="1:10">
      <c r="A6" t="s">
        <v>4797</v>
      </c>
      <c r="B6">
        <v>540</v>
      </c>
      <c r="C6" t="s">
        <v>4798</v>
      </c>
      <c r="D6" t="s">
        <v>463</v>
      </c>
      <c r="E6" t="s">
        <v>73</v>
      </c>
      <c r="F6" t="s">
        <v>4799</v>
      </c>
      <c r="G6" t="s">
        <v>152</v>
      </c>
      <c r="H6" t="s">
        <v>153</v>
      </c>
      <c r="I6" t="s">
        <v>154</v>
      </c>
      <c r="J6">
        <v>19940202</v>
      </c>
    </row>
    <row r="7" spans="1:10">
      <c r="A7" t="s">
        <v>4800</v>
      </c>
      <c r="B7">
        <v>563</v>
      </c>
      <c r="C7" t="s">
        <v>4801</v>
      </c>
      <c r="D7" t="s">
        <v>419</v>
      </c>
      <c r="E7" t="s">
        <v>73</v>
      </c>
      <c r="F7" t="s">
        <v>4802</v>
      </c>
      <c r="G7" t="s">
        <v>152</v>
      </c>
      <c r="H7" t="s">
        <v>153</v>
      </c>
      <c r="I7" t="s">
        <v>154</v>
      </c>
      <c r="J7">
        <v>19940110</v>
      </c>
    </row>
    <row r="8" spans="1:10">
      <c r="A8" t="s">
        <v>4803</v>
      </c>
      <c r="B8">
        <v>567</v>
      </c>
      <c r="C8" t="s">
        <v>4804</v>
      </c>
      <c r="D8" t="s">
        <v>250</v>
      </c>
      <c r="E8" t="s">
        <v>73</v>
      </c>
      <c r="F8" t="s">
        <v>4805</v>
      </c>
      <c r="G8" t="s">
        <v>152</v>
      </c>
      <c r="H8" t="s">
        <v>153</v>
      </c>
      <c r="I8" t="s">
        <v>154</v>
      </c>
      <c r="J8">
        <v>19940525</v>
      </c>
    </row>
    <row r="9" spans="1:10">
      <c r="A9" t="s">
        <v>4806</v>
      </c>
      <c r="B9">
        <v>617</v>
      </c>
      <c r="C9" t="s">
        <v>4807</v>
      </c>
      <c r="D9" t="s">
        <v>202</v>
      </c>
      <c r="E9" t="s">
        <v>73</v>
      </c>
      <c r="F9" t="s">
        <v>4808</v>
      </c>
      <c r="G9" t="s">
        <v>152</v>
      </c>
      <c r="H9" t="s">
        <v>153</v>
      </c>
      <c r="I9" t="s">
        <v>154</v>
      </c>
      <c r="J9">
        <v>19961022</v>
      </c>
    </row>
    <row r="10" spans="1:10">
      <c r="A10" t="s">
        <v>4809</v>
      </c>
      <c r="B10">
        <v>627</v>
      </c>
      <c r="C10" t="s">
        <v>4810</v>
      </c>
      <c r="D10" t="s">
        <v>316</v>
      </c>
      <c r="E10" t="s">
        <v>38</v>
      </c>
      <c r="F10" t="s">
        <v>4811</v>
      </c>
      <c r="G10" t="s">
        <v>152</v>
      </c>
      <c r="H10" t="s">
        <v>153</v>
      </c>
      <c r="I10" t="s">
        <v>154</v>
      </c>
      <c r="J10">
        <v>19961112</v>
      </c>
    </row>
    <row r="11" spans="1:10">
      <c r="A11" t="s">
        <v>4812</v>
      </c>
      <c r="B11">
        <v>666</v>
      </c>
      <c r="C11" t="s">
        <v>4813</v>
      </c>
      <c r="D11" t="s">
        <v>164</v>
      </c>
      <c r="E11" t="s">
        <v>73</v>
      </c>
      <c r="F11" t="s">
        <v>4814</v>
      </c>
      <c r="G11" t="s">
        <v>152</v>
      </c>
      <c r="H11" t="s">
        <v>153</v>
      </c>
      <c r="I11" t="s">
        <v>154</v>
      </c>
      <c r="J11">
        <v>19961210</v>
      </c>
    </row>
    <row r="12" spans="1:10">
      <c r="A12" t="s">
        <v>4815</v>
      </c>
      <c r="B12">
        <v>686</v>
      </c>
      <c r="C12" t="s">
        <v>4816</v>
      </c>
      <c r="D12" t="s">
        <v>312</v>
      </c>
      <c r="E12" t="s">
        <v>87</v>
      </c>
      <c r="F12" t="s">
        <v>4817</v>
      </c>
      <c r="G12" t="s">
        <v>152</v>
      </c>
      <c r="H12" t="s">
        <v>153</v>
      </c>
      <c r="I12" t="s">
        <v>154</v>
      </c>
      <c r="J12">
        <v>19970227</v>
      </c>
    </row>
    <row r="13" spans="1:10">
      <c r="A13" t="s">
        <v>4818</v>
      </c>
      <c r="B13">
        <v>712</v>
      </c>
      <c r="C13" t="s">
        <v>4819</v>
      </c>
      <c r="D13" t="s">
        <v>223</v>
      </c>
      <c r="E13" t="s">
        <v>87</v>
      </c>
      <c r="F13" t="s">
        <v>4820</v>
      </c>
      <c r="G13" t="s">
        <v>152</v>
      </c>
      <c r="H13" t="s">
        <v>153</v>
      </c>
      <c r="I13" t="s">
        <v>154</v>
      </c>
      <c r="J13">
        <v>19970415</v>
      </c>
    </row>
    <row r="14" spans="1:10">
      <c r="A14" t="s">
        <v>4821</v>
      </c>
      <c r="B14">
        <v>728</v>
      </c>
      <c r="C14" t="s">
        <v>4822</v>
      </c>
      <c r="D14" t="s">
        <v>160</v>
      </c>
      <c r="E14" t="s">
        <v>87</v>
      </c>
      <c r="F14" t="s">
        <v>4823</v>
      </c>
      <c r="G14" t="s">
        <v>152</v>
      </c>
      <c r="H14" t="s">
        <v>153</v>
      </c>
      <c r="I14" t="s">
        <v>154</v>
      </c>
      <c r="J14">
        <v>19970616</v>
      </c>
    </row>
    <row r="15" spans="1:10">
      <c r="A15" t="s">
        <v>4824</v>
      </c>
      <c r="B15">
        <v>750</v>
      </c>
      <c r="C15" t="s">
        <v>4825</v>
      </c>
      <c r="D15" t="s">
        <v>345</v>
      </c>
      <c r="E15" t="s">
        <v>87</v>
      </c>
      <c r="F15" t="s">
        <v>4826</v>
      </c>
      <c r="G15" t="s">
        <v>152</v>
      </c>
      <c r="H15" t="s">
        <v>153</v>
      </c>
      <c r="I15" t="s">
        <v>154</v>
      </c>
      <c r="J15">
        <v>19970709</v>
      </c>
    </row>
    <row r="16" spans="1:10">
      <c r="A16" t="s">
        <v>4827</v>
      </c>
      <c r="B16">
        <v>776</v>
      </c>
      <c r="C16" t="s">
        <v>4828</v>
      </c>
      <c r="D16" t="s">
        <v>223</v>
      </c>
      <c r="E16" t="s">
        <v>87</v>
      </c>
      <c r="F16" t="s">
        <v>4829</v>
      </c>
      <c r="G16" t="s">
        <v>152</v>
      </c>
      <c r="H16" t="s">
        <v>153</v>
      </c>
      <c r="I16" t="s">
        <v>154</v>
      </c>
      <c r="J16">
        <v>19970611</v>
      </c>
    </row>
    <row r="17" spans="1:10">
      <c r="A17" t="s">
        <v>4830</v>
      </c>
      <c r="B17">
        <v>783</v>
      </c>
      <c r="C17" t="s">
        <v>4831</v>
      </c>
      <c r="D17" t="s">
        <v>316</v>
      </c>
      <c r="E17" t="s">
        <v>87</v>
      </c>
      <c r="F17" t="s">
        <v>4832</v>
      </c>
      <c r="G17" t="s">
        <v>152</v>
      </c>
      <c r="H17" t="s">
        <v>153</v>
      </c>
      <c r="I17" t="s">
        <v>154</v>
      </c>
      <c r="J17">
        <v>19970731</v>
      </c>
    </row>
    <row r="18" spans="1:10">
      <c r="A18" t="s">
        <v>4833</v>
      </c>
      <c r="B18">
        <v>958</v>
      </c>
      <c r="C18" t="s">
        <v>4834</v>
      </c>
      <c r="D18" t="s">
        <v>279</v>
      </c>
      <c r="E18" t="s">
        <v>73</v>
      </c>
      <c r="F18" t="s">
        <v>4835</v>
      </c>
      <c r="G18" t="s">
        <v>152</v>
      </c>
      <c r="H18" t="s">
        <v>153</v>
      </c>
      <c r="I18" t="s">
        <v>154</v>
      </c>
      <c r="J18">
        <v>19991223</v>
      </c>
    </row>
    <row r="19" spans="1:10">
      <c r="A19" t="s">
        <v>4836</v>
      </c>
      <c r="B19">
        <v>987</v>
      </c>
      <c r="C19" t="s">
        <v>4837</v>
      </c>
      <c r="D19" t="s">
        <v>223</v>
      </c>
      <c r="E19" t="s">
        <v>73</v>
      </c>
      <c r="F19" t="s">
        <v>4838</v>
      </c>
      <c r="G19" t="s">
        <v>152</v>
      </c>
      <c r="H19" t="s">
        <v>153</v>
      </c>
      <c r="I19" t="s">
        <v>154</v>
      </c>
      <c r="J19">
        <v>20000718</v>
      </c>
    </row>
    <row r="20" spans="1:10">
      <c r="A20" t="s">
        <v>4839</v>
      </c>
      <c r="B20">
        <v>1236</v>
      </c>
      <c r="C20" t="s">
        <v>4840</v>
      </c>
      <c r="D20" t="s">
        <v>212</v>
      </c>
      <c r="E20" t="s">
        <v>73</v>
      </c>
      <c r="F20" t="s">
        <v>4841</v>
      </c>
      <c r="G20" t="s">
        <v>152</v>
      </c>
      <c r="H20" t="s">
        <v>153</v>
      </c>
      <c r="I20" t="s">
        <v>154</v>
      </c>
      <c r="J20">
        <v>20220805</v>
      </c>
    </row>
    <row r="21" spans="1:10">
      <c r="A21" t="s">
        <v>4842</v>
      </c>
      <c r="B21">
        <v>600030</v>
      </c>
      <c r="C21" t="s">
        <v>4843</v>
      </c>
      <c r="D21" t="s">
        <v>243</v>
      </c>
      <c r="E21" t="s">
        <v>87</v>
      </c>
      <c r="F21" t="s">
        <v>4844</v>
      </c>
      <c r="G21" t="s">
        <v>152</v>
      </c>
      <c r="H21" t="s">
        <v>174</v>
      </c>
      <c r="I21" t="s">
        <v>154</v>
      </c>
      <c r="J21">
        <v>20030106</v>
      </c>
    </row>
    <row r="22" spans="1:10">
      <c r="A22" t="s">
        <v>4845</v>
      </c>
      <c r="B22">
        <v>600053</v>
      </c>
      <c r="C22" t="s">
        <v>4846</v>
      </c>
      <c r="D22" t="s">
        <v>406</v>
      </c>
      <c r="E22" t="s">
        <v>73</v>
      </c>
      <c r="F22" t="s">
        <v>4847</v>
      </c>
      <c r="G22" t="s">
        <v>152</v>
      </c>
      <c r="H22" t="s">
        <v>174</v>
      </c>
      <c r="I22" t="s">
        <v>154</v>
      </c>
      <c r="J22">
        <v>19970418</v>
      </c>
    </row>
    <row r="23" spans="1:10">
      <c r="A23" t="s">
        <v>4848</v>
      </c>
      <c r="B23">
        <v>600061</v>
      </c>
      <c r="C23" t="s">
        <v>4849</v>
      </c>
      <c r="D23" t="s">
        <v>172</v>
      </c>
      <c r="E23" t="s">
        <v>87</v>
      </c>
      <c r="F23" t="s">
        <v>4850</v>
      </c>
      <c r="G23" t="s">
        <v>152</v>
      </c>
      <c r="H23" t="s">
        <v>174</v>
      </c>
      <c r="I23" t="s">
        <v>154</v>
      </c>
      <c r="J23">
        <v>19970519</v>
      </c>
    </row>
    <row r="24" spans="1:10">
      <c r="A24" t="s">
        <v>4851</v>
      </c>
      <c r="B24">
        <v>600095</v>
      </c>
      <c r="C24" t="s">
        <v>4852</v>
      </c>
      <c r="D24" t="s">
        <v>194</v>
      </c>
      <c r="E24" t="s">
        <v>87</v>
      </c>
      <c r="F24" t="s">
        <v>4853</v>
      </c>
      <c r="G24" t="s">
        <v>152</v>
      </c>
      <c r="H24" t="s">
        <v>174</v>
      </c>
      <c r="I24" t="s">
        <v>154</v>
      </c>
      <c r="J24">
        <v>19970708</v>
      </c>
    </row>
    <row r="25" spans="1:10">
      <c r="A25" t="s">
        <v>4854</v>
      </c>
      <c r="B25">
        <v>600109</v>
      </c>
      <c r="C25" t="s">
        <v>4855</v>
      </c>
      <c r="D25" t="s">
        <v>219</v>
      </c>
      <c r="E25" t="s">
        <v>87</v>
      </c>
      <c r="F25" t="s">
        <v>4856</v>
      </c>
      <c r="G25" t="s">
        <v>152</v>
      </c>
      <c r="H25" t="s">
        <v>174</v>
      </c>
      <c r="I25" t="s">
        <v>154</v>
      </c>
      <c r="J25">
        <v>19970807</v>
      </c>
    </row>
    <row r="26" spans="1:10">
      <c r="A26" t="s">
        <v>4857</v>
      </c>
      <c r="B26">
        <v>600120</v>
      </c>
      <c r="C26" t="s">
        <v>4858</v>
      </c>
      <c r="D26" t="s">
        <v>423</v>
      </c>
      <c r="E26" t="s">
        <v>73</v>
      </c>
      <c r="F26" t="s">
        <v>4859</v>
      </c>
      <c r="G26" t="s">
        <v>152</v>
      </c>
      <c r="H26" t="s">
        <v>174</v>
      </c>
      <c r="I26" t="s">
        <v>154</v>
      </c>
      <c r="J26">
        <v>19971201</v>
      </c>
    </row>
    <row r="27" spans="1:10">
      <c r="A27" t="s">
        <v>4860</v>
      </c>
      <c r="B27">
        <v>600155</v>
      </c>
      <c r="C27" t="s">
        <v>4861</v>
      </c>
      <c r="D27" t="s">
        <v>164</v>
      </c>
      <c r="E27" t="s">
        <v>87</v>
      </c>
      <c r="F27" t="s">
        <v>4862</v>
      </c>
      <c r="G27" t="s">
        <v>152</v>
      </c>
      <c r="H27" t="s">
        <v>174</v>
      </c>
      <c r="I27" t="s">
        <v>154</v>
      </c>
      <c r="J27">
        <v>19980918</v>
      </c>
    </row>
    <row r="28" spans="1:10">
      <c r="A28" t="s">
        <v>4863</v>
      </c>
      <c r="B28">
        <v>600318</v>
      </c>
      <c r="C28" t="s">
        <v>4864</v>
      </c>
      <c r="D28" t="s">
        <v>160</v>
      </c>
      <c r="E28" t="s">
        <v>73</v>
      </c>
      <c r="F28" t="s">
        <v>4865</v>
      </c>
      <c r="G28" t="s">
        <v>152</v>
      </c>
      <c r="H28" t="s">
        <v>174</v>
      </c>
      <c r="I28" t="s">
        <v>154</v>
      </c>
      <c r="J28">
        <v>20001208</v>
      </c>
    </row>
    <row r="29" spans="1:10">
      <c r="A29" t="s">
        <v>4866</v>
      </c>
      <c r="B29">
        <v>600369</v>
      </c>
      <c r="C29" t="s">
        <v>4867</v>
      </c>
      <c r="D29" t="s">
        <v>937</v>
      </c>
      <c r="E29" t="s">
        <v>87</v>
      </c>
      <c r="F29" t="s">
        <v>4868</v>
      </c>
      <c r="G29" t="s">
        <v>152</v>
      </c>
      <c r="H29" t="s">
        <v>174</v>
      </c>
      <c r="I29" t="s">
        <v>154</v>
      </c>
      <c r="J29">
        <v>20010109</v>
      </c>
    </row>
    <row r="30" spans="1:10">
      <c r="A30" t="s">
        <v>4869</v>
      </c>
      <c r="B30">
        <v>600390</v>
      </c>
      <c r="C30" t="s">
        <v>4870</v>
      </c>
      <c r="D30" t="s">
        <v>168</v>
      </c>
      <c r="E30" t="s">
        <v>73</v>
      </c>
      <c r="F30" t="s">
        <v>4871</v>
      </c>
      <c r="G30" t="s">
        <v>152</v>
      </c>
      <c r="H30" t="s">
        <v>174</v>
      </c>
      <c r="I30" t="s">
        <v>154</v>
      </c>
      <c r="J30">
        <v>20010115</v>
      </c>
    </row>
    <row r="31" spans="1:10">
      <c r="A31" t="s">
        <v>4872</v>
      </c>
      <c r="B31">
        <v>600517</v>
      </c>
      <c r="C31" t="s">
        <v>4873</v>
      </c>
      <c r="D31" t="s">
        <v>172</v>
      </c>
      <c r="E31" t="s">
        <v>73</v>
      </c>
      <c r="F31" t="s">
        <v>4874</v>
      </c>
      <c r="G31" t="s">
        <v>152</v>
      </c>
      <c r="H31" t="s">
        <v>174</v>
      </c>
      <c r="I31" t="s">
        <v>154</v>
      </c>
      <c r="J31">
        <v>20031010</v>
      </c>
    </row>
    <row r="32" spans="1:10">
      <c r="A32" t="s">
        <v>4875</v>
      </c>
      <c r="B32">
        <v>600621</v>
      </c>
      <c r="C32" t="s">
        <v>4876</v>
      </c>
      <c r="D32" t="s">
        <v>172</v>
      </c>
      <c r="E32" t="s">
        <v>87</v>
      </c>
      <c r="F32" t="s">
        <v>4877</v>
      </c>
      <c r="G32" t="s">
        <v>152</v>
      </c>
      <c r="H32" t="s">
        <v>174</v>
      </c>
      <c r="I32" t="s">
        <v>154</v>
      </c>
      <c r="J32">
        <v>19921202</v>
      </c>
    </row>
    <row r="33" spans="1:10">
      <c r="A33" t="s">
        <v>4878</v>
      </c>
      <c r="B33">
        <v>600643</v>
      </c>
      <c r="C33" t="s">
        <v>4879</v>
      </c>
      <c r="D33" t="s">
        <v>172</v>
      </c>
      <c r="E33" t="s">
        <v>73</v>
      </c>
      <c r="F33" t="s">
        <v>4880</v>
      </c>
      <c r="G33" t="s">
        <v>152</v>
      </c>
      <c r="H33" t="s">
        <v>174</v>
      </c>
      <c r="I33" t="s">
        <v>154</v>
      </c>
      <c r="J33">
        <v>19930426</v>
      </c>
    </row>
    <row r="34" spans="1:10">
      <c r="A34" t="s">
        <v>4881</v>
      </c>
      <c r="B34">
        <v>600705</v>
      </c>
      <c r="C34" t="s">
        <v>4882</v>
      </c>
      <c r="D34" t="s">
        <v>194</v>
      </c>
      <c r="E34" t="s">
        <v>73</v>
      </c>
      <c r="F34" t="s">
        <v>4883</v>
      </c>
      <c r="G34" t="s">
        <v>152</v>
      </c>
      <c r="H34" t="s">
        <v>174</v>
      </c>
      <c r="I34" t="s">
        <v>154</v>
      </c>
      <c r="J34">
        <v>19960516</v>
      </c>
    </row>
    <row r="35" spans="1:10">
      <c r="A35" t="s">
        <v>4884</v>
      </c>
      <c r="B35">
        <v>600783</v>
      </c>
      <c r="C35" t="s">
        <v>4885</v>
      </c>
      <c r="D35" t="s">
        <v>198</v>
      </c>
      <c r="E35" t="s">
        <v>73</v>
      </c>
      <c r="F35" t="s">
        <v>4886</v>
      </c>
      <c r="G35" t="s">
        <v>152</v>
      </c>
      <c r="H35" t="s">
        <v>174</v>
      </c>
      <c r="I35" t="s">
        <v>154</v>
      </c>
      <c r="J35">
        <v>19961225</v>
      </c>
    </row>
    <row r="36" spans="1:10">
      <c r="A36" t="s">
        <v>4887</v>
      </c>
      <c r="B36">
        <v>600816</v>
      </c>
      <c r="C36" t="s">
        <v>4888</v>
      </c>
      <c r="D36" t="s">
        <v>172</v>
      </c>
      <c r="E36" t="s">
        <v>73</v>
      </c>
      <c r="F36" t="s">
        <v>4889</v>
      </c>
      <c r="G36" t="s">
        <v>152</v>
      </c>
      <c r="H36" t="s">
        <v>174</v>
      </c>
      <c r="I36" t="s">
        <v>154</v>
      </c>
      <c r="J36">
        <v>19940128</v>
      </c>
    </row>
    <row r="37" spans="1:10">
      <c r="A37" t="s">
        <v>4890</v>
      </c>
      <c r="B37">
        <v>600830</v>
      </c>
      <c r="C37" t="s">
        <v>4891</v>
      </c>
      <c r="D37" t="s">
        <v>423</v>
      </c>
      <c r="E37" t="s">
        <v>73</v>
      </c>
      <c r="F37" t="s">
        <v>4892</v>
      </c>
      <c r="G37" t="s">
        <v>152</v>
      </c>
      <c r="H37" t="s">
        <v>174</v>
      </c>
      <c r="I37" t="s">
        <v>154</v>
      </c>
      <c r="J37">
        <v>19940224</v>
      </c>
    </row>
    <row r="38" spans="1:10">
      <c r="A38" t="s">
        <v>4893</v>
      </c>
      <c r="B38">
        <v>600837</v>
      </c>
      <c r="C38" t="s">
        <v>4894</v>
      </c>
      <c r="D38" t="s">
        <v>172</v>
      </c>
      <c r="E38" t="s">
        <v>87</v>
      </c>
      <c r="F38" t="s">
        <v>4895</v>
      </c>
      <c r="G38" t="s">
        <v>152</v>
      </c>
      <c r="H38" t="s">
        <v>174</v>
      </c>
      <c r="I38" t="s">
        <v>154</v>
      </c>
      <c r="J38">
        <v>19940224</v>
      </c>
    </row>
    <row r="39" spans="1:10">
      <c r="A39" s="4" t="s">
        <v>4896</v>
      </c>
      <c r="B39" s="4">
        <v>600864</v>
      </c>
      <c r="C39" s="4" t="s">
        <v>4897</v>
      </c>
      <c r="D39" s="4" t="s">
        <v>194</v>
      </c>
      <c r="E39" s="4" t="s">
        <v>87</v>
      </c>
      <c r="F39" s="4" t="s">
        <v>4898</v>
      </c>
      <c r="G39" s="4" t="s">
        <v>152</v>
      </c>
      <c r="H39" s="4" t="s">
        <v>174</v>
      </c>
      <c r="I39" s="4" t="s">
        <v>154</v>
      </c>
      <c r="J39" s="4">
        <v>19940809</v>
      </c>
    </row>
    <row r="40" spans="1:10">
      <c r="A40" t="s">
        <v>4899</v>
      </c>
      <c r="B40">
        <v>600901</v>
      </c>
      <c r="C40" t="s">
        <v>4900</v>
      </c>
      <c r="D40" t="s">
        <v>212</v>
      </c>
      <c r="E40" t="s">
        <v>73</v>
      </c>
      <c r="F40" t="s">
        <v>4901</v>
      </c>
      <c r="G40" t="s">
        <v>152</v>
      </c>
      <c r="H40" t="s">
        <v>174</v>
      </c>
      <c r="I40" t="s">
        <v>154</v>
      </c>
      <c r="J40">
        <v>20180301</v>
      </c>
    </row>
    <row r="41" spans="1:10">
      <c r="A41" t="s">
        <v>4902</v>
      </c>
      <c r="B41">
        <v>600906</v>
      </c>
      <c r="C41" t="s">
        <v>4903</v>
      </c>
      <c r="D41" t="s">
        <v>279</v>
      </c>
      <c r="E41" t="s">
        <v>87</v>
      </c>
      <c r="F41" t="s">
        <v>4904</v>
      </c>
      <c r="G41" t="s">
        <v>152</v>
      </c>
      <c r="H41" t="s">
        <v>174</v>
      </c>
      <c r="I41" t="s">
        <v>154</v>
      </c>
      <c r="J41">
        <v>20210507</v>
      </c>
    </row>
    <row r="42" spans="1:10">
      <c r="A42" t="s">
        <v>4905</v>
      </c>
      <c r="B42">
        <v>600909</v>
      </c>
      <c r="C42" t="s">
        <v>4906</v>
      </c>
      <c r="D42" t="s">
        <v>160</v>
      </c>
      <c r="E42" t="s">
        <v>87</v>
      </c>
      <c r="F42" t="s">
        <v>4907</v>
      </c>
      <c r="G42" t="s">
        <v>152</v>
      </c>
      <c r="H42" t="s">
        <v>174</v>
      </c>
      <c r="I42" t="s">
        <v>154</v>
      </c>
      <c r="J42">
        <v>20161206</v>
      </c>
    </row>
    <row r="43" spans="1:10">
      <c r="A43" t="s">
        <v>4908</v>
      </c>
      <c r="B43">
        <v>600918</v>
      </c>
      <c r="C43" t="s">
        <v>4909</v>
      </c>
      <c r="D43" t="s">
        <v>198</v>
      </c>
      <c r="E43" t="s">
        <v>87</v>
      </c>
      <c r="F43" t="s">
        <v>4910</v>
      </c>
      <c r="G43" t="s">
        <v>152</v>
      </c>
      <c r="H43" t="s">
        <v>174</v>
      </c>
      <c r="I43" t="s">
        <v>154</v>
      </c>
      <c r="J43">
        <v>20200603</v>
      </c>
    </row>
    <row r="44" spans="1:10">
      <c r="A44" t="s">
        <v>4911</v>
      </c>
      <c r="B44">
        <v>600927</v>
      </c>
      <c r="C44" t="s">
        <v>4912</v>
      </c>
      <c r="D44" t="s">
        <v>423</v>
      </c>
      <c r="E44" t="s">
        <v>73</v>
      </c>
      <c r="F44" t="s">
        <v>4913</v>
      </c>
      <c r="G44" t="s">
        <v>152</v>
      </c>
      <c r="H44" t="s">
        <v>174</v>
      </c>
      <c r="I44" t="s">
        <v>154</v>
      </c>
      <c r="J44">
        <v>20211223</v>
      </c>
    </row>
    <row r="45" spans="1:10">
      <c r="A45" t="s">
        <v>4914</v>
      </c>
      <c r="B45">
        <v>600958</v>
      </c>
      <c r="C45" t="s">
        <v>4915</v>
      </c>
      <c r="D45" t="s">
        <v>172</v>
      </c>
      <c r="E45" t="s">
        <v>87</v>
      </c>
      <c r="F45" t="s">
        <v>4916</v>
      </c>
      <c r="G45" t="s">
        <v>152</v>
      </c>
      <c r="H45" t="s">
        <v>174</v>
      </c>
      <c r="I45" t="s">
        <v>154</v>
      </c>
      <c r="J45">
        <v>20150323</v>
      </c>
    </row>
    <row r="46" spans="1:10">
      <c r="A46" t="s">
        <v>4917</v>
      </c>
      <c r="B46">
        <v>600999</v>
      </c>
      <c r="C46" t="s">
        <v>4918</v>
      </c>
      <c r="D46" t="s">
        <v>243</v>
      </c>
      <c r="E46" t="s">
        <v>87</v>
      </c>
      <c r="F46" t="s">
        <v>4919</v>
      </c>
      <c r="G46" t="s">
        <v>152</v>
      </c>
      <c r="H46" t="s">
        <v>174</v>
      </c>
      <c r="I46" t="s">
        <v>154</v>
      </c>
      <c r="J46">
        <v>20091117</v>
      </c>
    </row>
    <row r="47" spans="1:10">
      <c r="A47" t="s">
        <v>4920</v>
      </c>
      <c r="B47">
        <v>601066</v>
      </c>
      <c r="C47" t="s">
        <v>4921</v>
      </c>
      <c r="D47" t="s">
        <v>164</v>
      </c>
      <c r="E47" t="s">
        <v>87</v>
      </c>
      <c r="F47" t="s">
        <v>4922</v>
      </c>
      <c r="G47" t="s">
        <v>152</v>
      </c>
      <c r="H47" t="s">
        <v>174</v>
      </c>
      <c r="I47" t="s">
        <v>154</v>
      </c>
      <c r="J47">
        <v>20180620</v>
      </c>
    </row>
    <row r="48" spans="1:10">
      <c r="A48" t="s">
        <v>4923</v>
      </c>
      <c r="B48">
        <v>601099</v>
      </c>
      <c r="C48" t="s">
        <v>4924</v>
      </c>
      <c r="D48" t="s">
        <v>184</v>
      </c>
      <c r="E48" t="s">
        <v>87</v>
      </c>
      <c r="F48" t="s">
        <v>4925</v>
      </c>
      <c r="G48" t="s">
        <v>152</v>
      </c>
      <c r="H48" t="s">
        <v>174</v>
      </c>
      <c r="I48" t="s">
        <v>154</v>
      </c>
      <c r="J48">
        <v>20071228</v>
      </c>
    </row>
    <row r="49" spans="1:10">
      <c r="A49" t="s">
        <v>4926</v>
      </c>
      <c r="B49">
        <v>601108</v>
      </c>
      <c r="C49" t="s">
        <v>4927</v>
      </c>
      <c r="D49" t="s">
        <v>423</v>
      </c>
      <c r="E49" t="s">
        <v>87</v>
      </c>
      <c r="F49" t="s">
        <v>4928</v>
      </c>
      <c r="G49" t="s">
        <v>152</v>
      </c>
      <c r="H49" t="s">
        <v>174</v>
      </c>
      <c r="I49" t="s">
        <v>154</v>
      </c>
      <c r="J49">
        <v>20171024</v>
      </c>
    </row>
    <row r="50" spans="1:10">
      <c r="A50" t="s">
        <v>4929</v>
      </c>
      <c r="B50">
        <v>601136</v>
      </c>
      <c r="C50" t="s">
        <v>4930</v>
      </c>
      <c r="D50" t="s">
        <v>164</v>
      </c>
      <c r="E50" t="s">
        <v>87</v>
      </c>
      <c r="F50" t="s">
        <v>4931</v>
      </c>
      <c r="G50" t="s">
        <v>152</v>
      </c>
      <c r="H50" t="s">
        <v>174</v>
      </c>
      <c r="I50" t="s">
        <v>154</v>
      </c>
      <c r="J50">
        <v>20221222</v>
      </c>
    </row>
    <row r="51" spans="1:10">
      <c r="A51" t="s">
        <v>4932</v>
      </c>
      <c r="B51">
        <v>601162</v>
      </c>
      <c r="C51" t="s">
        <v>4933</v>
      </c>
      <c r="D51" t="s">
        <v>316</v>
      </c>
      <c r="E51" t="s">
        <v>87</v>
      </c>
      <c r="F51" t="s">
        <v>4934</v>
      </c>
      <c r="G51" t="s">
        <v>152</v>
      </c>
      <c r="H51" t="s">
        <v>174</v>
      </c>
      <c r="I51" t="s">
        <v>154</v>
      </c>
      <c r="J51">
        <v>20181019</v>
      </c>
    </row>
    <row r="52" spans="1:10">
      <c r="A52" t="s">
        <v>4935</v>
      </c>
      <c r="B52">
        <v>601198</v>
      </c>
      <c r="C52" t="s">
        <v>4936</v>
      </c>
      <c r="D52" t="s">
        <v>164</v>
      </c>
      <c r="E52" t="s">
        <v>87</v>
      </c>
      <c r="F52" t="s">
        <v>4937</v>
      </c>
      <c r="G52" t="s">
        <v>152</v>
      </c>
      <c r="H52" t="s">
        <v>174</v>
      </c>
      <c r="I52" t="s">
        <v>154</v>
      </c>
      <c r="J52">
        <v>20150226</v>
      </c>
    </row>
    <row r="53" spans="1:10">
      <c r="A53" s="1" t="s">
        <v>4938</v>
      </c>
      <c r="B53" s="1">
        <v>601211</v>
      </c>
      <c r="C53" s="1" t="s">
        <v>4939</v>
      </c>
      <c r="D53" s="1" t="s">
        <v>172</v>
      </c>
      <c r="E53" s="1" t="s">
        <v>87</v>
      </c>
      <c r="F53" s="1" t="s">
        <v>4940</v>
      </c>
      <c r="G53" s="1" t="s">
        <v>152</v>
      </c>
      <c r="H53" s="1" t="s">
        <v>174</v>
      </c>
      <c r="I53" s="1" t="s">
        <v>154</v>
      </c>
      <c r="J53" s="1">
        <v>20150626</v>
      </c>
    </row>
    <row r="54" spans="1:10">
      <c r="A54" t="s">
        <v>4941</v>
      </c>
      <c r="B54">
        <v>601236</v>
      </c>
      <c r="C54" t="s">
        <v>4942</v>
      </c>
      <c r="D54" t="s">
        <v>184</v>
      </c>
      <c r="E54" t="s">
        <v>87</v>
      </c>
      <c r="F54" t="s">
        <v>4943</v>
      </c>
      <c r="G54" t="s">
        <v>152</v>
      </c>
      <c r="H54" t="s">
        <v>174</v>
      </c>
      <c r="I54" t="s">
        <v>154</v>
      </c>
      <c r="J54">
        <v>20190705</v>
      </c>
    </row>
    <row r="55" spans="1:10">
      <c r="A55" t="s">
        <v>4944</v>
      </c>
      <c r="B55">
        <v>601318</v>
      </c>
      <c r="C55" t="s">
        <v>4945</v>
      </c>
      <c r="D55" t="s">
        <v>243</v>
      </c>
      <c r="E55" t="s">
        <v>38</v>
      </c>
      <c r="F55" t="s">
        <v>4946</v>
      </c>
      <c r="G55" t="s">
        <v>152</v>
      </c>
      <c r="H55" t="s">
        <v>174</v>
      </c>
      <c r="I55" t="s">
        <v>154</v>
      </c>
      <c r="J55">
        <v>20070301</v>
      </c>
    </row>
    <row r="56" spans="1:10">
      <c r="A56" t="s">
        <v>4947</v>
      </c>
      <c r="B56">
        <v>601319</v>
      </c>
      <c r="C56" t="s">
        <v>4948</v>
      </c>
      <c r="D56" t="s">
        <v>164</v>
      </c>
      <c r="E56" t="s">
        <v>38</v>
      </c>
      <c r="F56" t="s">
        <v>4949</v>
      </c>
      <c r="G56" t="s">
        <v>152</v>
      </c>
      <c r="H56" t="s">
        <v>174</v>
      </c>
      <c r="I56" t="s">
        <v>154</v>
      </c>
      <c r="J56">
        <v>20181116</v>
      </c>
    </row>
    <row r="57" spans="1:10">
      <c r="A57" t="s">
        <v>4950</v>
      </c>
      <c r="B57">
        <v>601336</v>
      </c>
      <c r="C57" t="s">
        <v>4951</v>
      </c>
      <c r="D57" t="s">
        <v>164</v>
      </c>
      <c r="E57" t="s">
        <v>38</v>
      </c>
      <c r="F57" t="s">
        <v>4952</v>
      </c>
      <c r="G57" t="s">
        <v>152</v>
      </c>
      <c r="H57" t="s">
        <v>174</v>
      </c>
      <c r="I57" t="s">
        <v>154</v>
      </c>
      <c r="J57">
        <v>20111216</v>
      </c>
    </row>
    <row r="58" spans="1:10">
      <c r="A58" t="s">
        <v>4953</v>
      </c>
      <c r="B58">
        <v>601375</v>
      </c>
      <c r="C58" t="s">
        <v>4954</v>
      </c>
      <c r="D58" t="s">
        <v>292</v>
      </c>
      <c r="E58" t="s">
        <v>87</v>
      </c>
      <c r="F58" t="s">
        <v>4955</v>
      </c>
      <c r="G58" t="s">
        <v>152</v>
      </c>
      <c r="H58" t="s">
        <v>174</v>
      </c>
      <c r="I58" t="s">
        <v>154</v>
      </c>
      <c r="J58">
        <v>20170103</v>
      </c>
    </row>
    <row r="59" spans="1:10">
      <c r="A59" t="s">
        <v>4956</v>
      </c>
      <c r="B59">
        <v>601377</v>
      </c>
      <c r="C59" t="s">
        <v>4957</v>
      </c>
      <c r="D59" t="s">
        <v>150</v>
      </c>
      <c r="E59" t="s">
        <v>87</v>
      </c>
      <c r="F59" t="s">
        <v>4958</v>
      </c>
      <c r="G59" t="s">
        <v>152</v>
      </c>
      <c r="H59" t="s">
        <v>174</v>
      </c>
      <c r="I59" t="s">
        <v>154</v>
      </c>
      <c r="J59">
        <v>20101013</v>
      </c>
    </row>
    <row r="60" spans="1:10">
      <c r="A60" t="s">
        <v>4959</v>
      </c>
      <c r="B60">
        <v>601456</v>
      </c>
      <c r="C60" t="s">
        <v>4960</v>
      </c>
      <c r="D60" t="s">
        <v>212</v>
      </c>
      <c r="E60" t="s">
        <v>87</v>
      </c>
      <c r="F60" t="s">
        <v>4961</v>
      </c>
      <c r="G60" t="s">
        <v>152</v>
      </c>
      <c r="H60" t="s">
        <v>174</v>
      </c>
      <c r="I60" t="s">
        <v>154</v>
      </c>
      <c r="J60">
        <v>20200731</v>
      </c>
    </row>
    <row r="61" spans="1:10">
      <c r="A61" t="s">
        <v>4962</v>
      </c>
      <c r="B61">
        <v>601555</v>
      </c>
      <c r="C61" t="s">
        <v>4963</v>
      </c>
      <c r="D61" t="s">
        <v>212</v>
      </c>
      <c r="E61" t="s">
        <v>87</v>
      </c>
      <c r="F61" t="s">
        <v>4964</v>
      </c>
      <c r="G61" t="s">
        <v>152</v>
      </c>
      <c r="H61" t="s">
        <v>174</v>
      </c>
      <c r="I61" t="s">
        <v>154</v>
      </c>
      <c r="J61">
        <v>20111212</v>
      </c>
    </row>
    <row r="62" spans="1:10">
      <c r="A62" t="s">
        <v>4965</v>
      </c>
      <c r="B62">
        <v>601601</v>
      </c>
      <c r="C62" t="s">
        <v>4966</v>
      </c>
      <c r="D62" t="s">
        <v>172</v>
      </c>
      <c r="E62" t="s">
        <v>38</v>
      </c>
      <c r="F62" t="s">
        <v>4967</v>
      </c>
      <c r="G62" t="s">
        <v>152</v>
      </c>
      <c r="H62" t="s">
        <v>174</v>
      </c>
      <c r="I62" t="s">
        <v>154</v>
      </c>
      <c r="J62">
        <v>20071225</v>
      </c>
    </row>
    <row r="63" spans="1:10">
      <c r="A63" t="s">
        <v>4968</v>
      </c>
      <c r="B63">
        <v>601628</v>
      </c>
      <c r="C63" t="s">
        <v>4969</v>
      </c>
      <c r="D63" t="s">
        <v>164</v>
      </c>
      <c r="E63" t="s">
        <v>38</v>
      </c>
      <c r="F63" t="s">
        <v>4970</v>
      </c>
      <c r="G63" t="s">
        <v>152</v>
      </c>
      <c r="H63" t="s">
        <v>174</v>
      </c>
      <c r="I63" t="s">
        <v>154</v>
      </c>
      <c r="J63">
        <v>20070109</v>
      </c>
    </row>
    <row r="64" spans="1:10">
      <c r="A64" t="s">
        <v>4971</v>
      </c>
      <c r="B64">
        <v>601688</v>
      </c>
      <c r="C64" t="s">
        <v>4972</v>
      </c>
      <c r="D64" t="s">
        <v>212</v>
      </c>
      <c r="E64" t="s">
        <v>87</v>
      </c>
      <c r="F64" t="s">
        <v>4973</v>
      </c>
      <c r="G64" t="s">
        <v>152</v>
      </c>
      <c r="H64" t="s">
        <v>174</v>
      </c>
      <c r="I64" t="s">
        <v>154</v>
      </c>
      <c r="J64">
        <v>20100226</v>
      </c>
    </row>
    <row r="65" spans="1:10">
      <c r="A65" t="s">
        <v>4974</v>
      </c>
      <c r="B65">
        <v>601696</v>
      </c>
      <c r="C65" t="s">
        <v>4975</v>
      </c>
      <c r="D65" t="s">
        <v>172</v>
      </c>
      <c r="E65" t="s">
        <v>87</v>
      </c>
      <c r="F65" t="s">
        <v>4976</v>
      </c>
      <c r="G65" t="s">
        <v>152</v>
      </c>
      <c r="H65" t="s">
        <v>174</v>
      </c>
      <c r="I65" t="s">
        <v>154</v>
      </c>
      <c r="J65">
        <v>20200226</v>
      </c>
    </row>
    <row r="66" spans="1:10">
      <c r="A66" t="s">
        <v>4977</v>
      </c>
      <c r="B66">
        <v>601788</v>
      </c>
      <c r="C66" t="s">
        <v>4978</v>
      </c>
      <c r="D66" t="s">
        <v>172</v>
      </c>
      <c r="E66" t="s">
        <v>87</v>
      </c>
      <c r="F66" t="s">
        <v>4979</v>
      </c>
      <c r="G66" t="s">
        <v>152</v>
      </c>
      <c r="H66" t="s">
        <v>174</v>
      </c>
      <c r="I66" t="s">
        <v>154</v>
      </c>
      <c r="J66">
        <v>20090818</v>
      </c>
    </row>
    <row r="67" spans="1:10">
      <c r="A67" t="s">
        <v>4980</v>
      </c>
      <c r="B67">
        <v>601878</v>
      </c>
      <c r="C67" t="s">
        <v>4981</v>
      </c>
      <c r="D67" t="s">
        <v>423</v>
      </c>
      <c r="E67" t="s">
        <v>87</v>
      </c>
      <c r="F67" t="s">
        <v>4982</v>
      </c>
      <c r="G67" t="s">
        <v>152</v>
      </c>
      <c r="H67" t="s">
        <v>174</v>
      </c>
      <c r="I67" t="s">
        <v>154</v>
      </c>
      <c r="J67">
        <v>20170626</v>
      </c>
    </row>
    <row r="68" spans="1:10">
      <c r="A68" t="s">
        <v>4983</v>
      </c>
      <c r="B68">
        <v>601881</v>
      </c>
      <c r="C68" t="s">
        <v>4984</v>
      </c>
      <c r="D68" t="s">
        <v>164</v>
      </c>
      <c r="E68" t="s">
        <v>87</v>
      </c>
      <c r="F68" t="s">
        <v>4985</v>
      </c>
      <c r="G68" t="s">
        <v>152</v>
      </c>
      <c r="H68" t="s">
        <v>174</v>
      </c>
      <c r="I68" t="s">
        <v>154</v>
      </c>
      <c r="J68">
        <v>20170123</v>
      </c>
    </row>
    <row r="69" spans="1:10">
      <c r="A69" t="s">
        <v>4986</v>
      </c>
      <c r="B69">
        <v>601901</v>
      </c>
      <c r="C69" t="s">
        <v>4987</v>
      </c>
      <c r="D69" t="s">
        <v>168</v>
      </c>
      <c r="E69" t="s">
        <v>87</v>
      </c>
      <c r="F69" t="s">
        <v>4988</v>
      </c>
      <c r="G69" t="s">
        <v>152</v>
      </c>
      <c r="H69" t="s">
        <v>174</v>
      </c>
      <c r="I69" t="s">
        <v>154</v>
      </c>
      <c r="J69">
        <v>20110810</v>
      </c>
    </row>
    <row r="70" spans="1:10">
      <c r="A70" t="s">
        <v>4989</v>
      </c>
      <c r="B70">
        <v>601990</v>
      </c>
      <c r="C70" t="s">
        <v>4990</v>
      </c>
      <c r="D70" t="s">
        <v>212</v>
      </c>
      <c r="E70" t="s">
        <v>87</v>
      </c>
      <c r="F70" t="s">
        <v>4991</v>
      </c>
      <c r="G70" t="s">
        <v>152</v>
      </c>
      <c r="H70" t="s">
        <v>174</v>
      </c>
      <c r="I70" t="s">
        <v>154</v>
      </c>
      <c r="J70">
        <v>20180613</v>
      </c>
    </row>
    <row r="71" spans="1:10">
      <c r="A71" t="s">
        <v>4992</v>
      </c>
      <c r="B71">
        <v>601995</v>
      </c>
      <c r="C71" t="s">
        <v>4993</v>
      </c>
      <c r="D71" t="s">
        <v>164</v>
      </c>
      <c r="E71" t="s">
        <v>87</v>
      </c>
      <c r="F71" t="s">
        <v>4994</v>
      </c>
      <c r="G71" t="s">
        <v>152</v>
      </c>
      <c r="H71" t="s">
        <v>174</v>
      </c>
      <c r="I71" t="s">
        <v>154</v>
      </c>
      <c r="J71">
        <v>20201102</v>
      </c>
    </row>
    <row r="72" spans="1:10">
      <c r="A72" t="s">
        <v>4995</v>
      </c>
      <c r="B72">
        <v>603093</v>
      </c>
      <c r="C72" t="s">
        <v>4996</v>
      </c>
      <c r="D72" t="s">
        <v>423</v>
      </c>
      <c r="E72" t="s">
        <v>73</v>
      </c>
      <c r="F72" t="s">
        <v>4997</v>
      </c>
      <c r="G72" t="s">
        <v>152</v>
      </c>
      <c r="H72" t="s">
        <v>174</v>
      </c>
      <c r="I72" t="s">
        <v>154</v>
      </c>
      <c r="J72">
        <v>20190830</v>
      </c>
    </row>
    <row r="73" spans="1:10">
      <c r="A73" t="s">
        <v>4998</v>
      </c>
      <c r="B73">
        <v>603300</v>
      </c>
      <c r="C73" t="s">
        <v>4999</v>
      </c>
      <c r="D73" t="s">
        <v>423</v>
      </c>
      <c r="E73" t="s">
        <v>73</v>
      </c>
      <c r="F73" t="s">
        <v>5000</v>
      </c>
      <c r="G73" t="s">
        <v>152</v>
      </c>
      <c r="H73" t="s">
        <v>174</v>
      </c>
      <c r="I73" t="s">
        <v>154</v>
      </c>
      <c r="J73">
        <v>20150529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F32" sqref="F32"/>
    </sheetView>
  </sheetViews>
  <sheetFormatPr defaultColWidth="9" defaultRowHeight="13.5"/>
  <cols>
    <col min="6" max="6" width="28.5" customWidth="1"/>
  </cols>
  <sheetData>
    <row r="1" spans="1:10">
      <c r="A1" t="s">
        <v>5001</v>
      </c>
      <c r="B1">
        <v>38</v>
      </c>
      <c r="C1" t="s">
        <v>5002</v>
      </c>
      <c r="D1" t="s">
        <v>243</v>
      </c>
      <c r="E1" t="s">
        <v>74</v>
      </c>
      <c r="F1" t="s">
        <v>5003</v>
      </c>
      <c r="G1" t="s">
        <v>152</v>
      </c>
      <c r="H1" t="s">
        <v>153</v>
      </c>
      <c r="I1" t="s">
        <v>154</v>
      </c>
      <c r="J1">
        <v>19940808</v>
      </c>
    </row>
    <row r="2" spans="1:10">
      <c r="A2" t="s">
        <v>5004</v>
      </c>
      <c r="B2">
        <v>632</v>
      </c>
      <c r="C2" t="s">
        <v>5005</v>
      </c>
      <c r="D2" t="s">
        <v>150</v>
      </c>
      <c r="E2" t="s">
        <v>74</v>
      </c>
      <c r="F2" t="s">
        <v>5006</v>
      </c>
      <c r="G2" t="s">
        <v>152</v>
      </c>
      <c r="H2" t="s">
        <v>153</v>
      </c>
      <c r="I2" t="s">
        <v>154</v>
      </c>
      <c r="J2">
        <v>19961121</v>
      </c>
    </row>
    <row r="3" spans="1:10">
      <c r="A3" t="s">
        <v>5007</v>
      </c>
      <c r="B3">
        <v>839</v>
      </c>
      <c r="C3" t="s">
        <v>5008</v>
      </c>
      <c r="D3" t="s">
        <v>164</v>
      </c>
      <c r="E3" t="s">
        <v>74</v>
      </c>
      <c r="F3" t="s">
        <v>5009</v>
      </c>
      <c r="G3" t="s">
        <v>152</v>
      </c>
      <c r="H3" t="s">
        <v>153</v>
      </c>
      <c r="I3" t="s">
        <v>154</v>
      </c>
      <c r="J3">
        <v>19971031</v>
      </c>
    </row>
    <row r="4" spans="1:14">
      <c r="A4" t="s">
        <v>5010</v>
      </c>
      <c r="B4">
        <v>881</v>
      </c>
      <c r="C4" t="s">
        <v>5011</v>
      </c>
      <c r="D4" t="s">
        <v>236</v>
      </c>
      <c r="E4" t="s">
        <v>74</v>
      </c>
      <c r="F4" t="s">
        <v>5012</v>
      </c>
      <c r="G4" t="s">
        <v>152</v>
      </c>
      <c r="H4" t="s">
        <v>153</v>
      </c>
      <c r="I4" t="s">
        <v>154</v>
      </c>
      <c r="J4">
        <v>19980902</v>
      </c>
      <c r="M4" t="s">
        <v>4129</v>
      </c>
      <c r="N4">
        <v>17</v>
      </c>
    </row>
    <row r="5" spans="1:14">
      <c r="A5" t="s">
        <v>5013</v>
      </c>
      <c r="B5">
        <v>909</v>
      </c>
      <c r="C5" t="s">
        <v>5014</v>
      </c>
      <c r="D5" t="s">
        <v>423</v>
      </c>
      <c r="E5" t="s">
        <v>74</v>
      </c>
      <c r="F5" t="s">
        <v>5015</v>
      </c>
      <c r="G5" t="s">
        <v>152</v>
      </c>
      <c r="H5" t="s">
        <v>153</v>
      </c>
      <c r="I5" t="s">
        <v>154</v>
      </c>
      <c r="J5">
        <v>19990507</v>
      </c>
      <c r="M5" t="s">
        <v>4133</v>
      </c>
      <c r="N5" s="2">
        <f ca="1">CEILING(RAND()*N4,1)</f>
        <v>3</v>
      </c>
    </row>
    <row r="6" spans="1:10">
      <c r="A6" t="s">
        <v>5016</v>
      </c>
      <c r="B6">
        <v>600051</v>
      </c>
      <c r="C6" t="s">
        <v>5017</v>
      </c>
      <c r="D6" t="s">
        <v>423</v>
      </c>
      <c r="E6" t="s">
        <v>74</v>
      </c>
      <c r="F6" t="s">
        <v>5018</v>
      </c>
      <c r="G6" t="s">
        <v>152</v>
      </c>
      <c r="H6" t="s">
        <v>174</v>
      </c>
      <c r="I6" t="s">
        <v>154</v>
      </c>
      <c r="J6">
        <v>19970410</v>
      </c>
    </row>
    <row r="7" spans="1:10">
      <c r="A7" t="s">
        <v>5019</v>
      </c>
      <c r="B7">
        <v>600083</v>
      </c>
      <c r="C7" t="s">
        <v>5020</v>
      </c>
      <c r="D7" t="s">
        <v>212</v>
      </c>
      <c r="E7" t="s">
        <v>74</v>
      </c>
      <c r="F7" t="s">
        <v>5021</v>
      </c>
      <c r="G7" t="s">
        <v>152</v>
      </c>
      <c r="H7" t="s">
        <v>174</v>
      </c>
      <c r="I7" t="s">
        <v>154</v>
      </c>
      <c r="J7">
        <v>19970606</v>
      </c>
    </row>
    <row r="8" spans="1:10">
      <c r="A8" t="s">
        <v>5022</v>
      </c>
      <c r="B8">
        <v>600139</v>
      </c>
      <c r="C8" t="s">
        <v>5023</v>
      </c>
      <c r="D8" t="s">
        <v>219</v>
      </c>
      <c r="E8" t="s">
        <v>74</v>
      </c>
      <c r="F8" t="s">
        <v>5024</v>
      </c>
      <c r="G8" t="s">
        <v>152</v>
      </c>
      <c r="H8" t="s">
        <v>174</v>
      </c>
      <c r="I8" t="s">
        <v>154</v>
      </c>
      <c r="J8">
        <v>19980225</v>
      </c>
    </row>
    <row r="9" spans="1:10">
      <c r="A9" t="s">
        <v>5025</v>
      </c>
      <c r="B9">
        <v>600149</v>
      </c>
      <c r="C9" t="s">
        <v>5026</v>
      </c>
      <c r="D9" t="s">
        <v>279</v>
      </c>
      <c r="E9" t="s">
        <v>74</v>
      </c>
      <c r="F9" t="s">
        <v>5027</v>
      </c>
      <c r="G9" t="s">
        <v>152</v>
      </c>
      <c r="H9" t="s">
        <v>174</v>
      </c>
      <c r="I9" t="s">
        <v>154</v>
      </c>
      <c r="J9">
        <v>19991014</v>
      </c>
    </row>
    <row r="10" spans="1:10">
      <c r="A10" t="s">
        <v>5028</v>
      </c>
      <c r="B10">
        <v>600212</v>
      </c>
      <c r="C10" t="s">
        <v>5029</v>
      </c>
      <c r="D10" t="s">
        <v>198</v>
      </c>
      <c r="E10" t="s">
        <v>74</v>
      </c>
      <c r="F10" t="s">
        <v>5030</v>
      </c>
      <c r="G10" t="s">
        <v>152</v>
      </c>
      <c r="H10" t="s">
        <v>174</v>
      </c>
      <c r="I10" t="s">
        <v>154</v>
      </c>
      <c r="J10">
        <v>19990817</v>
      </c>
    </row>
    <row r="11" spans="1:10">
      <c r="A11" t="s">
        <v>5031</v>
      </c>
      <c r="B11">
        <v>600234</v>
      </c>
      <c r="C11" t="s">
        <v>5032</v>
      </c>
      <c r="D11" t="s">
        <v>557</v>
      </c>
      <c r="E11" t="s">
        <v>74</v>
      </c>
      <c r="F11" t="s">
        <v>5033</v>
      </c>
      <c r="G11" t="s">
        <v>152</v>
      </c>
      <c r="H11" t="s">
        <v>174</v>
      </c>
      <c r="I11" t="s">
        <v>154</v>
      </c>
      <c r="J11">
        <v>20000615</v>
      </c>
    </row>
    <row r="12" spans="1:10">
      <c r="A12" t="s">
        <v>5034</v>
      </c>
      <c r="B12">
        <v>600620</v>
      </c>
      <c r="C12" t="s">
        <v>5035</v>
      </c>
      <c r="D12" t="s">
        <v>172</v>
      </c>
      <c r="E12" t="s">
        <v>74</v>
      </c>
      <c r="F12" t="s">
        <v>5036</v>
      </c>
      <c r="G12" t="s">
        <v>152</v>
      </c>
      <c r="H12" t="s">
        <v>174</v>
      </c>
      <c r="I12" t="s">
        <v>154</v>
      </c>
      <c r="J12">
        <v>19921117</v>
      </c>
    </row>
    <row r="13" spans="1:10">
      <c r="A13" t="s">
        <v>5037</v>
      </c>
      <c r="B13">
        <v>600647</v>
      </c>
      <c r="C13" t="s">
        <v>5038</v>
      </c>
      <c r="D13" t="s">
        <v>172</v>
      </c>
      <c r="E13" t="s">
        <v>74</v>
      </c>
      <c r="F13" t="s">
        <v>5039</v>
      </c>
      <c r="G13" t="s">
        <v>152</v>
      </c>
      <c r="H13" t="s">
        <v>174</v>
      </c>
      <c r="I13" t="s">
        <v>154</v>
      </c>
      <c r="J13">
        <v>19930504</v>
      </c>
    </row>
    <row r="14" spans="1:10">
      <c r="A14" t="s">
        <v>5040</v>
      </c>
      <c r="B14">
        <v>600730</v>
      </c>
      <c r="C14" t="s">
        <v>5041</v>
      </c>
      <c r="D14" t="s">
        <v>164</v>
      </c>
      <c r="E14" t="s">
        <v>74</v>
      </c>
      <c r="F14" t="s">
        <v>5042</v>
      </c>
      <c r="G14" t="s">
        <v>152</v>
      </c>
      <c r="H14" t="s">
        <v>174</v>
      </c>
      <c r="I14" t="s">
        <v>154</v>
      </c>
      <c r="J14">
        <v>19960726</v>
      </c>
    </row>
    <row r="15" spans="1:10">
      <c r="A15" t="s">
        <v>5043</v>
      </c>
      <c r="B15">
        <v>600770</v>
      </c>
      <c r="C15" t="s">
        <v>5044</v>
      </c>
      <c r="D15" t="s">
        <v>212</v>
      </c>
      <c r="E15" t="s">
        <v>74</v>
      </c>
      <c r="F15" t="s">
        <v>5045</v>
      </c>
      <c r="G15" t="s">
        <v>152</v>
      </c>
      <c r="H15" t="s">
        <v>174</v>
      </c>
      <c r="I15" t="s">
        <v>154</v>
      </c>
      <c r="J15">
        <v>19961120</v>
      </c>
    </row>
    <row r="16" spans="1:10">
      <c r="A16" t="s">
        <v>5046</v>
      </c>
      <c r="B16">
        <v>600784</v>
      </c>
      <c r="C16" t="s">
        <v>5047</v>
      </c>
      <c r="D16" t="s">
        <v>198</v>
      </c>
      <c r="E16" t="s">
        <v>74</v>
      </c>
      <c r="F16" t="s">
        <v>5048</v>
      </c>
      <c r="G16" t="s">
        <v>152</v>
      </c>
      <c r="H16" t="s">
        <v>174</v>
      </c>
      <c r="I16" t="s">
        <v>154</v>
      </c>
      <c r="J16">
        <v>19961225</v>
      </c>
    </row>
    <row r="17" spans="1:10">
      <c r="A17" t="s">
        <v>5049</v>
      </c>
      <c r="B17">
        <v>600805</v>
      </c>
      <c r="C17" t="s">
        <v>5050</v>
      </c>
      <c r="D17" t="s">
        <v>212</v>
      </c>
      <c r="E17" t="s">
        <v>74</v>
      </c>
      <c r="F17" t="s">
        <v>5051</v>
      </c>
      <c r="G17" t="s">
        <v>152</v>
      </c>
      <c r="H17" t="s">
        <v>174</v>
      </c>
      <c r="I17" t="s">
        <v>154</v>
      </c>
      <c r="J17">
        <v>19940103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opLeftCell="A10" workbookViewId="0">
      <selection activeCell="C29" sqref="C29"/>
    </sheetView>
  </sheetViews>
  <sheetFormatPr defaultColWidth="9" defaultRowHeight="13.5"/>
  <cols>
    <col min="6" max="6" width="23.875" customWidth="1"/>
  </cols>
  <sheetData>
    <row r="1" spans="1:10">
      <c r="A1" t="s">
        <v>5052</v>
      </c>
      <c r="B1">
        <v>12</v>
      </c>
      <c r="C1" t="s">
        <v>5053</v>
      </c>
      <c r="D1" t="s">
        <v>243</v>
      </c>
      <c r="E1" t="s">
        <v>45</v>
      </c>
      <c r="F1" t="s">
        <v>5054</v>
      </c>
      <c r="G1" t="s">
        <v>152</v>
      </c>
      <c r="H1" t="s">
        <v>153</v>
      </c>
      <c r="I1" t="s">
        <v>154</v>
      </c>
      <c r="J1">
        <v>19920228</v>
      </c>
    </row>
    <row r="2" spans="1:10">
      <c r="A2" t="s">
        <v>5055</v>
      </c>
      <c r="B2">
        <v>23</v>
      </c>
      <c r="C2" t="s">
        <v>5056</v>
      </c>
      <c r="D2" t="s">
        <v>243</v>
      </c>
      <c r="E2" t="s">
        <v>75</v>
      </c>
      <c r="F2" t="s">
        <v>5057</v>
      </c>
      <c r="G2" t="s">
        <v>152</v>
      </c>
      <c r="H2" t="s">
        <v>153</v>
      </c>
      <c r="I2" t="s">
        <v>154</v>
      </c>
      <c r="J2">
        <v>19930429</v>
      </c>
    </row>
    <row r="3" spans="1:10">
      <c r="A3" t="s">
        <v>5058</v>
      </c>
      <c r="B3">
        <v>401</v>
      </c>
      <c r="C3" t="s">
        <v>5059</v>
      </c>
      <c r="D3" t="s">
        <v>279</v>
      </c>
      <c r="E3" t="s">
        <v>75</v>
      </c>
      <c r="F3" t="s">
        <v>5060</v>
      </c>
      <c r="G3" t="s">
        <v>152</v>
      </c>
      <c r="H3" t="s">
        <v>153</v>
      </c>
      <c r="I3" t="s">
        <v>154</v>
      </c>
      <c r="J3">
        <v>19960614</v>
      </c>
    </row>
    <row r="4" spans="1:14">
      <c r="A4" t="s">
        <v>5061</v>
      </c>
      <c r="B4">
        <v>565</v>
      </c>
      <c r="C4" t="s">
        <v>5062</v>
      </c>
      <c r="D4" t="s">
        <v>937</v>
      </c>
      <c r="E4" t="s">
        <v>88</v>
      </c>
      <c r="F4" t="s">
        <v>5063</v>
      </c>
      <c r="G4" t="s">
        <v>152</v>
      </c>
      <c r="H4" t="s">
        <v>153</v>
      </c>
      <c r="I4" t="s">
        <v>154</v>
      </c>
      <c r="J4">
        <v>19940408</v>
      </c>
      <c r="M4" t="s">
        <v>4129</v>
      </c>
      <c r="N4">
        <v>52</v>
      </c>
    </row>
    <row r="5" spans="1:14">
      <c r="A5" t="s">
        <v>5064</v>
      </c>
      <c r="B5">
        <v>619</v>
      </c>
      <c r="C5" t="s">
        <v>5065</v>
      </c>
      <c r="D5" t="s">
        <v>160</v>
      </c>
      <c r="E5" t="s">
        <v>94</v>
      </c>
      <c r="F5" t="s">
        <v>5066</v>
      </c>
      <c r="G5" t="s">
        <v>152</v>
      </c>
      <c r="H5" t="s">
        <v>153</v>
      </c>
      <c r="I5" t="s">
        <v>154</v>
      </c>
      <c r="J5">
        <v>19961023</v>
      </c>
      <c r="M5" t="s">
        <v>4133</v>
      </c>
      <c r="N5" s="2">
        <f ca="1">CEILING(RAND()*N4,1)</f>
        <v>35</v>
      </c>
    </row>
    <row r="6" spans="1:10">
      <c r="A6" t="s">
        <v>5067</v>
      </c>
      <c r="B6">
        <v>672</v>
      </c>
      <c r="C6" t="s">
        <v>5068</v>
      </c>
      <c r="D6" t="s">
        <v>177</v>
      </c>
      <c r="E6" t="s">
        <v>75</v>
      </c>
      <c r="F6" t="s">
        <v>5069</v>
      </c>
      <c r="G6" t="s">
        <v>152</v>
      </c>
      <c r="H6" t="s">
        <v>153</v>
      </c>
      <c r="I6" t="s">
        <v>154</v>
      </c>
      <c r="J6">
        <v>19961218</v>
      </c>
    </row>
    <row r="7" spans="1:10">
      <c r="A7" t="s">
        <v>5070</v>
      </c>
      <c r="B7">
        <v>722</v>
      </c>
      <c r="C7" t="s">
        <v>5071</v>
      </c>
      <c r="D7" t="s">
        <v>168</v>
      </c>
      <c r="E7" t="s">
        <v>94</v>
      </c>
      <c r="F7" t="s">
        <v>5072</v>
      </c>
      <c r="G7" t="s">
        <v>152</v>
      </c>
      <c r="H7" t="s">
        <v>153</v>
      </c>
      <c r="I7" t="s">
        <v>154</v>
      </c>
      <c r="J7">
        <v>19970522</v>
      </c>
    </row>
    <row r="8" spans="1:10">
      <c r="A8" t="s">
        <v>5073</v>
      </c>
      <c r="B8">
        <v>786</v>
      </c>
      <c r="C8" t="s">
        <v>5074</v>
      </c>
      <c r="D8" t="s">
        <v>164</v>
      </c>
      <c r="E8" t="s">
        <v>94</v>
      </c>
      <c r="F8" t="s">
        <v>5075</v>
      </c>
      <c r="G8" t="s">
        <v>152</v>
      </c>
      <c r="H8" t="s">
        <v>153</v>
      </c>
      <c r="I8" t="s">
        <v>154</v>
      </c>
      <c r="J8">
        <v>19970606</v>
      </c>
    </row>
    <row r="9" spans="1:10">
      <c r="A9" t="s">
        <v>5076</v>
      </c>
      <c r="B9">
        <v>789</v>
      </c>
      <c r="C9" t="s">
        <v>5077</v>
      </c>
      <c r="D9" t="s">
        <v>406</v>
      </c>
      <c r="E9" t="s">
        <v>75</v>
      </c>
      <c r="F9" t="s">
        <v>5078</v>
      </c>
      <c r="G9" t="s">
        <v>152</v>
      </c>
      <c r="H9" t="s">
        <v>153</v>
      </c>
      <c r="I9" t="s">
        <v>154</v>
      </c>
      <c r="J9">
        <v>19970923</v>
      </c>
    </row>
    <row r="10" spans="1:10">
      <c r="A10" t="s">
        <v>5079</v>
      </c>
      <c r="B10">
        <v>877</v>
      </c>
      <c r="C10" t="s">
        <v>5080</v>
      </c>
      <c r="D10" t="s">
        <v>202</v>
      </c>
      <c r="E10" t="s">
        <v>75</v>
      </c>
      <c r="F10" t="s">
        <v>5081</v>
      </c>
      <c r="G10" t="s">
        <v>152</v>
      </c>
      <c r="H10" t="s">
        <v>153</v>
      </c>
      <c r="I10" t="s">
        <v>154</v>
      </c>
      <c r="J10">
        <v>19990107</v>
      </c>
    </row>
    <row r="11" spans="1:10">
      <c r="A11" t="s">
        <v>5082</v>
      </c>
      <c r="B11">
        <v>935</v>
      </c>
      <c r="C11" t="s">
        <v>5083</v>
      </c>
      <c r="D11" t="s">
        <v>219</v>
      </c>
      <c r="E11" t="s">
        <v>75</v>
      </c>
      <c r="F11" t="s">
        <v>5084</v>
      </c>
      <c r="G11" t="s">
        <v>152</v>
      </c>
      <c r="H11" t="s">
        <v>153</v>
      </c>
      <c r="I11" t="s">
        <v>154</v>
      </c>
      <c r="J11">
        <v>19990824</v>
      </c>
    </row>
    <row r="12" spans="1:10">
      <c r="A12" t="s">
        <v>5085</v>
      </c>
      <c r="B12">
        <v>1212</v>
      </c>
      <c r="C12" t="s">
        <v>5086</v>
      </c>
      <c r="D12" t="s">
        <v>223</v>
      </c>
      <c r="E12" t="s">
        <v>94</v>
      </c>
      <c r="F12" t="s">
        <v>5087</v>
      </c>
      <c r="G12" t="s">
        <v>152</v>
      </c>
      <c r="H12" t="s">
        <v>153</v>
      </c>
      <c r="I12" t="s">
        <v>154</v>
      </c>
      <c r="J12">
        <v>20210823</v>
      </c>
    </row>
    <row r="13" spans="1:10">
      <c r="A13" t="s">
        <v>5088</v>
      </c>
      <c r="B13">
        <v>1296</v>
      </c>
      <c r="C13" t="s">
        <v>5089</v>
      </c>
      <c r="D13" t="s">
        <v>937</v>
      </c>
      <c r="E13" t="s">
        <v>94</v>
      </c>
      <c r="F13" t="s">
        <v>5090</v>
      </c>
      <c r="G13" t="s">
        <v>152</v>
      </c>
      <c r="H13" t="s">
        <v>153</v>
      </c>
      <c r="I13" t="s">
        <v>154</v>
      </c>
      <c r="J13">
        <v>20211224</v>
      </c>
    </row>
    <row r="14" spans="1:10">
      <c r="A14" t="s">
        <v>5091</v>
      </c>
      <c r="B14">
        <v>600076</v>
      </c>
      <c r="C14" t="s">
        <v>5092</v>
      </c>
      <c r="D14" t="s">
        <v>198</v>
      </c>
      <c r="E14" t="s">
        <v>94</v>
      </c>
      <c r="F14" t="s">
        <v>5093</v>
      </c>
      <c r="G14" t="s">
        <v>152</v>
      </c>
      <c r="H14" t="s">
        <v>174</v>
      </c>
      <c r="I14" t="s">
        <v>154</v>
      </c>
      <c r="J14">
        <v>19970526</v>
      </c>
    </row>
    <row r="15" spans="1:10">
      <c r="A15" t="s">
        <v>5094</v>
      </c>
      <c r="B15">
        <v>600176</v>
      </c>
      <c r="C15" t="s">
        <v>5095</v>
      </c>
      <c r="D15" t="s">
        <v>423</v>
      </c>
      <c r="E15" t="s">
        <v>45</v>
      </c>
      <c r="F15" t="s">
        <v>5096</v>
      </c>
      <c r="G15" t="s">
        <v>152</v>
      </c>
      <c r="H15" t="s">
        <v>174</v>
      </c>
      <c r="I15" t="s">
        <v>154</v>
      </c>
      <c r="J15">
        <v>19990422</v>
      </c>
    </row>
    <row r="16" spans="1:10">
      <c r="A16" t="s">
        <v>5097</v>
      </c>
      <c r="B16">
        <v>600293</v>
      </c>
      <c r="C16" t="s">
        <v>5098</v>
      </c>
      <c r="D16" t="s">
        <v>316</v>
      </c>
      <c r="E16" t="s">
        <v>45</v>
      </c>
      <c r="F16" t="s">
        <v>5099</v>
      </c>
      <c r="G16" t="s">
        <v>152</v>
      </c>
      <c r="H16" t="s">
        <v>174</v>
      </c>
      <c r="I16" t="s">
        <v>154</v>
      </c>
      <c r="J16">
        <v>20000919</v>
      </c>
    </row>
    <row r="17" spans="1:10">
      <c r="A17" t="s">
        <v>5100</v>
      </c>
      <c r="B17">
        <v>600321</v>
      </c>
      <c r="C17" t="s">
        <v>5101</v>
      </c>
      <c r="D17" t="s">
        <v>219</v>
      </c>
      <c r="E17" t="s">
        <v>94</v>
      </c>
      <c r="F17" t="s">
        <v>5102</v>
      </c>
      <c r="G17" t="s">
        <v>152</v>
      </c>
      <c r="H17" t="s">
        <v>174</v>
      </c>
      <c r="I17" t="s">
        <v>154</v>
      </c>
      <c r="J17">
        <v>20010524</v>
      </c>
    </row>
    <row r="18" spans="1:10">
      <c r="A18" t="s">
        <v>5103</v>
      </c>
      <c r="B18">
        <v>600326</v>
      </c>
      <c r="C18" t="s">
        <v>5104</v>
      </c>
      <c r="D18" t="s">
        <v>1001</v>
      </c>
      <c r="E18" t="s">
        <v>75</v>
      </c>
      <c r="F18" t="s">
        <v>5105</v>
      </c>
      <c r="G18" t="s">
        <v>152</v>
      </c>
      <c r="H18" t="s">
        <v>174</v>
      </c>
      <c r="I18" t="s">
        <v>154</v>
      </c>
      <c r="J18">
        <v>20010116</v>
      </c>
    </row>
    <row r="19" spans="1:10">
      <c r="A19" t="s">
        <v>5106</v>
      </c>
      <c r="B19">
        <v>600352</v>
      </c>
      <c r="C19" t="s">
        <v>5107</v>
      </c>
      <c r="D19" t="s">
        <v>423</v>
      </c>
      <c r="E19" t="s">
        <v>88</v>
      </c>
      <c r="F19" t="s">
        <v>5108</v>
      </c>
      <c r="G19" t="s">
        <v>152</v>
      </c>
      <c r="H19" t="s">
        <v>174</v>
      </c>
      <c r="I19" t="s">
        <v>154</v>
      </c>
      <c r="J19">
        <v>20030801</v>
      </c>
    </row>
    <row r="20" spans="1:10">
      <c r="A20" t="s">
        <v>5109</v>
      </c>
      <c r="B20">
        <v>600425</v>
      </c>
      <c r="C20" t="s">
        <v>5110</v>
      </c>
      <c r="D20" t="s">
        <v>202</v>
      </c>
      <c r="E20" t="s">
        <v>75</v>
      </c>
      <c r="F20" t="s">
        <v>5111</v>
      </c>
      <c r="G20" t="s">
        <v>152</v>
      </c>
      <c r="H20" t="s">
        <v>174</v>
      </c>
      <c r="I20" t="s">
        <v>154</v>
      </c>
      <c r="J20">
        <v>20030724</v>
      </c>
    </row>
    <row r="21" spans="1:10">
      <c r="A21" t="s">
        <v>5112</v>
      </c>
      <c r="B21">
        <v>600449</v>
      </c>
      <c r="C21" t="s">
        <v>5113</v>
      </c>
      <c r="D21" t="s">
        <v>332</v>
      </c>
      <c r="E21" t="s">
        <v>75</v>
      </c>
      <c r="F21" t="s">
        <v>5114</v>
      </c>
      <c r="G21" t="s">
        <v>152</v>
      </c>
      <c r="H21" t="s">
        <v>174</v>
      </c>
      <c r="I21" t="s">
        <v>154</v>
      </c>
      <c r="J21">
        <v>20030829</v>
      </c>
    </row>
    <row r="22" spans="1:10">
      <c r="A22" t="s">
        <v>5115</v>
      </c>
      <c r="B22">
        <v>600585</v>
      </c>
      <c r="C22" t="s">
        <v>5116</v>
      </c>
      <c r="D22" t="s">
        <v>160</v>
      </c>
      <c r="E22" t="s">
        <v>75</v>
      </c>
      <c r="F22" t="s">
        <v>5117</v>
      </c>
      <c r="G22" t="s">
        <v>152</v>
      </c>
      <c r="H22" t="s">
        <v>174</v>
      </c>
      <c r="I22" t="s">
        <v>154</v>
      </c>
      <c r="J22">
        <v>20020207</v>
      </c>
    </row>
    <row r="23" spans="1:10">
      <c r="A23" t="s">
        <v>5118</v>
      </c>
      <c r="B23">
        <v>600586</v>
      </c>
      <c r="C23" t="s">
        <v>5119</v>
      </c>
      <c r="D23" t="s">
        <v>198</v>
      </c>
      <c r="E23" t="s">
        <v>45</v>
      </c>
      <c r="F23" t="s">
        <v>5120</v>
      </c>
      <c r="G23" t="s">
        <v>152</v>
      </c>
      <c r="H23" t="s">
        <v>174</v>
      </c>
      <c r="I23" t="s">
        <v>154</v>
      </c>
      <c r="J23">
        <v>20020815</v>
      </c>
    </row>
    <row r="24" spans="1:10">
      <c r="A24" t="s">
        <v>5121</v>
      </c>
      <c r="B24">
        <v>600668</v>
      </c>
      <c r="C24" t="s">
        <v>5122</v>
      </c>
      <c r="D24" t="s">
        <v>423</v>
      </c>
      <c r="E24" t="s">
        <v>75</v>
      </c>
      <c r="F24" t="s">
        <v>5123</v>
      </c>
      <c r="G24" t="s">
        <v>152</v>
      </c>
      <c r="H24" t="s">
        <v>174</v>
      </c>
      <c r="I24" t="s">
        <v>154</v>
      </c>
      <c r="J24">
        <v>19930728</v>
      </c>
    </row>
    <row r="25" spans="1:10">
      <c r="A25" t="s">
        <v>5124</v>
      </c>
      <c r="B25">
        <v>600678</v>
      </c>
      <c r="C25" t="s">
        <v>5125</v>
      </c>
      <c r="D25" t="s">
        <v>219</v>
      </c>
      <c r="E25" t="s">
        <v>75</v>
      </c>
      <c r="F25" t="s">
        <v>5126</v>
      </c>
      <c r="G25" t="s">
        <v>152</v>
      </c>
      <c r="H25" t="s">
        <v>174</v>
      </c>
      <c r="I25" t="s">
        <v>154</v>
      </c>
      <c r="J25">
        <v>19931008</v>
      </c>
    </row>
    <row r="26" spans="1:10">
      <c r="A26" t="s">
        <v>5127</v>
      </c>
      <c r="B26">
        <v>600720</v>
      </c>
      <c r="C26" t="s">
        <v>5128</v>
      </c>
      <c r="D26" t="s">
        <v>177</v>
      </c>
      <c r="E26" t="s">
        <v>75</v>
      </c>
      <c r="F26" t="s">
        <v>5129</v>
      </c>
      <c r="G26" t="s">
        <v>152</v>
      </c>
      <c r="H26" t="s">
        <v>174</v>
      </c>
      <c r="I26" t="s">
        <v>154</v>
      </c>
      <c r="J26">
        <v>19960716</v>
      </c>
    </row>
    <row r="27" spans="1:10">
      <c r="A27" t="s">
        <v>5130</v>
      </c>
      <c r="B27">
        <v>600724</v>
      </c>
      <c r="C27" t="s">
        <v>5131</v>
      </c>
      <c r="D27" t="s">
        <v>423</v>
      </c>
      <c r="E27" t="s">
        <v>75</v>
      </c>
      <c r="F27" t="s">
        <v>5132</v>
      </c>
      <c r="G27" t="s">
        <v>152</v>
      </c>
      <c r="H27" t="s">
        <v>174</v>
      </c>
      <c r="I27" t="s">
        <v>154</v>
      </c>
      <c r="J27">
        <v>19960716</v>
      </c>
    </row>
    <row r="28" spans="1:10">
      <c r="A28" s="3" t="s">
        <v>5133</v>
      </c>
      <c r="B28" s="3">
        <v>600801</v>
      </c>
      <c r="C28" s="3" t="s">
        <v>5134</v>
      </c>
      <c r="D28" s="3" t="s">
        <v>316</v>
      </c>
      <c r="E28" s="3" t="s">
        <v>75</v>
      </c>
      <c r="F28" s="3" t="s">
        <v>5135</v>
      </c>
      <c r="G28" s="3" t="s">
        <v>152</v>
      </c>
      <c r="H28" s="3" t="s">
        <v>174</v>
      </c>
      <c r="I28" s="3" t="s">
        <v>154</v>
      </c>
      <c r="J28" s="3">
        <v>19940103</v>
      </c>
    </row>
    <row r="29" spans="1:10">
      <c r="A29" t="s">
        <v>5136</v>
      </c>
      <c r="B29">
        <v>600802</v>
      </c>
      <c r="C29" t="s">
        <v>5137</v>
      </c>
      <c r="D29" t="s">
        <v>150</v>
      </c>
      <c r="E29" t="s">
        <v>75</v>
      </c>
      <c r="F29" t="s">
        <v>5138</v>
      </c>
      <c r="G29" t="s">
        <v>152</v>
      </c>
      <c r="H29" t="s">
        <v>174</v>
      </c>
      <c r="I29" t="s">
        <v>154</v>
      </c>
      <c r="J29">
        <v>19940103</v>
      </c>
    </row>
    <row r="30" spans="1:10">
      <c r="A30" t="s">
        <v>5139</v>
      </c>
      <c r="B30">
        <v>600819</v>
      </c>
      <c r="C30" t="s">
        <v>5140</v>
      </c>
      <c r="D30" t="s">
        <v>172</v>
      </c>
      <c r="E30" t="s">
        <v>45</v>
      </c>
      <c r="F30" t="s">
        <v>5141</v>
      </c>
      <c r="G30" t="s">
        <v>152</v>
      </c>
      <c r="H30" t="s">
        <v>174</v>
      </c>
      <c r="I30" t="s">
        <v>154</v>
      </c>
      <c r="J30">
        <v>19940128</v>
      </c>
    </row>
    <row r="31" spans="1:10">
      <c r="A31" t="s">
        <v>5142</v>
      </c>
      <c r="B31">
        <v>600876</v>
      </c>
      <c r="C31" t="s">
        <v>5143</v>
      </c>
      <c r="D31" t="s">
        <v>292</v>
      </c>
      <c r="E31" t="s">
        <v>45</v>
      </c>
      <c r="F31" t="s">
        <v>5144</v>
      </c>
      <c r="G31" t="s">
        <v>152</v>
      </c>
      <c r="H31" t="s">
        <v>174</v>
      </c>
      <c r="I31" t="s">
        <v>154</v>
      </c>
      <c r="J31">
        <v>19951031</v>
      </c>
    </row>
    <row r="32" spans="1:10">
      <c r="A32" t="s">
        <v>5145</v>
      </c>
      <c r="B32">
        <v>600881</v>
      </c>
      <c r="C32" t="s">
        <v>5146</v>
      </c>
      <c r="D32" t="s">
        <v>312</v>
      </c>
      <c r="E32" t="s">
        <v>75</v>
      </c>
      <c r="F32" t="s">
        <v>5147</v>
      </c>
      <c r="G32" t="s">
        <v>152</v>
      </c>
      <c r="H32" t="s">
        <v>174</v>
      </c>
      <c r="I32" t="s">
        <v>154</v>
      </c>
      <c r="J32">
        <v>19951115</v>
      </c>
    </row>
    <row r="33" spans="1:10">
      <c r="A33" t="s">
        <v>5148</v>
      </c>
      <c r="B33">
        <v>601636</v>
      </c>
      <c r="C33" t="s">
        <v>5149</v>
      </c>
      <c r="D33" t="s">
        <v>168</v>
      </c>
      <c r="E33" t="s">
        <v>45</v>
      </c>
      <c r="F33" t="s">
        <v>5150</v>
      </c>
      <c r="G33" t="s">
        <v>152</v>
      </c>
      <c r="H33" t="s">
        <v>174</v>
      </c>
      <c r="I33" t="s">
        <v>154</v>
      </c>
      <c r="J33">
        <v>20110812</v>
      </c>
    </row>
    <row r="34" spans="1:10">
      <c r="A34" t="s">
        <v>5151</v>
      </c>
      <c r="B34">
        <v>601865</v>
      </c>
      <c r="C34" t="s">
        <v>5152</v>
      </c>
      <c r="D34" t="s">
        <v>423</v>
      </c>
      <c r="E34" t="s">
        <v>45</v>
      </c>
      <c r="F34" t="s">
        <v>5153</v>
      </c>
      <c r="G34" t="s">
        <v>152</v>
      </c>
      <c r="H34" t="s">
        <v>174</v>
      </c>
      <c r="I34" t="s">
        <v>154</v>
      </c>
      <c r="J34">
        <v>20190215</v>
      </c>
    </row>
    <row r="35" spans="1:10">
      <c r="A35" t="s">
        <v>5154</v>
      </c>
      <c r="B35">
        <v>601992</v>
      </c>
      <c r="C35" t="s">
        <v>5155</v>
      </c>
      <c r="D35" t="s">
        <v>164</v>
      </c>
      <c r="E35" t="s">
        <v>75</v>
      </c>
      <c r="F35" t="s">
        <v>5156</v>
      </c>
      <c r="G35" t="s">
        <v>152</v>
      </c>
      <c r="H35" t="s">
        <v>174</v>
      </c>
      <c r="I35" t="s">
        <v>154</v>
      </c>
      <c r="J35">
        <v>20110301</v>
      </c>
    </row>
    <row r="36" spans="1:10">
      <c r="A36" t="s">
        <v>5157</v>
      </c>
      <c r="B36">
        <v>603110</v>
      </c>
      <c r="C36" t="s">
        <v>5158</v>
      </c>
      <c r="D36" t="s">
        <v>160</v>
      </c>
      <c r="E36" t="s">
        <v>88</v>
      </c>
      <c r="F36" t="s">
        <v>5159</v>
      </c>
      <c r="G36" t="s">
        <v>152</v>
      </c>
      <c r="H36" t="s">
        <v>174</v>
      </c>
      <c r="I36" t="s">
        <v>154</v>
      </c>
      <c r="J36">
        <v>20171013</v>
      </c>
    </row>
    <row r="37" spans="1:10">
      <c r="A37" t="s">
        <v>5160</v>
      </c>
      <c r="B37">
        <v>603188</v>
      </c>
      <c r="C37" t="s">
        <v>5161</v>
      </c>
      <c r="D37" t="s">
        <v>212</v>
      </c>
      <c r="E37" t="s">
        <v>88</v>
      </c>
      <c r="F37" t="s">
        <v>5162</v>
      </c>
      <c r="G37" t="s">
        <v>152</v>
      </c>
      <c r="H37" t="s">
        <v>174</v>
      </c>
      <c r="I37" t="s">
        <v>154</v>
      </c>
      <c r="J37">
        <v>20140909</v>
      </c>
    </row>
    <row r="38" spans="1:10">
      <c r="A38" t="s">
        <v>5163</v>
      </c>
      <c r="B38">
        <v>603256</v>
      </c>
      <c r="C38" t="s">
        <v>5164</v>
      </c>
      <c r="D38" t="s">
        <v>172</v>
      </c>
      <c r="E38" t="s">
        <v>45</v>
      </c>
      <c r="F38" t="s">
        <v>5165</v>
      </c>
      <c r="G38" t="s">
        <v>152</v>
      </c>
      <c r="H38" t="s">
        <v>174</v>
      </c>
      <c r="I38" t="s">
        <v>154</v>
      </c>
      <c r="J38">
        <v>20190719</v>
      </c>
    </row>
    <row r="39" spans="1:10">
      <c r="A39" t="s">
        <v>5166</v>
      </c>
      <c r="B39">
        <v>603378</v>
      </c>
      <c r="C39" t="s">
        <v>5167</v>
      </c>
      <c r="D39" t="s">
        <v>172</v>
      </c>
      <c r="E39" t="s">
        <v>88</v>
      </c>
      <c r="F39" t="s">
        <v>5168</v>
      </c>
      <c r="G39" t="s">
        <v>152</v>
      </c>
      <c r="H39" t="s">
        <v>174</v>
      </c>
      <c r="I39" t="s">
        <v>154</v>
      </c>
      <c r="J39">
        <v>20170928</v>
      </c>
    </row>
    <row r="40" spans="1:10">
      <c r="A40" t="s">
        <v>5169</v>
      </c>
      <c r="B40">
        <v>603578</v>
      </c>
      <c r="C40" t="s">
        <v>5170</v>
      </c>
      <c r="D40" t="s">
        <v>423</v>
      </c>
      <c r="E40" t="s">
        <v>45</v>
      </c>
      <c r="F40" t="s">
        <v>5171</v>
      </c>
      <c r="G40" t="s">
        <v>152</v>
      </c>
      <c r="H40" t="s">
        <v>174</v>
      </c>
      <c r="I40" t="s">
        <v>154</v>
      </c>
      <c r="J40">
        <v>20170306</v>
      </c>
    </row>
    <row r="41" spans="1:10">
      <c r="A41" t="s">
        <v>5172</v>
      </c>
      <c r="B41">
        <v>603601</v>
      </c>
      <c r="C41" t="s">
        <v>5173</v>
      </c>
      <c r="D41" t="s">
        <v>937</v>
      </c>
      <c r="E41" t="s">
        <v>45</v>
      </c>
      <c r="F41" t="s">
        <v>5174</v>
      </c>
      <c r="G41" t="s">
        <v>152</v>
      </c>
      <c r="H41" t="s">
        <v>174</v>
      </c>
      <c r="I41" t="s">
        <v>154</v>
      </c>
      <c r="J41">
        <v>20150122</v>
      </c>
    </row>
    <row r="42" spans="1:10">
      <c r="A42" t="s">
        <v>5175</v>
      </c>
      <c r="B42">
        <v>603616</v>
      </c>
      <c r="C42" t="s">
        <v>5176</v>
      </c>
      <c r="D42" t="s">
        <v>164</v>
      </c>
      <c r="E42" t="s">
        <v>75</v>
      </c>
      <c r="F42" t="s">
        <v>5177</v>
      </c>
      <c r="G42" t="s">
        <v>152</v>
      </c>
      <c r="H42" t="s">
        <v>174</v>
      </c>
      <c r="I42" t="s">
        <v>154</v>
      </c>
      <c r="J42">
        <v>20150611</v>
      </c>
    </row>
    <row r="43" spans="1:10">
      <c r="A43" t="s">
        <v>5178</v>
      </c>
      <c r="B43">
        <v>603737</v>
      </c>
      <c r="C43" t="s">
        <v>5179</v>
      </c>
      <c r="D43" t="s">
        <v>150</v>
      </c>
      <c r="E43" t="s">
        <v>88</v>
      </c>
      <c r="F43" t="s">
        <v>5180</v>
      </c>
      <c r="G43" t="s">
        <v>152</v>
      </c>
      <c r="H43" t="s">
        <v>174</v>
      </c>
      <c r="I43" t="s">
        <v>154</v>
      </c>
      <c r="J43">
        <v>20160603</v>
      </c>
    </row>
    <row r="44" spans="1:10">
      <c r="A44" t="s">
        <v>5181</v>
      </c>
      <c r="B44">
        <v>603790</v>
      </c>
      <c r="C44" t="s">
        <v>5182</v>
      </c>
      <c r="D44" t="s">
        <v>172</v>
      </c>
      <c r="E44" t="s">
        <v>88</v>
      </c>
      <c r="F44" t="s">
        <v>5183</v>
      </c>
      <c r="G44" t="s">
        <v>152</v>
      </c>
      <c r="H44" t="s">
        <v>174</v>
      </c>
      <c r="I44" t="s">
        <v>154</v>
      </c>
      <c r="J44">
        <v>20180912</v>
      </c>
    </row>
    <row r="45" spans="1:10">
      <c r="A45" t="s">
        <v>5184</v>
      </c>
      <c r="B45">
        <v>603823</v>
      </c>
      <c r="C45" t="s">
        <v>5185</v>
      </c>
      <c r="D45" t="s">
        <v>423</v>
      </c>
      <c r="E45" t="s">
        <v>88</v>
      </c>
      <c r="F45" t="s">
        <v>5186</v>
      </c>
      <c r="G45" t="s">
        <v>152</v>
      </c>
      <c r="H45" t="s">
        <v>174</v>
      </c>
      <c r="I45" t="s">
        <v>154</v>
      </c>
      <c r="J45">
        <v>20161220</v>
      </c>
    </row>
    <row r="46" spans="1:10">
      <c r="A46" t="s">
        <v>5187</v>
      </c>
      <c r="B46">
        <v>603826</v>
      </c>
      <c r="C46" t="s">
        <v>5188</v>
      </c>
      <c r="D46" t="s">
        <v>150</v>
      </c>
      <c r="E46" t="s">
        <v>88</v>
      </c>
      <c r="F46" t="s">
        <v>5189</v>
      </c>
      <c r="G46" t="s">
        <v>152</v>
      </c>
      <c r="H46" t="s">
        <v>174</v>
      </c>
      <c r="I46" t="s">
        <v>154</v>
      </c>
      <c r="J46">
        <v>20170414</v>
      </c>
    </row>
    <row r="47" spans="1:10">
      <c r="A47" t="s">
        <v>5190</v>
      </c>
      <c r="B47">
        <v>603969</v>
      </c>
      <c r="C47" t="s">
        <v>5191</v>
      </c>
      <c r="D47" t="s">
        <v>576</v>
      </c>
      <c r="E47" t="s">
        <v>94</v>
      </c>
      <c r="F47" t="s">
        <v>5192</v>
      </c>
      <c r="G47" t="s">
        <v>152</v>
      </c>
      <c r="H47" t="s">
        <v>174</v>
      </c>
      <c r="I47" t="s">
        <v>154</v>
      </c>
      <c r="J47">
        <v>20150227</v>
      </c>
    </row>
    <row r="48" spans="1:10">
      <c r="A48" t="s">
        <v>5193</v>
      </c>
      <c r="B48">
        <v>603980</v>
      </c>
      <c r="C48" t="s">
        <v>5194</v>
      </c>
      <c r="D48" t="s">
        <v>423</v>
      </c>
      <c r="E48" t="s">
        <v>88</v>
      </c>
      <c r="F48" t="s">
        <v>5195</v>
      </c>
      <c r="G48" t="s">
        <v>152</v>
      </c>
      <c r="H48" t="s">
        <v>174</v>
      </c>
      <c r="I48" t="s">
        <v>154</v>
      </c>
      <c r="J48">
        <v>20170615</v>
      </c>
    </row>
    <row r="49" spans="1:10">
      <c r="A49" t="s">
        <v>5196</v>
      </c>
      <c r="B49">
        <v>605006</v>
      </c>
      <c r="C49" t="s">
        <v>5197</v>
      </c>
      <c r="D49" t="s">
        <v>198</v>
      </c>
      <c r="E49" t="s">
        <v>45</v>
      </c>
      <c r="F49" t="s">
        <v>5198</v>
      </c>
      <c r="G49" t="s">
        <v>152</v>
      </c>
      <c r="H49" t="s">
        <v>174</v>
      </c>
      <c r="I49" t="s">
        <v>154</v>
      </c>
      <c r="J49">
        <v>20200903</v>
      </c>
    </row>
    <row r="50" spans="1:10">
      <c r="A50" t="s">
        <v>5199</v>
      </c>
      <c r="B50">
        <v>605122</v>
      </c>
      <c r="C50" t="s">
        <v>5200</v>
      </c>
      <c r="D50" t="s">
        <v>937</v>
      </c>
      <c r="E50" t="s">
        <v>75</v>
      </c>
      <c r="F50" t="s">
        <v>5201</v>
      </c>
      <c r="G50" t="s">
        <v>152</v>
      </c>
      <c r="H50" t="s">
        <v>174</v>
      </c>
      <c r="I50" t="s">
        <v>154</v>
      </c>
      <c r="J50">
        <v>20210310</v>
      </c>
    </row>
    <row r="51" spans="1:10">
      <c r="A51" t="s">
        <v>5202</v>
      </c>
      <c r="B51">
        <v>605318</v>
      </c>
      <c r="C51" t="s">
        <v>5203</v>
      </c>
      <c r="D51" t="s">
        <v>423</v>
      </c>
      <c r="E51" t="s">
        <v>94</v>
      </c>
      <c r="F51" t="s">
        <v>5204</v>
      </c>
      <c r="G51" t="s">
        <v>152</v>
      </c>
      <c r="H51" t="s">
        <v>174</v>
      </c>
      <c r="I51" t="s">
        <v>154</v>
      </c>
      <c r="J51">
        <v>20200803</v>
      </c>
    </row>
    <row r="52" spans="1:10">
      <c r="A52" t="s">
        <v>5205</v>
      </c>
      <c r="B52">
        <v>605566</v>
      </c>
      <c r="C52" t="s">
        <v>5206</v>
      </c>
      <c r="D52" t="s">
        <v>423</v>
      </c>
      <c r="E52" t="s">
        <v>88</v>
      </c>
      <c r="F52" t="s">
        <v>5207</v>
      </c>
      <c r="G52" t="s">
        <v>152</v>
      </c>
      <c r="H52" t="s">
        <v>174</v>
      </c>
      <c r="I52" t="s">
        <v>154</v>
      </c>
      <c r="J52">
        <v>20211025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"/>
  <sheetViews>
    <sheetView workbookViewId="0">
      <selection activeCell="L4" sqref="L4:M5"/>
    </sheetView>
  </sheetViews>
  <sheetFormatPr defaultColWidth="9" defaultRowHeight="13.5"/>
  <cols>
    <col min="1" max="1" width="11.75" customWidth="1"/>
    <col min="4" max="4" width="10.25" customWidth="1"/>
    <col min="6" max="6" width="20.75" customWidth="1"/>
  </cols>
  <sheetData>
    <row r="1" spans="1:10">
      <c r="A1" t="s">
        <v>5208</v>
      </c>
      <c r="B1">
        <v>10</v>
      </c>
      <c r="C1" t="s">
        <v>5209</v>
      </c>
      <c r="D1" t="s">
        <v>243</v>
      </c>
      <c r="E1" t="s">
        <v>121</v>
      </c>
      <c r="F1" t="s">
        <v>5210</v>
      </c>
      <c r="G1" t="s">
        <v>152</v>
      </c>
      <c r="H1" t="s">
        <v>153</v>
      </c>
      <c r="I1" t="s">
        <v>154</v>
      </c>
      <c r="J1">
        <v>19951027</v>
      </c>
    </row>
    <row r="2" spans="1:10">
      <c r="A2" t="s">
        <v>5211</v>
      </c>
      <c r="B2">
        <v>32</v>
      </c>
      <c r="C2" t="s">
        <v>5212</v>
      </c>
      <c r="D2" t="s">
        <v>243</v>
      </c>
      <c r="E2" t="s">
        <v>121</v>
      </c>
      <c r="F2" t="s">
        <v>5213</v>
      </c>
      <c r="G2" t="s">
        <v>152</v>
      </c>
      <c r="H2" t="s">
        <v>153</v>
      </c>
      <c r="I2" t="s">
        <v>154</v>
      </c>
      <c r="J2">
        <v>19931028</v>
      </c>
    </row>
    <row r="3" spans="1:10">
      <c r="A3" t="s">
        <v>5214</v>
      </c>
      <c r="B3">
        <v>55</v>
      </c>
      <c r="C3" t="s">
        <v>5215</v>
      </c>
      <c r="D3" t="s">
        <v>243</v>
      </c>
      <c r="E3" t="s">
        <v>115</v>
      </c>
      <c r="F3" t="s">
        <v>5216</v>
      </c>
      <c r="G3" t="s">
        <v>152</v>
      </c>
      <c r="H3" t="s">
        <v>153</v>
      </c>
      <c r="I3" t="s">
        <v>154</v>
      </c>
      <c r="J3">
        <v>19960415</v>
      </c>
    </row>
    <row r="4" spans="1:13">
      <c r="A4" t="s">
        <v>5217</v>
      </c>
      <c r="B4">
        <v>65</v>
      </c>
      <c r="C4" t="s">
        <v>5218</v>
      </c>
      <c r="D4" t="s">
        <v>164</v>
      </c>
      <c r="E4" t="s">
        <v>121</v>
      </c>
      <c r="F4" t="s">
        <v>5219</v>
      </c>
      <c r="G4" t="s">
        <v>152</v>
      </c>
      <c r="H4" t="s">
        <v>153</v>
      </c>
      <c r="I4" t="s">
        <v>154</v>
      </c>
      <c r="J4">
        <v>19980605</v>
      </c>
      <c r="L4" t="s">
        <v>4129</v>
      </c>
      <c r="M4">
        <v>69</v>
      </c>
    </row>
    <row r="5" spans="1:13">
      <c r="A5" t="s">
        <v>5220</v>
      </c>
      <c r="B5">
        <v>90</v>
      </c>
      <c r="C5" t="s">
        <v>5221</v>
      </c>
      <c r="D5" t="s">
        <v>243</v>
      </c>
      <c r="E5" t="s">
        <v>121</v>
      </c>
      <c r="F5" t="s">
        <v>5222</v>
      </c>
      <c r="G5" t="s">
        <v>152</v>
      </c>
      <c r="H5" t="s">
        <v>153</v>
      </c>
      <c r="I5" t="s">
        <v>154</v>
      </c>
      <c r="J5">
        <v>19990721</v>
      </c>
      <c r="L5" t="s">
        <v>4133</v>
      </c>
      <c r="M5" s="2">
        <f ca="1">CEILING(RAND()*M4,1)</f>
        <v>42</v>
      </c>
    </row>
    <row r="6" spans="1:10">
      <c r="A6" t="s">
        <v>5223</v>
      </c>
      <c r="B6">
        <v>498</v>
      </c>
      <c r="C6" t="s">
        <v>5224</v>
      </c>
      <c r="D6" t="s">
        <v>198</v>
      </c>
      <c r="E6" t="s">
        <v>121</v>
      </c>
      <c r="F6" t="s">
        <v>5225</v>
      </c>
      <c r="G6" t="s">
        <v>152</v>
      </c>
      <c r="H6" t="s">
        <v>153</v>
      </c>
      <c r="I6" t="s">
        <v>154</v>
      </c>
      <c r="J6">
        <v>19970609</v>
      </c>
    </row>
    <row r="7" spans="1:10">
      <c r="A7" t="s">
        <v>5226</v>
      </c>
      <c r="B7">
        <v>628</v>
      </c>
      <c r="C7" t="s">
        <v>5227</v>
      </c>
      <c r="D7" t="s">
        <v>219</v>
      </c>
      <c r="E7" t="s">
        <v>121</v>
      </c>
      <c r="F7" t="s">
        <v>5228</v>
      </c>
      <c r="G7" t="s">
        <v>152</v>
      </c>
      <c r="H7" t="s">
        <v>153</v>
      </c>
      <c r="I7" t="s">
        <v>154</v>
      </c>
      <c r="J7">
        <v>19961118</v>
      </c>
    </row>
    <row r="8" spans="1:10">
      <c r="A8" t="s">
        <v>5229</v>
      </c>
      <c r="B8">
        <v>779</v>
      </c>
      <c r="C8" t="s">
        <v>5230</v>
      </c>
      <c r="D8" t="s">
        <v>177</v>
      </c>
      <c r="E8" t="s">
        <v>121</v>
      </c>
      <c r="F8" t="s">
        <v>5231</v>
      </c>
      <c r="G8" t="s">
        <v>152</v>
      </c>
      <c r="H8" t="s">
        <v>153</v>
      </c>
      <c r="I8" t="s">
        <v>154</v>
      </c>
      <c r="J8">
        <v>19970528</v>
      </c>
    </row>
    <row r="9" spans="1:10">
      <c r="A9" t="s">
        <v>5232</v>
      </c>
      <c r="B9">
        <v>928</v>
      </c>
      <c r="C9" t="s">
        <v>5233</v>
      </c>
      <c r="D9" t="s">
        <v>312</v>
      </c>
      <c r="E9" t="s">
        <v>121</v>
      </c>
      <c r="F9" t="s">
        <v>5234</v>
      </c>
      <c r="G9" t="s">
        <v>152</v>
      </c>
      <c r="H9" t="s">
        <v>153</v>
      </c>
      <c r="I9" t="s">
        <v>154</v>
      </c>
      <c r="J9">
        <v>19990312</v>
      </c>
    </row>
    <row r="10" spans="1:10">
      <c r="A10" t="s">
        <v>5235</v>
      </c>
      <c r="B10">
        <v>1267</v>
      </c>
      <c r="C10" t="s">
        <v>5236</v>
      </c>
      <c r="D10" t="s">
        <v>316</v>
      </c>
      <c r="E10" t="s">
        <v>121</v>
      </c>
      <c r="F10" t="s">
        <v>5237</v>
      </c>
      <c r="G10" t="s">
        <v>152</v>
      </c>
      <c r="H10" t="s">
        <v>153</v>
      </c>
      <c r="I10" t="s">
        <v>154</v>
      </c>
      <c r="J10">
        <v>20211117</v>
      </c>
    </row>
    <row r="11" spans="1:10">
      <c r="A11" t="s">
        <v>5238</v>
      </c>
      <c r="B11">
        <v>600039</v>
      </c>
      <c r="C11" t="s">
        <v>5239</v>
      </c>
      <c r="D11" t="s">
        <v>219</v>
      </c>
      <c r="E11" t="s">
        <v>121</v>
      </c>
      <c r="F11" t="s">
        <v>5240</v>
      </c>
      <c r="G11" t="s">
        <v>152</v>
      </c>
      <c r="H11" t="s">
        <v>174</v>
      </c>
      <c r="I11" t="s">
        <v>154</v>
      </c>
      <c r="J11">
        <v>20030325</v>
      </c>
    </row>
    <row r="12" spans="1:10">
      <c r="A12" t="s">
        <v>5241</v>
      </c>
      <c r="B12">
        <v>600133</v>
      </c>
      <c r="C12" t="s">
        <v>5242</v>
      </c>
      <c r="D12" t="s">
        <v>316</v>
      </c>
      <c r="E12" t="s">
        <v>121</v>
      </c>
      <c r="F12" t="s">
        <v>5243</v>
      </c>
      <c r="G12" t="s">
        <v>152</v>
      </c>
      <c r="H12" t="s">
        <v>174</v>
      </c>
      <c r="I12" t="s">
        <v>154</v>
      </c>
      <c r="J12">
        <v>19980212</v>
      </c>
    </row>
    <row r="13" spans="1:10">
      <c r="A13" t="s">
        <v>5244</v>
      </c>
      <c r="B13">
        <v>600170</v>
      </c>
      <c r="C13" t="s">
        <v>5245</v>
      </c>
      <c r="D13" t="s">
        <v>172</v>
      </c>
      <c r="E13" t="s">
        <v>121</v>
      </c>
      <c r="F13" t="s">
        <v>5246</v>
      </c>
      <c r="G13" t="s">
        <v>152</v>
      </c>
      <c r="H13" t="s">
        <v>174</v>
      </c>
      <c r="I13" t="s">
        <v>154</v>
      </c>
      <c r="J13">
        <v>19980623</v>
      </c>
    </row>
    <row r="14" spans="1:10">
      <c r="A14" s="3" t="s">
        <v>5247</v>
      </c>
      <c r="B14" s="3">
        <v>600193</v>
      </c>
      <c r="C14" s="3" t="s">
        <v>5248</v>
      </c>
      <c r="D14" s="3" t="s">
        <v>172</v>
      </c>
      <c r="E14" s="3" t="s">
        <v>115</v>
      </c>
      <c r="F14" s="3" t="s">
        <v>5249</v>
      </c>
      <c r="G14" s="3" t="s">
        <v>152</v>
      </c>
      <c r="H14" s="3" t="s">
        <v>174</v>
      </c>
      <c r="I14" s="3" t="s">
        <v>154</v>
      </c>
      <c r="J14" s="3">
        <v>19990527</v>
      </c>
    </row>
    <row r="15" spans="1:10">
      <c r="A15" t="s">
        <v>5250</v>
      </c>
      <c r="B15">
        <v>600248</v>
      </c>
      <c r="C15" t="s">
        <v>5251</v>
      </c>
      <c r="D15" t="s">
        <v>419</v>
      </c>
      <c r="E15" t="s">
        <v>121</v>
      </c>
      <c r="F15" t="s">
        <v>5252</v>
      </c>
      <c r="G15" t="s">
        <v>152</v>
      </c>
      <c r="H15" t="s">
        <v>174</v>
      </c>
      <c r="I15" t="s">
        <v>154</v>
      </c>
      <c r="J15">
        <v>20000622</v>
      </c>
    </row>
    <row r="16" spans="1:10">
      <c r="A16" t="s">
        <v>5253</v>
      </c>
      <c r="B16">
        <v>600284</v>
      </c>
      <c r="C16" t="s">
        <v>5254</v>
      </c>
      <c r="D16" t="s">
        <v>172</v>
      </c>
      <c r="E16" t="s">
        <v>121</v>
      </c>
      <c r="F16" t="s">
        <v>5255</v>
      </c>
      <c r="G16" t="s">
        <v>152</v>
      </c>
      <c r="H16" t="s">
        <v>174</v>
      </c>
      <c r="I16" t="s">
        <v>154</v>
      </c>
      <c r="J16">
        <v>20040316</v>
      </c>
    </row>
    <row r="17" spans="1:10">
      <c r="A17" t="s">
        <v>5256</v>
      </c>
      <c r="B17">
        <v>600491</v>
      </c>
      <c r="C17" t="s">
        <v>5257</v>
      </c>
      <c r="D17" t="s">
        <v>423</v>
      </c>
      <c r="E17" t="s">
        <v>121</v>
      </c>
      <c r="F17" t="s">
        <v>5258</v>
      </c>
      <c r="G17" t="s">
        <v>152</v>
      </c>
      <c r="H17" t="s">
        <v>174</v>
      </c>
      <c r="I17" t="s">
        <v>154</v>
      </c>
      <c r="J17">
        <v>20040524</v>
      </c>
    </row>
    <row r="18" spans="1:10">
      <c r="A18" t="s">
        <v>5259</v>
      </c>
      <c r="B18">
        <v>600502</v>
      </c>
      <c r="C18" t="s">
        <v>5260</v>
      </c>
      <c r="D18" t="s">
        <v>160</v>
      </c>
      <c r="E18" t="s">
        <v>121</v>
      </c>
      <c r="F18" t="s">
        <v>5261</v>
      </c>
      <c r="G18" t="s">
        <v>152</v>
      </c>
      <c r="H18" t="s">
        <v>174</v>
      </c>
      <c r="I18" t="s">
        <v>154</v>
      </c>
      <c r="J18">
        <v>20030415</v>
      </c>
    </row>
    <row r="19" spans="1:10">
      <c r="A19" t="s">
        <v>5262</v>
      </c>
      <c r="B19">
        <v>600512</v>
      </c>
      <c r="C19" t="s">
        <v>5263</v>
      </c>
      <c r="D19" t="s">
        <v>423</v>
      </c>
      <c r="E19" t="s">
        <v>121</v>
      </c>
      <c r="F19" t="s">
        <v>5264</v>
      </c>
      <c r="G19" t="s">
        <v>152</v>
      </c>
      <c r="H19" t="s">
        <v>174</v>
      </c>
      <c r="I19" t="s">
        <v>154</v>
      </c>
      <c r="J19">
        <v>20021226</v>
      </c>
    </row>
    <row r="20" spans="1:10">
      <c r="A20" t="s">
        <v>5265</v>
      </c>
      <c r="B20">
        <v>600606</v>
      </c>
      <c r="C20" t="s">
        <v>5266</v>
      </c>
      <c r="D20" t="s">
        <v>172</v>
      </c>
      <c r="E20" t="s">
        <v>121</v>
      </c>
      <c r="F20" t="s">
        <v>5267</v>
      </c>
      <c r="G20" t="s">
        <v>152</v>
      </c>
      <c r="H20" t="s">
        <v>174</v>
      </c>
      <c r="I20" t="s">
        <v>154</v>
      </c>
      <c r="J20">
        <v>19920327</v>
      </c>
    </row>
    <row r="21" spans="1:10">
      <c r="A21" t="s">
        <v>5268</v>
      </c>
      <c r="B21">
        <v>600629</v>
      </c>
      <c r="C21" t="s">
        <v>5269</v>
      </c>
      <c r="D21" t="s">
        <v>172</v>
      </c>
      <c r="E21" t="s">
        <v>121</v>
      </c>
      <c r="F21" t="s">
        <v>5270</v>
      </c>
      <c r="G21" t="s">
        <v>152</v>
      </c>
      <c r="H21" t="s">
        <v>174</v>
      </c>
      <c r="I21" t="s">
        <v>154</v>
      </c>
      <c r="J21">
        <v>19930209</v>
      </c>
    </row>
    <row r="22" spans="1:10">
      <c r="A22" t="s">
        <v>5271</v>
      </c>
      <c r="B22">
        <v>600769</v>
      </c>
      <c r="C22" t="s">
        <v>5272</v>
      </c>
      <c r="D22" t="s">
        <v>316</v>
      </c>
      <c r="E22" t="s">
        <v>121</v>
      </c>
      <c r="F22" t="s">
        <v>5273</v>
      </c>
      <c r="G22" t="s">
        <v>152</v>
      </c>
      <c r="H22" t="s">
        <v>174</v>
      </c>
      <c r="I22" t="s">
        <v>154</v>
      </c>
      <c r="J22">
        <v>19961101</v>
      </c>
    </row>
    <row r="23" spans="1:10">
      <c r="A23" t="s">
        <v>5274</v>
      </c>
      <c r="B23">
        <v>600820</v>
      </c>
      <c r="C23" t="s">
        <v>5275</v>
      </c>
      <c r="D23" t="s">
        <v>172</v>
      </c>
      <c r="E23" t="s">
        <v>121</v>
      </c>
      <c r="F23" t="s">
        <v>5276</v>
      </c>
      <c r="G23" t="s">
        <v>152</v>
      </c>
      <c r="H23" t="s">
        <v>174</v>
      </c>
      <c r="I23" t="s">
        <v>154</v>
      </c>
      <c r="J23">
        <v>19940128</v>
      </c>
    </row>
    <row r="24" spans="1:10">
      <c r="A24" t="s">
        <v>5277</v>
      </c>
      <c r="B24">
        <v>600846</v>
      </c>
      <c r="C24" t="s">
        <v>5278</v>
      </c>
      <c r="D24" t="s">
        <v>172</v>
      </c>
      <c r="E24" t="s">
        <v>121</v>
      </c>
      <c r="F24" t="s">
        <v>5279</v>
      </c>
      <c r="G24" t="s">
        <v>152</v>
      </c>
      <c r="H24" t="s">
        <v>174</v>
      </c>
      <c r="I24" t="s">
        <v>154</v>
      </c>
      <c r="J24">
        <v>19940311</v>
      </c>
    </row>
    <row r="25" spans="1:10">
      <c r="A25" t="s">
        <v>5280</v>
      </c>
      <c r="B25">
        <v>600853</v>
      </c>
      <c r="C25" t="s">
        <v>5281</v>
      </c>
      <c r="D25" t="s">
        <v>194</v>
      </c>
      <c r="E25" t="s">
        <v>121</v>
      </c>
      <c r="F25" t="s">
        <v>5282</v>
      </c>
      <c r="G25" t="s">
        <v>152</v>
      </c>
      <c r="H25" t="s">
        <v>174</v>
      </c>
      <c r="I25" t="s">
        <v>154</v>
      </c>
      <c r="J25">
        <v>19940404</v>
      </c>
    </row>
    <row r="26" spans="1:10">
      <c r="A26" t="s">
        <v>5283</v>
      </c>
      <c r="B26">
        <v>600939</v>
      </c>
      <c r="C26" t="s">
        <v>5284</v>
      </c>
      <c r="D26" t="s">
        <v>937</v>
      </c>
      <c r="E26" t="s">
        <v>121</v>
      </c>
      <c r="F26" t="s">
        <v>5285</v>
      </c>
      <c r="G26" t="s">
        <v>152</v>
      </c>
      <c r="H26" t="s">
        <v>174</v>
      </c>
      <c r="I26" t="s">
        <v>154</v>
      </c>
      <c r="J26">
        <v>20170221</v>
      </c>
    </row>
    <row r="27" spans="1:10">
      <c r="A27" t="s">
        <v>5286</v>
      </c>
      <c r="B27">
        <v>600970</v>
      </c>
      <c r="C27" t="s">
        <v>5287</v>
      </c>
      <c r="D27" t="s">
        <v>212</v>
      </c>
      <c r="E27" t="s">
        <v>121</v>
      </c>
      <c r="F27" t="s">
        <v>5288</v>
      </c>
      <c r="G27" t="s">
        <v>152</v>
      </c>
      <c r="H27" t="s">
        <v>174</v>
      </c>
      <c r="I27" t="s">
        <v>154</v>
      </c>
      <c r="J27">
        <v>20050412</v>
      </c>
    </row>
    <row r="28" spans="1:10">
      <c r="A28" t="s">
        <v>5289</v>
      </c>
      <c r="B28">
        <v>601068</v>
      </c>
      <c r="C28" t="s">
        <v>5290</v>
      </c>
      <c r="D28" t="s">
        <v>164</v>
      </c>
      <c r="E28" t="s">
        <v>121</v>
      </c>
      <c r="F28" t="s">
        <v>5291</v>
      </c>
      <c r="G28" t="s">
        <v>152</v>
      </c>
      <c r="H28" t="s">
        <v>174</v>
      </c>
      <c r="I28" t="s">
        <v>154</v>
      </c>
      <c r="J28">
        <v>20180831</v>
      </c>
    </row>
    <row r="29" spans="1:10">
      <c r="A29" t="s">
        <v>5292</v>
      </c>
      <c r="B29">
        <v>601117</v>
      </c>
      <c r="C29" t="s">
        <v>5293</v>
      </c>
      <c r="D29" t="s">
        <v>164</v>
      </c>
      <c r="E29" t="s">
        <v>121</v>
      </c>
      <c r="F29" t="s">
        <v>5294</v>
      </c>
      <c r="G29" t="s">
        <v>152</v>
      </c>
      <c r="H29" t="s">
        <v>174</v>
      </c>
      <c r="I29" t="s">
        <v>154</v>
      </c>
      <c r="J29">
        <v>20100107</v>
      </c>
    </row>
    <row r="30" spans="1:10">
      <c r="A30" t="s">
        <v>5295</v>
      </c>
      <c r="B30">
        <v>601186</v>
      </c>
      <c r="C30" t="s">
        <v>5296</v>
      </c>
      <c r="D30" t="s">
        <v>164</v>
      </c>
      <c r="E30" t="s">
        <v>121</v>
      </c>
      <c r="F30" t="s">
        <v>5297</v>
      </c>
      <c r="G30" t="s">
        <v>152</v>
      </c>
      <c r="H30" t="s">
        <v>174</v>
      </c>
      <c r="I30" t="s">
        <v>154</v>
      </c>
      <c r="J30">
        <v>20080310</v>
      </c>
    </row>
    <row r="31" spans="1:10">
      <c r="A31" t="s">
        <v>5298</v>
      </c>
      <c r="B31">
        <v>601226</v>
      </c>
      <c r="C31" t="s">
        <v>5299</v>
      </c>
      <c r="D31" t="s">
        <v>164</v>
      </c>
      <c r="E31" t="s">
        <v>121</v>
      </c>
      <c r="F31" t="s">
        <v>5300</v>
      </c>
      <c r="G31" t="s">
        <v>152</v>
      </c>
      <c r="H31" t="s">
        <v>174</v>
      </c>
      <c r="I31" t="s">
        <v>154</v>
      </c>
      <c r="J31">
        <v>20141211</v>
      </c>
    </row>
    <row r="32" spans="1:10">
      <c r="A32" t="s">
        <v>5301</v>
      </c>
      <c r="B32">
        <v>601390</v>
      </c>
      <c r="C32" t="s">
        <v>5302</v>
      </c>
      <c r="D32" t="s">
        <v>164</v>
      </c>
      <c r="E32" t="s">
        <v>121</v>
      </c>
      <c r="F32" t="s">
        <v>5303</v>
      </c>
      <c r="G32" t="s">
        <v>152</v>
      </c>
      <c r="H32" t="s">
        <v>174</v>
      </c>
      <c r="I32" t="s">
        <v>154</v>
      </c>
      <c r="J32">
        <v>20071203</v>
      </c>
    </row>
    <row r="33" spans="1:10">
      <c r="A33" s="1" t="s">
        <v>5304</v>
      </c>
      <c r="B33" s="1">
        <v>601611</v>
      </c>
      <c r="C33" s="1" t="s">
        <v>5305</v>
      </c>
      <c r="D33" s="1" t="s">
        <v>172</v>
      </c>
      <c r="E33" s="1" t="s">
        <v>121</v>
      </c>
      <c r="F33" s="1" t="s">
        <v>5306</v>
      </c>
      <c r="G33" s="1" t="s">
        <v>152</v>
      </c>
      <c r="H33" s="1" t="s">
        <v>174</v>
      </c>
      <c r="I33" s="1" t="s">
        <v>154</v>
      </c>
      <c r="J33" s="1">
        <v>20160606</v>
      </c>
    </row>
    <row r="34" spans="1:10">
      <c r="A34" t="s">
        <v>5307</v>
      </c>
      <c r="B34">
        <v>601618</v>
      </c>
      <c r="C34" t="s">
        <v>5308</v>
      </c>
      <c r="D34" t="s">
        <v>164</v>
      </c>
      <c r="E34" t="s">
        <v>121</v>
      </c>
      <c r="F34" t="s">
        <v>5309</v>
      </c>
      <c r="G34" t="s">
        <v>152</v>
      </c>
      <c r="H34" t="s">
        <v>174</v>
      </c>
      <c r="I34" t="s">
        <v>154</v>
      </c>
      <c r="J34">
        <v>20090921</v>
      </c>
    </row>
    <row r="35" spans="1:10">
      <c r="A35" t="s">
        <v>5310</v>
      </c>
      <c r="B35">
        <v>601668</v>
      </c>
      <c r="C35" t="s">
        <v>5311</v>
      </c>
      <c r="D35" t="s">
        <v>164</v>
      </c>
      <c r="E35" t="s">
        <v>121</v>
      </c>
      <c r="F35" t="s">
        <v>5312</v>
      </c>
      <c r="G35" t="s">
        <v>152</v>
      </c>
      <c r="H35" t="s">
        <v>174</v>
      </c>
      <c r="I35" t="s">
        <v>154</v>
      </c>
      <c r="J35">
        <v>20090729</v>
      </c>
    </row>
    <row r="36" spans="1:10">
      <c r="A36" t="s">
        <v>5313</v>
      </c>
      <c r="B36">
        <v>601669</v>
      </c>
      <c r="C36" t="s">
        <v>5314</v>
      </c>
      <c r="D36" t="s">
        <v>164</v>
      </c>
      <c r="E36" t="s">
        <v>121</v>
      </c>
      <c r="F36" t="s">
        <v>5315</v>
      </c>
      <c r="G36" t="s">
        <v>152</v>
      </c>
      <c r="H36" t="s">
        <v>174</v>
      </c>
      <c r="I36" t="s">
        <v>154</v>
      </c>
      <c r="J36">
        <v>20111018</v>
      </c>
    </row>
    <row r="37" spans="1:10">
      <c r="A37" t="s">
        <v>5316</v>
      </c>
      <c r="B37">
        <v>601789</v>
      </c>
      <c r="C37" t="s">
        <v>5317</v>
      </c>
      <c r="D37" t="s">
        <v>423</v>
      </c>
      <c r="E37" t="s">
        <v>121</v>
      </c>
      <c r="F37" t="s">
        <v>5318</v>
      </c>
      <c r="G37" t="s">
        <v>152</v>
      </c>
      <c r="H37" t="s">
        <v>174</v>
      </c>
      <c r="I37" t="s">
        <v>154</v>
      </c>
      <c r="J37">
        <v>20110816</v>
      </c>
    </row>
    <row r="38" spans="1:10">
      <c r="A38" t="s">
        <v>5319</v>
      </c>
      <c r="B38">
        <v>601800</v>
      </c>
      <c r="C38" t="s">
        <v>5320</v>
      </c>
      <c r="D38" t="s">
        <v>164</v>
      </c>
      <c r="E38" t="s">
        <v>121</v>
      </c>
      <c r="F38" t="s">
        <v>5321</v>
      </c>
      <c r="G38" t="s">
        <v>152</v>
      </c>
      <c r="H38" t="s">
        <v>174</v>
      </c>
      <c r="I38" t="s">
        <v>154</v>
      </c>
      <c r="J38">
        <v>20120309</v>
      </c>
    </row>
    <row r="39" spans="1:10">
      <c r="A39" t="s">
        <v>5322</v>
      </c>
      <c r="B39">
        <v>601868</v>
      </c>
      <c r="C39" t="s">
        <v>5323</v>
      </c>
      <c r="D39" t="s">
        <v>164</v>
      </c>
      <c r="E39" t="s">
        <v>121</v>
      </c>
      <c r="F39" t="s">
        <v>5324</v>
      </c>
      <c r="G39" t="s">
        <v>152</v>
      </c>
      <c r="H39" t="s">
        <v>174</v>
      </c>
      <c r="I39" t="s">
        <v>154</v>
      </c>
      <c r="J39">
        <v>20210928</v>
      </c>
    </row>
    <row r="40" spans="1:10">
      <c r="A40" t="s">
        <v>5325</v>
      </c>
      <c r="B40">
        <v>601886</v>
      </c>
      <c r="C40" t="s">
        <v>5326</v>
      </c>
      <c r="D40" t="s">
        <v>164</v>
      </c>
      <c r="E40" t="s">
        <v>115</v>
      </c>
      <c r="F40" t="s">
        <v>5327</v>
      </c>
      <c r="G40" t="s">
        <v>152</v>
      </c>
      <c r="H40" t="s">
        <v>174</v>
      </c>
      <c r="I40" t="s">
        <v>154</v>
      </c>
      <c r="J40">
        <v>20110818</v>
      </c>
    </row>
    <row r="41" spans="1:10">
      <c r="A41" t="s">
        <v>5328</v>
      </c>
      <c r="B41">
        <v>603007</v>
      </c>
      <c r="C41" t="s">
        <v>5329</v>
      </c>
      <c r="D41" t="s">
        <v>212</v>
      </c>
      <c r="E41" t="s">
        <v>121</v>
      </c>
      <c r="F41" t="s">
        <v>5330</v>
      </c>
      <c r="G41" t="s">
        <v>152</v>
      </c>
      <c r="H41" t="s">
        <v>174</v>
      </c>
      <c r="I41" t="s">
        <v>154</v>
      </c>
      <c r="J41">
        <v>20160826</v>
      </c>
    </row>
    <row r="42" spans="1:10">
      <c r="A42" t="s">
        <v>5331</v>
      </c>
      <c r="B42">
        <v>603017</v>
      </c>
      <c r="C42" t="s">
        <v>5332</v>
      </c>
      <c r="D42" t="s">
        <v>212</v>
      </c>
      <c r="E42" t="s">
        <v>121</v>
      </c>
      <c r="F42" t="s">
        <v>5333</v>
      </c>
      <c r="G42" t="s">
        <v>152</v>
      </c>
      <c r="H42" t="s">
        <v>174</v>
      </c>
      <c r="I42" t="s">
        <v>154</v>
      </c>
      <c r="J42">
        <v>20141231</v>
      </c>
    </row>
    <row r="43" spans="1:10">
      <c r="A43" t="s">
        <v>5334</v>
      </c>
      <c r="B43">
        <v>603018</v>
      </c>
      <c r="C43" t="s">
        <v>5335</v>
      </c>
      <c r="D43" t="s">
        <v>212</v>
      </c>
      <c r="E43" t="s">
        <v>121</v>
      </c>
      <c r="F43" t="s">
        <v>5336</v>
      </c>
      <c r="G43" t="s">
        <v>152</v>
      </c>
      <c r="H43" t="s">
        <v>174</v>
      </c>
      <c r="I43" t="s">
        <v>154</v>
      </c>
      <c r="J43">
        <v>20141013</v>
      </c>
    </row>
    <row r="44" spans="1:10">
      <c r="A44" t="s">
        <v>5337</v>
      </c>
      <c r="B44">
        <v>603030</v>
      </c>
      <c r="C44" t="s">
        <v>5338</v>
      </c>
      <c r="D44" t="s">
        <v>172</v>
      </c>
      <c r="E44" t="s">
        <v>115</v>
      </c>
      <c r="F44" t="s">
        <v>5339</v>
      </c>
      <c r="G44" t="s">
        <v>152</v>
      </c>
      <c r="H44" t="s">
        <v>174</v>
      </c>
      <c r="I44" t="s">
        <v>154</v>
      </c>
      <c r="J44">
        <v>20150320</v>
      </c>
    </row>
    <row r="45" spans="1:10">
      <c r="A45" t="s">
        <v>5340</v>
      </c>
      <c r="B45">
        <v>603060</v>
      </c>
      <c r="C45" t="s">
        <v>5341</v>
      </c>
      <c r="D45" t="s">
        <v>164</v>
      </c>
      <c r="E45" t="s">
        <v>121</v>
      </c>
      <c r="F45" t="s">
        <v>5342</v>
      </c>
      <c r="G45" t="s">
        <v>152</v>
      </c>
      <c r="H45" t="s">
        <v>174</v>
      </c>
      <c r="I45" t="s">
        <v>154</v>
      </c>
      <c r="J45">
        <v>20161109</v>
      </c>
    </row>
    <row r="46" spans="1:10">
      <c r="A46" t="s">
        <v>5343</v>
      </c>
      <c r="B46">
        <v>603098</v>
      </c>
      <c r="C46" t="s">
        <v>5344</v>
      </c>
      <c r="D46" t="s">
        <v>164</v>
      </c>
      <c r="E46" t="s">
        <v>115</v>
      </c>
      <c r="F46" t="s">
        <v>5345</v>
      </c>
      <c r="G46" t="s">
        <v>152</v>
      </c>
      <c r="H46" t="s">
        <v>174</v>
      </c>
      <c r="I46" t="s">
        <v>154</v>
      </c>
      <c r="J46">
        <v>20161216</v>
      </c>
    </row>
    <row r="47" spans="1:10">
      <c r="A47" t="s">
        <v>5346</v>
      </c>
      <c r="B47">
        <v>603163</v>
      </c>
      <c r="C47" t="s">
        <v>5347</v>
      </c>
      <c r="D47" t="s">
        <v>212</v>
      </c>
      <c r="E47" t="s">
        <v>121</v>
      </c>
      <c r="F47" t="s">
        <v>5348</v>
      </c>
      <c r="G47" t="s">
        <v>152</v>
      </c>
      <c r="H47" t="s">
        <v>174</v>
      </c>
      <c r="I47" t="s">
        <v>154</v>
      </c>
      <c r="J47">
        <v>20221013</v>
      </c>
    </row>
    <row r="48" spans="1:10">
      <c r="A48" t="s">
        <v>5349</v>
      </c>
      <c r="B48">
        <v>603176</v>
      </c>
      <c r="C48" t="s">
        <v>5350</v>
      </c>
      <c r="D48" t="s">
        <v>279</v>
      </c>
      <c r="E48" t="s">
        <v>121</v>
      </c>
      <c r="F48" t="s">
        <v>5351</v>
      </c>
      <c r="G48" t="s">
        <v>152</v>
      </c>
      <c r="H48" t="s">
        <v>174</v>
      </c>
      <c r="I48" t="s">
        <v>154</v>
      </c>
      <c r="J48">
        <v>20211231</v>
      </c>
    </row>
    <row r="49" spans="1:10">
      <c r="A49" t="s">
        <v>5352</v>
      </c>
      <c r="B49">
        <v>603183</v>
      </c>
      <c r="C49" t="s">
        <v>5353</v>
      </c>
      <c r="D49" t="s">
        <v>212</v>
      </c>
      <c r="E49" t="s">
        <v>121</v>
      </c>
      <c r="F49" t="s">
        <v>5354</v>
      </c>
      <c r="G49" t="s">
        <v>152</v>
      </c>
      <c r="H49" t="s">
        <v>174</v>
      </c>
      <c r="I49" t="s">
        <v>154</v>
      </c>
      <c r="J49">
        <v>20170905</v>
      </c>
    </row>
    <row r="50" spans="1:10">
      <c r="A50" t="s">
        <v>5355</v>
      </c>
      <c r="B50">
        <v>603316</v>
      </c>
      <c r="C50" t="s">
        <v>5356</v>
      </c>
      <c r="D50" t="s">
        <v>423</v>
      </c>
      <c r="E50" t="s">
        <v>121</v>
      </c>
      <c r="F50" t="s">
        <v>5357</v>
      </c>
      <c r="G50" t="s">
        <v>152</v>
      </c>
      <c r="H50" t="s">
        <v>174</v>
      </c>
      <c r="I50" t="s">
        <v>154</v>
      </c>
      <c r="J50">
        <v>20170619</v>
      </c>
    </row>
    <row r="51" spans="1:10">
      <c r="A51" t="s">
        <v>5358</v>
      </c>
      <c r="B51">
        <v>603357</v>
      </c>
      <c r="C51" t="s">
        <v>5359</v>
      </c>
      <c r="D51" t="s">
        <v>160</v>
      </c>
      <c r="E51" t="s">
        <v>121</v>
      </c>
      <c r="F51" t="s">
        <v>5360</v>
      </c>
      <c r="G51" t="s">
        <v>152</v>
      </c>
      <c r="H51" t="s">
        <v>174</v>
      </c>
      <c r="I51" t="s">
        <v>154</v>
      </c>
      <c r="J51">
        <v>20170801</v>
      </c>
    </row>
    <row r="52" spans="1:10">
      <c r="A52" t="s">
        <v>5361</v>
      </c>
      <c r="B52">
        <v>603388</v>
      </c>
      <c r="C52" t="s">
        <v>5362</v>
      </c>
      <c r="D52" t="s">
        <v>423</v>
      </c>
      <c r="E52" t="s">
        <v>121</v>
      </c>
      <c r="F52" t="s">
        <v>5363</v>
      </c>
      <c r="G52" t="s">
        <v>152</v>
      </c>
      <c r="H52" t="s">
        <v>174</v>
      </c>
      <c r="I52" t="s">
        <v>154</v>
      </c>
      <c r="J52">
        <v>20170324</v>
      </c>
    </row>
    <row r="53" spans="1:10">
      <c r="A53" t="s">
        <v>5364</v>
      </c>
      <c r="B53">
        <v>603458</v>
      </c>
      <c r="C53" t="s">
        <v>5365</v>
      </c>
      <c r="D53" t="s">
        <v>463</v>
      </c>
      <c r="E53" t="s">
        <v>121</v>
      </c>
      <c r="F53" t="s">
        <v>5366</v>
      </c>
      <c r="G53" t="s">
        <v>152</v>
      </c>
      <c r="H53" t="s">
        <v>174</v>
      </c>
      <c r="I53" t="s">
        <v>154</v>
      </c>
      <c r="J53">
        <v>20170809</v>
      </c>
    </row>
    <row r="54" spans="1:10">
      <c r="A54" s="3" t="s">
        <v>5367</v>
      </c>
      <c r="B54" s="3">
        <v>603637</v>
      </c>
      <c r="C54" s="3" t="s">
        <v>5368</v>
      </c>
      <c r="D54" s="3" t="s">
        <v>423</v>
      </c>
      <c r="E54" s="3" t="s">
        <v>121</v>
      </c>
      <c r="F54" s="3" t="s">
        <v>5369</v>
      </c>
      <c r="G54" s="3" t="s">
        <v>152</v>
      </c>
      <c r="H54" s="3" t="s">
        <v>174</v>
      </c>
      <c r="I54" s="3" t="s">
        <v>154</v>
      </c>
      <c r="J54" s="3">
        <v>20170208</v>
      </c>
    </row>
    <row r="55" spans="1:10">
      <c r="A55" t="s">
        <v>5370</v>
      </c>
      <c r="B55">
        <v>603778</v>
      </c>
      <c r="C55" t="s">
        <v>5371</v>
      </c>
      <c r="D55" t="s">
        <v>164</v>
      </c>
      <c r="E55" t="s">
        <v>121</v>
      </c>
      <c r="F55" t="s">
        <v>5372</v>
      </c>
      <c r="G55" t="s">
        <v>152</v>
      </c>
      <c r="H55" t="s">
        <v>174</v>
      </c>
      <c r="I55" t="s">
        <v>154</v>
      </c>
      <c r="J55">
        <v>20151231</v>
      </c>
    </row>
    <row r="56" spans="1:10">
      <c r="A56" t="s">
        <v>5373</v>
      </c>
      <c r="B56">
        <v>603815</v>
      </c>
      <c r="C56" t="s">
        <v>5374</v>
      </c>
      <c r="D56" t="s">
        <v>160</v>
      </c>
      <c r="E56" t="s">
        <v>121</v>
      </c>
      <c r="F56" t="s">
        <v>5375</v>
      </c>
      <c r="G56" t="s">
        <v>152</v>
      </c>
      <c r="H56" t="s">
        <v>174</v>
      </c>
      <c r="I56" t="s">
        <v>154</v>
      </c>
      <c r="J56">
        <v>20191021</v>
      </c>
    </row>
    <row r="57" spans="1:10">
      <c r="A57" t="s">
        <v>5376</v>
      </c>
      <c r="B57">
        <v>603828</v>
      </c>
      <c r="C57" t="s">
        <v>5377</v>
      </c>
      <c r="D57" t="s">
        <v>212</v>
      </c>
      <c r="E57" t="s">
        <v>115</v>
      </c>
      <c r="F57" t="s">
        <v>5378</v>
      </c>
      <c r="G57" t="s">
        <v>152</v>
      </c>
      <c r="H57" t="s">
        <v>174</v>
      </c>
      <c r="I57" t="s">
        <v>154</v>
      </c>
      <c r="J57">
        <v>20150226</v>
      </c>
    </row>
    <row r="58" spans="1:10">
      <c r="A58" t="s">
        <v>5379</v>
      </c>
      <c r="B58">
        <v>603843</v>
      </c>
      <c r="C58" t="s">
        <v>5380</v>
      </c>
      <c r="D58" t="s">
        <v>308</v>
      </c>
      <c r="E58" t="s">
        <v>121</v>
      </c>
      <c r="F58" t="s">
        <v>5381</v>
      </c>
      <c r="G58" t="s">
        <v>152</v>
      </c>
      <c r="H58" t="s">
        <v>174</v>
      </c>
      <c r="I58" t="s">
        <v>154</v>
      </c>
      <c r="J58">
        <v>20160905</v>
      </c>
    </row>
    <row r="59" spans="1:10">
      <c r="A59" t="s">
        <v>5382</v>
      </c>
      <c r="B59">
        <v>603860</v>
      </c>
      <c r="C59" t="s">
        <v>5383</v>
      </c>
      <c r="D59" t="s">
        <v>164</v>
      </c>
      <c r="E59" t="s">
        <v>121</v>
      </c>
      <c r="F59" t="s">
        <v>5384</v>
      </c>
      <c r="G59" t="s">
        <v>152</v>
      </c>
      <c r="H59" t="s">
        <v>174</v>
      </c>
      <c r="I59" t="s">
        <v>154</v>
      </c>
      <c r="J59">
        <v>20170802</v>
      </c>
    </row>
    <row r="60" spans="1:10">
      <c r="A60" t="s">
        <v>5385</v>
      </c>
      <c r="B60">
        <v>603909</v>
      </c>
      <c r="C60" t="s">
        <v>5386</v>
      </c>
      <c r="D60" t="s">
        <v>150</v>
      </c>
      <c r="E60" t="s">
        <v>121</v>
      </c>
      <c r="F60" t="s">
        <v>5387</v>
      </c>
      <c r="G60" t="s">
        <v>152</v>
      </c>
      <c r="H60" t="s">
        <v>174</v>
      </c>
      <c r="I60" t="s">
        <v>154</v>
      </c>
      <c r="J60">
        <v>20160628</v>
      </c>
    </row>
    <row r="61" spans="1:10">
      <c r="A61" t="s">
        <v>5388</v>
      </c>
      <c r="B61">
        <v>603929</v>
      </c>
      <c r="C61" t="s">
        <v>5389</v>
      </c>
      <c r="D61" t="s">
        <v>212</v>
      </c>
      <c r="E61" t="s">
        <v>115</v>
      </c>
      <c r="F61" t="s">
        <v>5390</v>
      </c>
      <c r="G61" t="s">
        <v>152</v>
      </c>
      <c r="H61" t="s">
        <v>174</v>
      </c>
      <c r="I61" t="s">
        <v>154</v>
      </c>
      <c r="J61">
        <v>20161230</v>
      </c>
    </row>
    <row r="62" spans="1:10">
      <c r="A62" t="s">
        <v>5391</v>
      </c>
      <c r="B62">
        <v>603959</v>
      </c>
      <c r="C62" t="s">
        <v>5392</v>
      </c>
      <c r="D62" t="s">
        <v>168</v>
      </c>
      <c r="E62" t="s">
        <v>121</v>
      </c>
      <c r="F62" t="s">
        <v>5393</v>
      </c>
      <c r="G62" t="s">
        <v>152</v>
      </c>
      <c r="H62" t="s">
        <v>174</v>
      </c>
      <c r="I62" t="s">
        <v>154</v>
      </c>
      <c r="J62">
        <v>20160517</v>
      </c>
    </row>
    <row r="63" spans="1:10">
      <c r="A63" t="s">
        <v>5394</v>
      </c>
      <c r="B63">
        <v>603979</v>
      </c>
      <c r="C63" t="s">
        <v>5395</v>
      </c>
      <c r="D63" t="s">
        <v>164</v>
      </c>
      <c r="E63" t="s">
        <v>121</v>
      </c>
      <c r="F63" t="s">
        <v>5396</v>
      </c>
      <c r="G63" t="s">
        <v>152</v>
      </c>
      <c r="H63" t="s">
        <v>174</v>
      </c>
      <c r="I63" t="s">
        <v>154</v>
      </c>
      <c r="J63">
        <v>20150630</v>
      </c>
    </row>
    <row r="64" spans="1:10">
      <c r="A64" t="s">
        <v>5397</v>
      </c>
      <c r="B64">
        <v>605167</v>
      </c>
      <c r="C64" t="s">
        <v>5398</v>
      </c>
      <c r="D64" t="s">
        <v>212</v>
      </c>
      <c r="E64" t="s">
        <v>121</v>
      </c>
      <c r="F64" t="s">
        <v>5399</v>
      </c>
      <c r="G64" t="s">
        <v>152</v>
      </c>
      <c r="H64" t="s">
        <v>174</v>
      </c>
      <c r="I64" t="s">
        <v>154</v>
      </c>
      <c r="J64">
        <v>20210726</v>
      </c>
    </row>
    <row r="65" spans="1:10">
      <c r="A65" t="s">
        <v>5400</v>
      </c>
      <c r="B65">
        <v>605178</v>
      </c>
      <c r="C65" t="s">
        <v>5401</v>
      </c>
      <c r="D65" t="s">
        <v>164</v>
      </c>
      <c r="E65" t="s">
        <v>115</v>
      </c>
      <c r="F65" t="s">
        <v>5402</v>
      </c>
      <c r="G65" t="s">
        <v>152</v>
      </c>
      <c r="H65" t="s">
        <v>174</v>
      </c>
      <c r="I65" t="s">
        <v>154</v>
      </c>
      <c r="J65">
        <v>20200821</v>
      </c>
    </row>
    <row r="66" spans="1:10">
      <c r="A66" t="s">
        <v>5403</v>
      </c>
      <c r="B66">
        <v>605287</v>
      </c>
      <c r="C66" t="s">
        <v>5404</v>
      </c>
      <c r="D66" t="s">
        <v>198</v>
      </c>
      <c r="E66" t="s">
        <v>115</v>
      </c>
      <c r="F66" t="s">
        <v>5405</v>
      </c>
      <c r="G66" t="s">
        <v>152</v>
      </c>
      <c r="H66" t="s">
        <v>174</v>
      </c>
      <c r="I66" t="s">
        <v>154</v>
      </c>
      <c r="J66">
        <v>20210706</v>
      </c>
    </row>
    <row r="67" spans="1:10">
      <c r="A67" t="s">
        <v>5406</v>
      </c>
      <c r="B67">
        <v>605289</v>
      </c>
      <c r="C67" t="s">
        <v>5407</v>
      </c>
      <c r="D67" t="s">
        <v>172</v>
      </c>
      <c r="E67" t="s">
        <v>121</v>
      </c>
      <c r="F67" t="s">
        <v>5408</v>
      </c>
      <c r="G67" t="s">
        <v>152</v>
      </c>
      <c r="H67" t="s">
        <v>174</v>
      </c>
      <c r="I67" t="s">
        <v>154</v>
      </c>
      <c r="J67">
        <v>20210426</v>
      </c>
    </row>
    <row r="68" spans="1:10">
      <c r="A68" t="s">
        <v>5409</v>
      </c>
      <c r="B68">
        <v>605303</v>
      </c>
      <c r="C68" t="s">
        <v>5410</v>
      </c>
      <c r="D68" t="s">
        <v>423</v>
      </c>
      <c r="E68" t="s">
        <v>121</v>
      </c>
      <c r="F68" t="s">
        <v>5411</v>
      </c>
      <c r="G68" t="s">
        <v>152</v>
      </c>
      <c r="H68" t="s">
        <v>174</v>
      </c>
      <c r="I68" t="s">
        <v>154</v>
      </c>
      <c r="J68">
        <v>20210301</v>
      </c>
    </row>
    <row r="69" spans="1:10">
      <c r="A69" t="s">
        <v>5412</v>
      </c>
      <c r="B69">
        <v>605598</v>
      </c>
      <c r="C69" t="s">
        <v>5413</v>
      </c>
      <c r="D69" t="s">
        <v>172</v>
      </c>
      <c r="E69" t="s">
        <v>121</v>
      </c>
      <c r="F69" t="s">
        <v>5414</v>
      </c>
      <c r="G69" t="s">
        <v>152</v>
      </c>
      <c r="H69" t="s">
        <v>174</v>
      </c>
      <c r="I69" t="s">
        <v>154</v>
      </c>
      <c r="J69">
        <v>20210917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7"/>
  <sheetViews>
    <sheetView topLeftCell="A91" workbookViewId="0">
      <selection activeCell="G114" sqref="G114"/>
    </sheetView>
  </sheetViews>
  <sheetFormatPr defaultColWidth="9" defaultRowHeight="13.5"/>
  <cols>
    <col min="1" max="1" width="11.375" customWidth="1"/>
    <col min="6" max="6" width="24.5" customWidth="1"/>
  </cols>
  <sheetData>
    <row r="1" spans="1:10">
      <c r="A1" t="s">
        <v>5415</v>
      </c>
      <c r="B1">
        <v>8</v>
      </c>
      <c r="C1" t="s">
        <v>5416</v>
      </c>
      <c r="D1" t="s">
        <v>164</v>
      </c>
      <c r="E1" t="s">
        <v>128</v>
      </c>
      <c r="F1" t="s">
        <v>5417</v>
      </c>
      <c r="G1" t="s">
        <v>152</v>
      </c>
      <c r="H1" t="s">
        <v>153</v>
      </c>
      <c r="I1" t="s">
        <v>154</v>
      </c>
      <c r="J1">
        <v>19920507</v>
      </c>
    </row>
    <row r="2" spans="1:10">
      <c r="A2" t="s">
        <v>5418</v>
      </c>
      <c r="B2">
        <v>39</v>
      </c>
      <c r="C2" t="s">
        <v>5419</v>
      </c>
      <c r="D2" t="s">
        <v>243</v>
      </c>
      <c r="E2" t="s">
        <v>128</v>
      </c>
      <c r="F2" t="s">
        <v>5420</v>
      </c>
      <c r="G2" t="s">
        <v>152</v>
      </c>
      <c r="H2" t="s">
        <v>153</v>
      </c>
      <c r="I2" t="s">
        <v>154</v>
      </c>
      <c r="J2">
        <v>19940408</v>
      </c>
    </row>
    <row r="3" spans="1:14">
      <c r="A3" t="s">
        <v>5421</v>
      </c>
      <c r="B3">
        <v>157</v>
      </c>
      <c r="C3" t="s">
        <v>5422</v>
      </c>
      <c r="D3" t="s">
        <v>168</v>
      </c>
      <c r="E3" t="s">
        <v>104</v>
      </c>
      <c r="F3" t="s">
        <v>5423</v>
      </c>
      <c r="G3" t="s">
        <v>152</v>
      </c>
      <c r="H3" t="s">
        <v>153</v>
      </c>
      <c r="I3" t="s">
        <v>154</v>
      </c>
      <c r="J3">
        <v>20001012</v>
      </c>
      <c r="M3" t="s">
        <v>4129</v>
      </c>
      <c r="N3">
        <v>137</v>
      </c>
    </row>
    <row r="4" spans="1:14">
      <c r="A4" t="s">
        <v>5424</v>
      </c>
      <c r="B4">
        <v>410</v>
      </c>
      <c r="C4" t="s">
        <v>5425</v>
      </c>
      <c r="D4" t="s">
        <v>236</v>
      </c>
      <c r="E4" t="s">
        <v>134</v>
      </c>
      <c r="F4" t="s">
        <v>5426</v>
      </c>
      <c r="G4" t="s">
        <v>152</v>
      </c>
      <c r="H4" t="s">
        <v>153</v>
      </c>
      <c r="I4" t="s">
        <v>154</v>
      </c>
      <c r="J4">
        <v>19960718</v>
      </c>
      <c r="M4" t="s">
        <v>4133</v>
      </c>
      <c r="N4" s="2">
        <f ca="1">CEILING(RAND()*N3,1)</f>
        <v>131</v>
      </c>
    </row>
    <row r="5" spans="1:10">
      <c r="A5" t="s">
        <v>5427</v>
      </c>
      <c r="B5">
        <v>425</v>
      </c>
      <c r="C5" t="s">
        <v>5428</v>
      </c>
      <c r="D5" t="s">
        <v>212</v>
      </c>
      <c r="E5" t="s">
        <v>104</v>
      </c>
      <c r="F5" t="s">
        <v>5429</v>
      </c>
      <c r="G5" t="s">
        <v>152</v>
      </c>
      <c r="H5" t="s">
        <v>153</v>
      </c>
      <c r="I5" t="s">
        <v>154</v>
      </c>
      <c r="J5">
        <v>19960828</v>
      </c>
    </row>
    <row r="6" spans="1:10">
      <c r="A6" t="s">
        <v>5430</v>
      </c>
      <c r="B6">
        <v>519</v>
      </c>
      <c r="C6" t="s">
        <v>5431</v>
      </c>
      <c r="D6" t="s">
        <v>168</v>
      </c>
      <c r="E6" t="s">
        <v>122</v>
      </c>
      <c r="F6" t="s">
        <v>5432</v>
      </c>
      <c r="G6" t="s">
        <v>152</v>
      </c>
      <c r="H6" t="s">
        <v>153</v>
      </c>
      <c r="I6" t="s">
        <v>154</v>
      </c>
      <c r="J6">
        <v>19931008</v>
      </c>
    </row>
    <row r="7" spans="1:10">
      <c r="A7" t="s">
        <v>5433</v>
      </c>
      <c r="B7">
        <v>528</v>
      </c>
      <c r="C7" t="s">
        <v>5434</v>
      </c>
      <c r="D7" t="s">
        <v>345</v>
      </c>
      <c r="E7" t="s">
        <v>104</v>
      </c>
      <c r="F7" t="s">
        <v>5435</v>
      </c>
      <c r="G7" t="s">
        <v>152</v>
      </c>
      <c r="H7" t="s">
        <v>153</v>
      </c>
      <c r="I7" t="s">
        <v>154</v>
      </c>
      <c r="J7">
        <v>19931118</v>
      </c>
    </row>
    <row r="8" spans="1:10">
      <c r="A8" t="s">
        <v>5436</v>
      </c>
      <c r="B8">
        <v>530</v>
      </c>
      <c r="C8" t="s">
        <v>5437</v>
      </c>
      <c r="D8" t="s">
        <v>236</v>
      </c>
      <c r="E8" t="s">
        <v>135</v>
      </c>
      <c r="F8" t="s">
        <v>5438</v>
      </c>
      <c r="G8" t="s">
        <v>152</v>
      </c>
      <c r="H8" t="s">
        <v>153</v>
      </c>
      <c r="I8" t="s">
        <v>154</v>
      </c>
      <c r="J8">
        <v>19931208</v>
      </c>
    </row>
    <row r="9" spans="1:10">
      <c r="A9" t="s">
        <v>5439</v>
      </c>
      <c r="B9">
        <v>551</v>
      </c>
      <c r="C9" t="s">
        <v>5440</v>
      </c>
      <c r="D9" t="s">
        <v>212</v>
      </c>
      <c r="E9" t="s">
        <v>122</v>
      </c>
      <c r="F9" t="s">
        <v>5441</v>
      </c>
      <c r="G9" t="s">
        <v>152</v>
      </c>
      <c r="H9" t="s">
        <v>153</v>
      </c>
      <c r="I9" t="s">
        <v>154</v>
      </c>
      <c r="J9">
        <v>19940106</v>
      </c>
    </row>
    <row r="10" spans="1:10">
      <c r="A10" t="s">
        <v>5442</v>
      </c>
      <c r="B10">
        <v>570</v>
      </c>
      <c r="C10" t="s">
        <v>5443</v>
      </c>
      <c r="D10" t="s">
        <v>212</v>
      </c>
      <c r="E10" t="s">
        <v>133</v>
      </c>
      <c r="F10" t="s">
        <v>5444</v>
      </c>
      <c r="G10" t="s">
        <v>152</v>
      </c>
      <c r="H10" t="s">
        <v>153</v>
      </c>
      <c r="I10" t="s">
        <v>154</v>
      </c>
      <c r="J10">
        <v>19940701</v>
      </c>
    </row>
    <row r="11" spans="1:10">
      <c r="A11" t="s">
        <v>5445</v>
      </c>
      <c r="B11">
        <v>584</v>
      </c>
      <c r="C11" t="s">
        <v>5446</v>
      </c>
      <c r="D11" t="s">
        <v>212</v>
      </c>
      <c r="E11" t="s">
        <v>122</v>
      </c>
      <c r="F11" t="s">
        <v>5447</v>
      </c>
      <c r="G11" t="s">
        <v>152</v>
      </c>
      <c r="H11" t="s">
        <v>153</v>
      </c>
      <c r="I11" t="s">
        <v>154</v>
      </c>
      <c r="J11">
        <v>19951128</v>
      </c>
    </row>
    <row r="12" spans="1:10">
      <c r="A12" t="s">
        <v>5448</v>
      </c>
      <c r="B12">
        <v>595</v>
      </c>
      <c r="C12" t="s">
        <v>5449</v>
      </c>
      <c r="D12" t="s">
        <v>332</v>
      </c>
      <c r="E12" t="s">
        <v>135</v>
      </c>
      <c r="F12" t="s">
        <v>5450</v>
      </c>
      <c r="G12" t="s">
        <v>152</v>
      </c>
      <c r="H12" t="s">
        <v>153</v>
      </c>
      <c r="I12" t="s">
        <v>154</v>
      </c>
      <c r="J12">
        <v>19960419</v>
      </c>
    </row>
    <row r="13" spans="1:10">
      <c r="A13" t="s">
        <v>5451</v>
      </c>
      <c r="B13">
        <v>680</v>
      </c>
      <c r="C13" t="s">
        <v>5452</v>
      </c>
      <c r="D13" t="s">
        <v>198</v>
      </c>
      <c r="E13" t="s">
        <v>104</v>
      </c>
      <c r="F13" t="s">
        <v>5453</v>
      </c>
      <c r="G13" t="s">
        <v>152</v>
      </c>
      <c r="H13" t="s">
        <v>153</v>
      </c>
      <c r="I13" t="s">
        <v>154</v>
      </c>
      <c r="J13">
        <v>19970122</v>
      </c>
    </row>
    <row r="14" spans="1:10">
      <c r="A14" t="s">
        <v>5454</v>
      </c>
      <c r="B14">
        <v>777</v>
      </c>
      <c r="C14" t="s">
        <v>5455</v>
      </c>
      <c r="D14" t="s">
        <v>212</v>
      </c>
      <c r="E14" t="s">
        <v>135</v>
      </c>
      <c r="F14" t="s">
        <v>5456</v>
      </c>
      <c r="G14" t="s">
        <v>152</v>
      </c>
      <c r="H14" t="s">
        <v>153</v>
      </c>
      <c r="I14" t="s">
        <v>154</v>
      </c>
      <c r="J14">
        <v>19970710</v>
      </c>
    </row>
    <row r="15" spans="1:10">
      <c r="A15" t="s">
        <v>5457</v>
      </c>
      <c r="B15">
        <v>811</v>
      </c>
      <c r="C15" t="s">
        <v>5458</v>
      </c>
      <c r="D15" t="s">
        <v>198</v>
      </c>
      <c r="E15" t="s">
        <v>104</v>
      </c>
      <c r="F15" t="s">
        <v>5459</v>
      </c>
      <c r="G15" t="s">
        <v>152</v>
      </c>
      <c r="H15" t="s">
        <v>153</v>
      </c>
      <c r="I15" t="s">
        <v>154</v>
      </c>
      <c r="J15">
        <v>19980528</v>
      </c>
    </row>
    <row r="16" spans="1:10">
      <c r="A16" t="s">
        <v>5460</v>
      </c>
      <c r="B16">
        <v>816</v>
      </c>
      <c r="C16" t="s">
        <v>5461</v>
      </c>
      <c r="D16" t="s">
        <v>212</v>
      </c>
      <c r="E16" t="s">
        <v>133</v>
      </c>
      <c r="F16" t="s">
        <v>5462</v>
      </c>
      <c r="G16" t="s">
        <v>152</v>
      </c>
      <c r="H16" t="s">
        <v>153</v>
      </c>
      <c r="I16" t="s">
        <v>154</v>
      </c>
      <c r="J16">
        <v>19970818</v>
      </c>
    </row>
    <row r="17" spans="1:10">
      <c r="A17" t="s">
        <v>5463</v>
      </c>
      <c r="B17">
        <v>837</v>
      </c>
      <c r="C17" t="s">
        <v>5464</v>
      </c>
      <c r="D17" t="s">
        <v>419</v>
      </c>
      <c r="E17" t="s">
        <v>134</v>
      </c>
      <c r="F17" t="s">
        <v>5465</v>
      </c>
      <c r="G17" t="s">
        <v>152</v>
      </c>
      <c r="H17" t="s">
        <v>153</v>
      </c>
      <c r="I17" t="s">
        <v>154</v>
      </c>
      <c r="J17">
        <v>19980928</v>
      </c>
    </row>
    <row r="18" spans="1:10">
      <c r="A18" t="s">
        <v>5466</v>
      </c>
      <c r="B18">
        <v>852</v>
      </c>
      <c r="C18" t="s">
        <v>5467</v>
      </c>
      <c r="D18" t="s">
        <v>316</v>
      </c>
      <c r="E18" t="s">
        <v>131</v>
      </c>
      <c r="F18" t="s">
        <v>5468</v>
      </c>
      <c r="G18" t="s">
        <v>152</v>
      </c>
      <c r="H18" t="s">
        <v>153</v>
      </c>
      <c r="I18" t="s">
        <v>154</v>
      </c>
      <c r="J18">
        <v>19981126</v>
      </c>
    </row>
    <row r="19" spans="1:10">
      <c r="A19" t="s">
        <v>5469</v>
      </c>
      <c r="B19">
        <v>856</v>
      </c>
      <c r="C19" t="s">
        <v>5470</v>
      </c>
      <c r="D19" t="s">
        <v>279</v>
      </c>
      <c r="E19" t="s">
        <v>122</v>
      </c>
      <c r="F19" t="s">
        <v>5471</v>
      </c>
      <c r="G19" t="s">
        <v>152</v>
      </c>
      <c r="H19" t="s">
        <v>153</v>
      </c>
      <c r="I19" t="s">
        <v>154</v>
      </c>
      <c r="J19">
        <v>19980813</v>
      </c>
    </row>
    <row r="20" spans="1:10">
      <c r="A20" t="s">
        <v>5472</v>
      </c>
      <c r="B20">
        <v>880</v>
      </c>
      <c r="C20" t="s">
        <v>5473</v>
      </c>
      <c r="D20" t="s">
        <v>198</v>
      </c>
      <c r="E20" t="s">
        <v>122</v>
      </c>
      <c r="F20" t="s">
        <v>5474</v>
      </c>
      <c r="G20" t="s">
        <v>152</v>
      </c>
      <c r="H20" t="s">
        <v>153</v>
      </c>
      <c r="I20" t="s">
        <v>154</v>
      </c>
      <c r="J20">
        <v>19980402</v>
      </c>
    </row>
    <row r="21" spans="1:10">
      <c r="A21" t="s">
        <v>5475</v>
      </c>
      <c r="B21">
        <v>925</v>
      </c>
      <c r="C21" t="s">
        <v>5476</v>
      </c>
      <c r="D21" t="s">
        <v>423</v>
      </c>
      <c r="E21" t="s">
        <v>128</v>
      </c>
      <c r="F21" t="s">
        <v>5477</v>
      </c>
      <c r="G21" t="s">
        <v>152</v>
      </c>
      <c r="H21" t="s">
        <v>153</v>
      </c>
      <c r="I21" t="s">
        <v>154</v>
      </c>
      <c r="J21">
        <v>19990611</v>
      </c>
    </row>
    <row r="22" spans="1:10">
      <c r="A22" t="s">
        <v>5478</v>
      </c>
      <c r="B22">
        <v>976</v>
      </c>
      <c r="C22" t="s">
        <v>5479</v>
      </c>
      <c r="D22" t="s">
        <v>223</v>
      </c>
      <c r="E22" t="s">
        <v>128</v>
      </c>
      <c r="F22" t="s">
        <v>5480</v>
      </c>
      <c r="G22" t="s">
        <v>152</v>
      </c>
      <c r="H22" t="s">
        <v>153</v>
      </c>
      <c r="I22" t="s">
        <v>154</v>
      </c>
      <c r="J22">
        <v>20000601</v>
      </c>
    </row>
    <row r="23" spans="1:10">
      <c r="A23" t="s">
        <v>5481</v>
      </c>
      <c r="B23">
        <v>988</v>
      </c>
      <c r="C23" t="s">
        <v>5482</v>
      </c>
      <c r="D23" t="s">
        <v>316</v>
      </c>
      <c r="E23" t="s">
        <v>122</v>
      </c>
      <c r="F23" t="s">
        <v>5483</v>
      </c>
      <c r="G23" t="s">
        <v>152</v>
      </c>
      <c r="H23" t="s">
        <v>153</v>
      </c>
      <c r="I23" t="s">
        <v>154</v>
      </c>
      <c r="J23">
        <v>20000608</v>
      </c>
    </row>
    <row r="24" spans="1:10">
      <c r="A24" t="s">
        <v>5484</v>
      </c>
      <c r="B24">
        <v>1223</v>
      </c>
      <c r="C24" t="s">
        <v>5485</v>
      </c>
      <c r="D24" t="s">
        <v>406</v>
      </c>
      <c r="E24" t="s">
        <v>122</v>
      </c>
      <c r="F24" t="s">
        <v>5486</v>
      </c>
      <c r="G24" t="s">
        <v>152</v>
      </c>
      <c r="H24" t="s">
        <v>153</v>
      </c>
      <c r="I24" t="s">
        <v>154</v>
      </c>
      <c r="J24">
        <v>20221212</v>
      </c>
    </row>
    <row r="25" spans="1:10">
      <c r="A25" t="s">
        <v>5487</v>
      </c>
      <c r="B25">
        <v>1226</v>
      </c>
      <c r="C25" t="s">
        <v>5488</v>
      </c>
      <c r="D25" t="s">
        <v>160</v>
      </c>
      <c r="E25" t="s">
        <v>104</v>
      </c>
      <c r="F25" t="s">
        <v>5489</v>
      </c>
      <c r="G25" t="s">
        <v>152</v>
      </c>
      <c r="H25" t="s">
        <v>153</v>
      </c>
      <c r="I25" t="s">
        <v>154</v>
      </c>
      <c r="J25">
        <v>20220622</v>
      </c>
    </row>
    <row r="26" spans="1:10">
      <c r="A26" t="s">
        <v>5490</v>
      </c>
      <c r="B26">
        <v>1256</v>
      </c>
      <c r="C26" t="s">
        <v>5491</v>
      </c>
      <c r="D26" t="s">
        <v>423</v>
      </c>
      <c r="E26" t="s">
        <v>132</v>
      </c>
      <c r="F26" t="s">
        <v>5492</v>
      </c>
      <c r="G26" t="s">
        <v>152</v>
      </c>
      <c r="H26" t="s">
        <v>153</v>
      </c>
      <c r="I26" t="s">
        <v>154</v>
      </c>
      <c r="J26">
        <v>20221205</v>
      </c>
    </row>
    <row r="27" spans="1:10">
      <c r="A27" t="s">
        <v>5493</v>
      </c>
      <c r="B27">
        <v>1268</v>
      </c>
      <c r="C27" t="s">
        <v>5494</v>
      </c>
      <c r="D27" t="s">
        <v>223</v>
      </c>
      <c r="E27" t="s">
        <v>135</v>
      </c>
      <c r="F27" t="s">
        <v>5495</v>
      </c>
      <c r="G27" t="s">
        <v>152</v>
      </c>
      <c r="H27" t="s">
        <v>153</v>
      </c>
      <c r="I27" t="s">
        <v>154</v>
      </c>
      <c r="J27">
        <v>20220630</v>
      </c>
    </row>
    <row r="28" spans="1:10">
      <c r="A28" t="s">
        <v>5496</v>
      </c>
      <c r="B28">
        <v>1288</v>
      </c>
      <c r="C28" t="s">
        <v>5497</v>
      </c>
      <c r="D28" t="s">
        <v>219</v>
      </c>
      <c r="E28" t="s">
        <v>122</v>
      </c>
      <c r="F28" t="s">
        <v>5498</v>
      </c>
      <c r="G28" t="s">
        <v>152</v>
      </c>
      <c r="H28" t="s">
        <v>153</v>
      </c>
      <c r="I28" t="s">
        <v>154</v>
      </c>
      <c r="J28">
        <v>20211101</v>
      </c>
    </row>
    <row r="29" spans="1:10">
      <c r="A29" t="s">
        <v>5499</v>
      </c>
      <c r="B29">
        <v>1332</v>
      </c>
      <c r="C29" t="s">
        <v>5500</v>
      </c>
      <c r="D29" t="s">
        <v>212</v>
      </c>
      <c r="E29" t="s">
        <v>122</v>
      </c>
      <c r="F29" t="s">
        <v>5501</v>
      </c>
      <c r="G29" t="s">
        <v>152</v>
      </c>
      <c r="H29" t="s">
        <v>153</v>
      </c>
      <c r="I29" t="s">
        <v>154</v>
      </c>
      <c r="J29">
        <v>20220920</v>
      </c>
    </row>
    <row r="30" spans="1:10">
      <c r="A30" t="s">
        <v>5502</v>
      </c>
      <c r="B30">
        <v>1336</v>
      </c>
      <c r="C30" t="s">
        <v>5503</v>
      </c>
      <c r="D30" t="s">
        <v>423</v>
      </c>
      <c r="E30" t="s">
        <v>122</v>
      </c>
      <c r="F30" t="s">
        <v>5504</v>
      </c>
      <c r="G30" t="s">
        <v>152</v>
      </c>
      <c r="H30" t="s">
        <v>153</v>
      </c>
      <c r="I30" t="s">
        <v>154</v>
      </c>
      <c r="J30">
        <v>20220725</v>
      </c>
    </row>
    <row r="31" spans="1:10">
      <c r="A31" t="s">
        <v>5505</v>
      </c>
      <c r="B31">
        <v>600031</v>
      </c>
      <c r="C31" t="s">
        <v>5506</v>
      </c>
      <c r="D31" t="s">
        <v>164</v>
      </c>
      <c r="E31" t="s">
        <v>104</v>
      </c>
      <c r="F31" t="s">
        <v>5507</v>
      </c>
      <c r="G31" t="s">
        <v>152</v>
      </c>
      <c r="H31" t="s">
        <v>174</v>
      </c>
      <c r="I31" t="s">
        <v>154</v>
      </c>
      <c r="J31">
        <v>20030703</v>
      </c>
    </row>
    <row r="32" spans="1:10">
      <c r="A32" t="s">
        <v>5508</v>
      </c>
      <c r="B32">
        <v>600114</v>
      </c>
      <c r="C32" t="s">
        <v>5509</v>
      </c>
      <c r="D32" t="s">
        <v>423</v>
      </c>
      <c r="E32" t="s">
        <v>135</v>
      </c>
      <c r="F32" t="s">
        <v>5510</v>
      </c>
      <c r="G32" t="s">
        <v>152</v>
      </c>
      <c r="H32" t="s">
        <v>174</v>
      </c>
      <c r="I32" t="s">
        <v>154</v>
      </c>
      <c r="J32">
        <v>20040511</v>
      </c>
    </row>
    <row r="33" spans="1:10">
      <c r="A33" t="s">
        <v>5511</v>
      </c>
      <c r="B33">
        <v>600169</v>
      </c>
      <c r="C33" t="s">
        <v>5512</v>
      </c>
      <c r="D33" t="s">
        <v>557</v>
      </c>
      <c r="E33" t="s">
        <v>104</v>
      </c>
      <c r="F33" t="s">
        <v>5513</v>
      </c>
      <c r="G33" t="s">
        <v>152</v>
      </c>
      <c r="H33" t="s">
        <v>174</v>
      </c>
      <c r="I33" t="s">
        <v>154</v>
      </c>
      <c r="J33">
        <v>19980904</v>
      </c>
    </row>
    <row r="34" spans="1:10">
      <c r="A34" t="s">
        <v>5514</v>
      </c>
      <c r="B34">
        <v>600184</v>
      </c>
      <c r="C34" t="s">
        <v>5515</v>
      </c>
      <c r="D34" t="s">
        <v>316</v>
      </c>
      <c r="E34" t="s">
        <v>122</v>
      </c>
      <c r="F34" t="s">
        <v>5516</v>
      </c>
      <c r="G34" t="s">
        <v>152</v>
      </c>
      <c r="H34" t="s">
        <v>174</v>
      </c>
      <c r="I34" t="s">
        <v>154</v>
      </c>
      <c r="J34">
        <v>20031106</v>
      </c>
    </row>
    <row r="35" spans="1:10">
      <c r="A35" t="s">
        <v>5517</v>
      </c>
      <c r="B35">
        <v>600202</v>
      </c>
      <c r="C35" t="s">
        <v>5518</v>
      </c>
      <c r="D35" t="s">
        <v>194</v>
      </c>
      <c r="E35" t="s">
        <v>122</v>
      </c>
      <c r="F35" t="s">
        <v>5519</v>
      </c>
      <c r="G35" t="s">
        <v>152</v>
      </c>
      <c r="H35" t="s">
        <v>174</v>
      </c>
      <c r="I35" t="s">
        <v>154</v>
      </c>
      <c r="J35">
        <v>19990603</v>
      </c>
    </row>
    <row r="36" spans="1:10">
      <c r="A36" t="s">
        <v>5520</v>
      </c>
      <c r="B36">
        <v>600215</v>
      </c>
      <c r="C36" t="s">
        <v>5521</v>
      </c>
      <c r="D36" t="s">
        <v>312</v>
      </c>
      <c r="E36" t="s">
        <v>122</v>
      </c>
      <c r="F36" t="s">
        <v>5522</v>
      </c>
      <c r="G36" t="s">
        <v>152</v>
      </c>
      <c r="H36" t="s">
        <v>174</v>
      </c>
      <c r="I36" t="s">
        <v>154</v>
      </c>
      <c r="J36">
        <v>19990909</v>
      </c>
    </row>
    <row r="37" spans="1:10">
      <c r="A37" t="s">
        <v>5523</v>
      </c>
      <c r="B37">
        <v>600243</v>
      </c>
      <c r="C37" t="s">
        <v>5524</v>
      </c>
      <c r="D37" t="s">
        <v>308</v>
      </c>
      <c r="E37" t="s">
        <v>134</v>
      </c>
      <c r="F37" t="s">
        <v>5525</v>
      </c>
      <c r="G37" t="s">
        <v>152</v>
      </c>
      <c r="H37" t="s">
        <v>174</v>
      </c>
      <c r="I37" t="s">
        <v>154</v>
      </c>
      <c r="J37">
        <v>20001120</v>
      </c>
    </row>
    <row r="38" spans="1:10">
      <c r="A38" t="s">
        <v>5526</v>
      </c>
      <c r="B38">
        <v>600262</v>
      </c>
      <c r="C38" t="s">
        <v>5527</v>
      </c>
      <c r="D38" t="s">
        <v>266</v>
      </c>
      <c r="E38" t="s">
        <v>122</v>
      </c>
      <c r="F38" t="s">
        <v>5528</v>
      </c>
      <c r="G38" t="s">
        <v>152</v>
      </c>
      <c r="H38" t="s">
        <v>174</v>
      </c>
      <c r="I38" t="s">
        <v>154</v>
      </c>
      <c r="J38">
        <v>20000630</v>
      </c>
    </row>
    <row r="39" spans="1:10">
      <c r="A39" t="s">
        <v>5529</v>
      </c>
      <c r="B39">
        <v>600302</v>
      </c>
      <c r="C39" t="s">
        <v>5530</v>
      </c>
      <c r="D39" t="s">
        <v>419</v>
      </c>
      <c r="E39" t="s">
        <v>100</v>
      </c>
      <c r="F39" t="s">
        <v>5531</v>
      </c>
      <c r="G39" t="s">
        <v>152</v>
      </c>
      <c r="H39" t="s">
        <v>174</v>
      </c>
      <c r="I39" t="s">
        <v>154</v>
      </c>
      <c r="J39">
        <v>20001213</v>
      </c>
    </row>
    <row r="40" spans="1:10">
      <c r="A40" t="s">
        <v>5532</v>
      </c>
      <c r="B40">
        <v>600320</v>
      </c>
      <c r="C40" t="s">
        <v>5533</v>
      </c>
      <c r="D40" t="s">
        <v>172</v>
      </c>
      <c r="E40" t="s">
        <v>104</v>
      </c>
      <c r="F40" t="s">
        <v>5534</v>
      </c>
      <c r="G40" t="s">
        <v>152</v>
      </c>
      <c r="H40" t="s">
        <v>174</v>
      </c>
      <c r="I40" t="s">
        <v>154</v>
      </c>
      <c r="J40">
        <v>20001221</v>
      </c>
    </row>
    <row r="41" spans="1:10">
      <c r="A41" t="s">
        <v>5535</v>
      </c>
      <c r="B41">
        <v>600421</v>
      </c>
      <c r="C41" t="s">
        <v>5536</v>
      </c>
      <c r="D41" t="s">
        <v>316</v>
      </c>
      <c r="E41" t="s">
        <v>122</v>
      </c>
      <c r="F41" t="s">
        <v>5537</v>
      </c>
      <c r="G41" t="s">
        <v>152</v>
      </c>
      <c r="H41" t="s">
        <v>174</v>
      </c>
      <c r="I41" t="s">
        <v>154</v>
      </c>
      <c r="J41">
        <v>20040607</v>
      </c>
    </row>
    <row r="42" spans="1:10">
      <c r="A42" t="s">
        <v>5538</v>
      </c>
      <c r="B42">
        <v>600435</v>
      </c>
      <c r="C42" t="s">
        <v>5539</v>
      </c>
      <c r="D42" t="s">
        <v>164</v>
      </c>
      <c r="E42" t="s">
        <v>122</v>
      </c>
      <c r="F42" t="s">
        <v>5540</v>
      </c>
      <c r="G42" t="s">
        <v>152</v>
      </c>
      <c r="H42" t="s">
        <v>174</v>
      </c>
      <c r="I42" t="s">
        <v>154</v>
      </c>
      <c r="J42">
        <v>20030704</v>
      </c>
    </row>
    <row r="43" spans="1:10">
      <c r="A43" t="s">
        <v>5541</v>
      </c>
      <c r="B43">
        <v>600444</v>
      </c>
      <c r="C43" t="s">
        <v>5542</v>
      </c>
      <c r="D43" t="s">
        <v>160</v>
      </c>
      <c r="E43" t="s">
        <v>122</v>
      </c>
      <c r="F43" t="s">
        <v>5543</v>
      </c>
      <c r="G43" t="s">
        <v>152</v>
      </c>
      <c r="H43" t="s">
        <v>174</v>
      </c>
      <c r="I43" t="s">
        <v>154</v>
      </c>
      <c r="J43">
        <v>20040219</v>
      </c>
    </row>
    <row r="44" spans="1:10">
      <c r="A44" t="s">
        <v>5544</v>
      </c>
      <c r="B44">
        <v>600481</v>
      </c>
      <c r="C44" t="s">
        <v>5545</v>
      </c>
      <c r="D44" t="s">
        <v>212</v>
      </c>
      <c r="E44" t="s">
        <v>135</v>
      </c>
      <c r="F44" t="s">
        <v>5546</v>
      </c>
      <c r="G44" t="s">
        <v>152</v>
      </c>
      <c r="H44" t="s">
        <v>174</v>
      </c>
      <c r="I44" t="s">
        <v>154</v>
      </c>
      <c r="J44">
        <v>20030422</v>
      </c>
    </row>
    <row r="45" spans="1:10">
      <c r="A45" t="s">
        <v>5547</v>
      </c>
      <c r="B45">
        <v>600495</v>
      </c>
      <c r="C45" t="s">
        <v>5548</v>
      </c>
      <c r="D45" t="s">
        <v>557</v>
      </c>
      <c r="E45" t="s">
        <v>128</v>
      </c>
      <c r="F45" t="s">
        <v>5549</v>
      </c>
      <c r="G45" t="s">
        <v>152</v>
      </c>
      <c r="H45" t="s">
        <v>174</v>
      </c>
      <c r="I45" t="s">
        <v>154</v>
      </c>
      <c r="J45">
        <v>20040526</v>
      </c>
    </row>
    <row r="46" spans="1:10">
      <c r="A46" t="s">
        <v>5550</v>
      </c>
      <c r="B46">
        <v>600499</v>
      </c>
      <c r="C46" t="s">
        <v>5551</v>
      </c>
      <c r="D46" t="s">
        <v>223</v>
      </c>
      <c r="E46" t="s">
        <v>122</v>
      </c>
      <c r="F46" t="s">
        <v>5552</v>
      </c>
      <c r="G46" t="s">
        <v>152</v>
      </c>
      <c r="H46" t="s">
        <v>174</v>
      </c>
      <c r="I46" t="s">
        <v>154</v>
      </c>
      <c r="J46">
        <v>20021010</v>
      </c>
    </row>
    <row r="47" spans="1:10">
      <c r="A47" t="s">
        <v>5553</v>
      </c>
      <c r="B47">
        <v>600528</v>
      </c>
      <c r="C47" t="s">
        <v>5554</v>
      </c>
      <c r="D47" t="s">
        <v>164</v>
      </c>
      <c r="E47" t="s">
        <v>128</v>
      </c>
      <c r="F47" t="s">
        <v>5555</v>
      </c>
      <c r="G47" t="s">
        <v>152</v>
      </c>
      <c r="H47" t="s">
        <v>174</v>
      </c>
      <c r="I47" t="s">
        <v>154</v>
      </c>
      <c r="J47">
        <v>20010528</v>
      </c>
    </row>
    <row r="48" spans="1:10">
      <c r="A48" t="s">
        <v>5556</v>
      </c>
      <c r="B48">
        <v>600545</v>
      </c>
      <c r="C48" t="s">
        <v>5557</v>
      </c>
      <c r="D48" t="s">
        <v>202</v>
      </c>
      <c r="E48" t="s">
        <v>100</v>
      </c>
      <c r="F48" t="s">
        <v>5558</v>
      </c>
      <c r="G48" t="s">
        <v>152</v>
      </c>
      <c r="H48" t="s">
        <v>174</v>
      </c>
      <c r="I48" t="s">
        <v>154</v>
      </c>
      <c r="J48">
        <v>20031203</v>
      </c>
    </row>
    <row r="49" spans="1:10">
      <c r="A49" t="s">
        <v>5559</v>
      </c>
      <c r="B49">
        <v>600579</v>
      </c>
      <c r="C49" t="s">
        <v>5560</v>
      </c>
      <c r="D49" t="s">
        <v>198</v>
      </c>
      <c r="E49" t="s">
        <v>131</v>
      </c>
      <c r="F49" t="s">
        <v>5561</v>
      </c>
      <c r="G49" t="s">
        <v>152</v>
      </c>
      <c r="H49" t="s">
        <v>174</v>
      </c>
      <c r="I49" t="s">
        <v>154</v>
      </c>
      <c r="J49">
        <v>20020809</v>
      </c>
    </row>
    <row r="50" spans="1:10">
      <c r="A50" t="s">
        <v>5562</v>
      </c>
      <c r="B50">
        <v>600582</v>
      </c>
      <c r="C50" t="s">
        <v>5563</v>
      </c>
      <c r="D50" t="s">
        <v>164</v>
      </c>
      <c r="E50" t="s">
        <v>104</v>
      </c>
      <c r="F50" t="s">
        <v>5564</v>
      </c>
      <c r="G50" t="s">
        <v>152</v>
      </c>
      <c r="H50" t="s">
        <v>174</v>
      </c>
      <c r="I50" t="s">
        <v>154</v>
      </c>
      <c r="J50">
        <v>20020515</v>
      </c>
    </row>
    <row r="51" spans="1:10">
      <c r="A51" t="s">
        <v>5565</v>
      </c>
      <c r="B51">
        <v>600592</v>
      </c>
      <c r="C51" t="s">
        <v>5566</v>
      </c>
      <c r="D51" t="s">
        <v>150</v>
      </c>
      <c r="E51" t="s">
        <v>135</v>
      </c>
      <c r="F51" t="s">
        <v>5567</v>
      </c>
      <c r="G51" t="s">
        <v>152</v>
      </c>
      <c r="H51" t="s">
        <v>174</v>
      </c>
      <c r="I51" t="s">
        <v>154</v>
      </c>
      <c r="J51">
        <v>20020805</v>
      </c>
    </row>
    <row r="52" spans="1:10">
      <c r="A52" t="s">
        <v>5568</v>
      </c>
      <c r="B52">
        <v>600761</v>
      </c>
      <c r="C52" t="s">
        <v>5569</v>
      </c>
      <c r="D52" t="s">
        <v>160</v>
      </c>
      <c r="E52" t="s">
        <v>104</v>
      </c>
      <c r="F52" t="s">
        <v>5570</v>
      </c>
      <c r="G52" t="s">
        <v>152</v>
      </c>
      <c r="H52" t="s">
        <v>174</v>
      </c>
      <c r="I52" t="s">
        <v>154</v>
      </c>
      <c r="J52">
        <v>19961009</v>
      </c>
    </row>
    <row r="53" spans="1:10">
      <c r="A53" t="s">
        <v>5571</v>
      </c>
      <c r="B53">
        <v>600815</v>
      </c>
      <c r="C53" t="s">
        <v>5572</v>
      </c>
      <c r="D53" t="s">
        <v>150</v>
      </c>
      <c r="E53" t="s">
        <v>104</v>
      </c>
      <c r="F53" t="s">
        <v>5573</v>
      </c>
      <c r="G53" t="s">
        <v>152</v>
      </c>
      <c r="H53" t="s">
        <v>174</v>
      </c>
      <c r="I53" t="s">
        <v>154</v>
      </c>
      <c r="J53">
        <v>19940128</v>
      </c>
    </row>
    <row r="54" spans="1:10">
      <c r="A54" t="s">
        <v>5574</v>
      </c>
      <c r="B54">
        <v>600817</v>
      </c>
      <c r="C54" t="s">
        <v>5575</v>
      </c>
      <c r="D54" t="s">
        <v>292</v>
      </c>
      <c r="E54" t="s">
        <v>122</v>
      </c>
      <c r="F54" t="s">
        <v>5576</v>
      </c>
      <c r="G54" t="s">
        <v>152</v>
      </c>
      <c r="H54" t="s">
        <v>174</v>
      </c>
      <c r="I54" t="s">
        <v>154</v>
      </c>
      <c r="J54">
        <v>19940128</v>
      </c>
    </row>
    <row r="55" spans="1:10">
      <c r="A55" t="s">
        <v>5577</v>
      </c>
      <c r="B55">
        <v>600835</v>
      </c>
      <c r="C55" t="s">
        <v>5578</v>
      </c>
      <c r="D55" t="s">
        <v>172</v>
      </c>
      <c r="E55" t="s">
        <v>128</v>
      </c>
      <c r="F55" t="s">
        <v>5579</v>
      </c>
      <c r="G55" t="s">
        <v>152</v>
      </c>
      <c r="H55" t="s">
        <v>174</v>
      </c>
      <c r="I55" t="s">
        <v>154</v>
      </c>
      <c r="J55">
        <v>19940224</v>
      </c>
    </row>
    <row r="56" spans="1:10">
      <c r="A56" t="s">
        <v>5580</v>
      </c>
      <c r="B56">
        <v>600843</v>
      </c>
      <c r="C56" t="s">
        <v>5581</v>
      </c>
      <c r="D56" t="s">
        <v>172</v>
      </c>
      <c r="E56" t="s">
        <v>100</v>
      </c>
      <c r="F56" t="s">
        <v>5582</v>
      </c>
      <c r="G56" t="s">
        <v>152</v>
      </c>
      <c r="H56" t="s">
        <v>174</v>
      </c>
      <c r="I56" t="s">
        <v>154</v>
      </c>
      <c r="J56">
        <v>19940311</v>
      </c>
    </row>
    <row r="57" spans="1:10">
      <c r="A57" t="s">
        <v>5583</v>
      </c>
      <c r="B57">
        <v>600855</v>
      </c>
      <c r="C57" t="s">
        <v>5584</v>
      </c>
      <c r="D57" t="s">
        <v>164</v>
      </c>
      <c r="E57" t="s">
        <v>122</v>
      </c>
      <c r="F57" t="s">
        <v>5585</v>
      </c>
      <c r="G57" t="s">
        <v>152</v>
      </c>
      <c r="H57" t="s">
        <v>174</v>
      </c>
      <c r="I57" t="s">
        <v>154</v>
      </c>
      <c r="J57">
        <v>19940425</v>
      </c>
    </row>
    <row r="58" spans="1:10">
      <c r="A58" t="s">
        <v>5586</v>
      </c>
      <c r="B58">
        <v>600860</v>
      </c>
      <c r="C58" t="s">
        <v>5587</v>
      </c>
      <c r="D58" t="s">
        <v>164</v>
      </c>
      <c r="E58" t="s">
        <v>122</v>
      </c>
      <c r="F58" t="s">
        <v>5588</v>
      </c>
      <c r="G58" t="s">
        <v>152</v>
      </c>
      <c r="H58" t="s">
        <v>174</v>
      </c>
      <c r="I58" t="s">
        <v>154</v>
      </c>
      <c r="J58">
        <v>19940506</v>
      </c>
    </row>
    <row r="59" spans="1:10">
      <c r="A59" t="s">
        <v>5589</v>
      </c>
      <c r="B59">
        <v>600894</v>
      </c>
      <c r="C59" t="s">
        <v>5590</v>
      </c>
      <c r="D59" t="s">
        <v>223</v>
      </c>
      <c r="E59" t="s">
        <v>128</v>
      </c>
      <c r="F59" t="s">
        <v>5591</v>
      </c>
      <c r="G59" t="s">
        <v>152</v>
      </c>
      <c r="H59" t="s">
        <v>174</v>
      </c>
      <c r="I59" t="s">
        <v>154</v>
      </c>
      <c r="J59">
        <v>19960328</v>
      </c>
    </row>
    <row r="60" spans="1:10">
      <c r="A60" t="s">
        <v>5592</v>
      </c>
      <c r="B60">
        <v>600967</v>
      </c>
      <c r="C60" t="s">
        <v>5593</v>
      </c>
      <c r="D60" t="s">
        <v>266</v>
      </c>
      <c r="E60" t="s">
        <v>128</v>
      </c>
      <c r="F60" t="s">
        <v>5594</v>
      </c>
      <c r="G60" t="s">
        <v>152</v>
      </c>
      <c r="H60" t="s">
        <v>174</v>
      </c>
      <c r="I60" t="s">
        <v>154</v>
      </c>
      <c r="J60">
        <v>20040518</v>
      </c>
    </row>
    <row r="61" spans="1:10">
      <c r="A61" t="s">
        <v>5595</v>
      </c>
      <c r="B61">
        <v>600984</v>
      </c>
      <c r="C61" t="s">
        <v>5596</v>
      </c>
      <c r="D61" t="s">
        <v>419</v>
      </c>
      <c r="E61" t="s">
        <v>104</v>
      </c>
      <c r="F61" t="s">
        <v>5597</v>
      </c>
      <c r="G61" t="s">
        <v>152</v>
      </c>
      <c r="H61" t="s">
        <v>174</v>
      </c>
      <c r="I61" t="s">
        <v>154</v>
      </c>
      <c r="J61">
        <v>20040707</v>
      </c>
    </row>
    <row r="62" spans="1:10">
      <c r="A62" t="s">
        <v>5598</v>
      </c>
      <c r="B62">
        <v>601002</v>
      </c>
      <c r="C62" t="s">
        <v>5599</v>
      </c>
      <c r="D62" t="s">
        <v>423</v>
      </c>
      <c r="E62" t="s">
        <v>135</v>
      </c>
      <c r="F62" t="s">
        <v>5600</v>
      </c>
      <c r="G62" t="s">
        <v>152</v>
      </c>
      <c r="H62" t="s">
        <v>174</v>
      </c>
      <c r="I62" t="s">
        <v>154</v>
      </c>
      <c r="J62">
        <v>20070126</v>
      </c>
    </row>
    <row r="63" spans="1:10">
      <c r="A63" t="s">
        <v>5601</v>
      </c>
      <c r="B63">
        <v>601038</v>
      </c>
      <c r="C63" t="s">
        <v>5602</v>
      </c>
      <c r="D63" t="s">
        <v>292</v>
      </c>
      <c r="E63" t="s">
        <v>133</v>
      </c>
      <c r="F63" t="s">
        <v>5603</v>
      </c>
      <c r="G63" t="s">
        <v>152</v>
      </c>
      <c r="H63" t="s">
        <v>174</v>
      </c>
      <c r="I63" t="s">
        <v>154</v>
      </c>
      <c r="J63">
        <v>20120808</v>
      </c>
    </row>
    <row r="64" spans="1:10">
      <c r="A64" t="s">
        <v>5604</v>
      </c>
      <c r="B64">
        <v>601100</v>
      </c>
      <c r="C64" t="s">
        <v>5605</v>
      </c>
      <c r="D64" t="s">
        <v>212</v>
      </c>
      <c r="E64" t="s">
        <v>104</v>
      </c>
      <c r="F64" t="s">
        <v>5606</v>
      </c>
      <c r="G64" t="s">
        <v>152</v>
      </c>
      <c r="H64" t="s">
        <v>174</v>
      </c>
      <c r="I64" t="s">
        <v>154</v>
      </c>
      <c r="J64">
        <v>20111028</v>
      </c>
    </row>
    <row r="65" spans="1:10">
      <c r="A65" t="s">
        <v>5607</v>
      </c>
      <c r="B65">
        <v>601106</v>
      </c>
      <c r="C65" t="s">
        <v>5608</v>
      </c>
      <c r="D65" t="s">
        <v>194</v>
      </c>
      <c r="E65" t="s">
        <v>104</v>
      </c>
      <c r="F65" t="s">
        <v>5609</v>
      </c>
      <c r="G65" t="s">
        <v>152</v>
      </c>
      <c r="H65" t="s">
        <v>174</v>
      </c>
      <c r="I65" t="s">
        <v>154</v>
      </c>
      <c r="J65">
        <v>20100209</v>
      </c>
    </row>
    <row r="66" spans="1:10">
      <c r="A66" t="s">
        <v>5610</v>
      </c>
      <c r="B66">
        <v>601177</v>
      </c>
      <c r="C66" t="s">
        <v>5611</v>
      </c>
      <c r="D66" t="s">
        <v>423</v>
      </c>
      <c r="E66" t="s">
        <v>135</v>
      </c>
      <c r="F66" t="s">
        <v>5612</v>
      </c>
      <c r="G66" t="s">
        <v>152</v>
      </c>
      <c r="H66" t="s">
        <v>174</v>
      </c>
      <c r="I66" t="s">
        <v>154</v>
      </c>
      <c r="J66">
        <v>20101011</v>
      </c>
    </row>
    <row r="67" spans="1:10">
      <c r="A67" t="s">
        <v>5613</v>
      </c>
      <c r="B67">
        <v>601369</v>
      </c>
      <c r="C67" t="s">
        <v>5614</v>
      </c>
      <c r="D67" t="s">
        <v>419</v>
      </c>
      <c r="E67" t="s">
        <v>135</v>
      </c>
      <c r="F67" t="s">
        <v>5615</v>
      </c>
      <c r="G67" t="s">
        <v>152</v>
      </c>
      <c r="H67" t="s">
        <v>174</v>
      </c>
      <c r="I67" t="s">
        <v>154</v>
      </c>
      <c r="J67">
        <v>20100428</v>
      </c>
    </row>
    <row r="68" spans="1:10">
      <c r="A68" t="s">
        <v>5616</v>
      </c>
      <c r="B68">
        <v>601399</v>
      </c>
      <c r="C68" t="s">
        <v>5617</v>
      </c>
      <c r="D68" t="s">
        <v>219</v>
      </c>
      <c r="E68" t="s">
        <v>104</v>
      </c>
      <c r="F68" t="s">
        <v>5618</v>
      </c>
      <c r="G68" t="s">
        <v>152</v>
      </c>
      <c r="H68" t="s">
        <v>174</v>
      </c>
      <c r="I68" t="s">
        <v>154</v>
      </c>
      <c r="J68">
        <v>20200608</v>
      </c>
    </row>
    <row r="69" spans="1:10">
      <c r="A69" t="s">
        <v>5619</v>
      </c>
      <c r="B69">
        <v>601606</v>
      </c>
      <c r="C69" t="s">
        <v>5620</v>
      </c>
      <c r="D69" t="s">
        <v>160</v>
      </c>
      <c r="E69" t="s">
        <v>122</v>
      </c>
      <c r="F69" t="s">
        <v>5621</v>
      </c>
      <c r="G69" t="s">
        <v>152</v>
      </c>
      <c r="H69" t="s">
        <v>174</v>
      </c>
      <c r="I69" t="s">
        <v>154</v>
      </c>
      <c r="J69">
        <v>20180806</v>
      </c>
    </row>
    <row r="70" spans="1:10">
      <c r="A70" t="s">
        <v>5622</v>
      </c>
      <c r="B70">
        <v>601608</v>
      </c>
      <c r="C70" t="s">
        <v>5623</v>
      </c>
      <c r="D70" t="s">
        <v>292</v>
      </c>
      <c r="E70" t="s">
        <v>122</v>
      </c>
      <c r="F70" t="s">
        <v>5624</v>
      </c>
      <c r="G70" t="s">
        <v>152</v>
      </c>
      <c r="H70" t="s">
        <v>174</v>
      </c>
      <c r="I70" t="s">
        <v>154</v>
      </c>
      <c r="J70">
        <v>20120706</v>
      </c>
    </row>
    <row r="71" spans="1:10">
      <c r="A71" t="s">
        <v>5625</v>
      </c>
      <c r="B71">
        <v>601766</v>
      </c>
      <c r="C71" t="s">
        <v>5626</v>
      </c>
      <c r="D71" t="s">
        <v>164</v>
      </c>
      <c r="E71" t="s">
        <v>128</v>
      </c>
      <c r="F71" t="s">
        <v>5627</v>
      </c>
      <c r="G71" t="s">
        <v>152</v>
      </c>
      <c r="H71" t="s">
        <v>174</v>
      </c>
      <c r="I71" t="s">
        <v>154</v>
      </c>
      <c r="J71">
        <v>20080818</v>
      </c>
    </row>
    <row r="72" spans="1:10">
      <c r="A72" t="s">
        <v>5628</v>
      </c>
      <c r="B72">
        <v>601798</v>
      </c>
      <c r="C72" t="s">
        <v>5629</v>
      </c>
      <c r="D72" t="s">
        <v>177</v>
      </c>
      <c r="E72" t="s">
        <v>131</v>
      </c>
      <c r="F72" t="s">
        <v>5630</v>
      </c>
      <c r="G72" t="s">
        <v>152</v>
      </c>
      <c r="H72" t="s">
        <v>174</v>
      </c>
      <c r="I72" t="s">
        <v>154</v>
      </c>
      <c r="J72">
        <v>20110622</v>
      </c>
    </row>
    <row r="73" spans="1:10">
      <c r="A73" t="s">
        <v>5631</v>
      </c>
      <c r="B73">
        <v>601882</v>
      </c>
      <c r="C73" t="s">
        <v>5632</v>
      </c>
      <c r="D73" t="s">
        <v>423</v>
      </c>
      <c r="E73" t="s">
        <v>134</v>
      </c>
      <c r="F73" t="s">
        <v>5633</v>
      </c>
      <c r="G73" t="s">
        <v>152</v>
      </c>
      <c r="H73" t="s">
        <v>174</v>
      </c>
      <c r="I73" t="s">
        <v>154</v>
      </c>
      <c r="J73">
        <v>20161107</v>
      </c>
    </row>
    <row r="74" spans="1:10">
      <c r="A74" t="s">
        <v>5634</v>
      </c>
      <c r="B74">
        <v>603011</v>
      </c>
      <c r="C74" t="s">
        <v>5635</v>
      </c>
      <c r="D74" t="s">
        <v>160</v>
      </c>
      <c r="E74" t="s">
        <v>134</v>
      </c>
      <c r="F74" t="s">
        <v>5636</v>
      </c>
      <c r="G74" t="s">
        <v>152</v>
      </c>
      <c r="H74" t="s">
        <v>174</v>
      </c>
      <c r="I74" t="s">
        <v>154</v>
      </c>
      <c r="J74">
        <v>20141107</v>
      </c>
    </row>
    <row r="75" spans="1:10">
      <c r="A75" t="s">
        <v>5637</v>
      </c>
      <c r="B75">
        <v>603012</v>
      </c>
      <c r="C75" t="s">
        <v>5638</v>
      </c>
      <c r="D75" t="s">
        <v>172</v>
      </c>
      <c r="E75" t="s">
        <v>122</v>
      </c>
      <c r="F75" t="s">
        <v>5639</v>
      </c>
      <c r="G75" t="s">
        <v>152</v>
      </c>
      <c r="H75" t="s">
        <v>174</v>
      </c>
      <c r="I75" t="s">
        <v>154</v>
      </c>
      <c r="J75">
        <v>20150320</v>
      </c>
    </row>
    <row r="76" spans="1:10">
      <c r="A76" t="s">
        <v>5640</v>
      </c>
      <c r="B76">
        <v>603025</v>
      </c>
      <c r="C76" t="s">
        <v>5641</v>
      </c>
      <c r="D76" t="s">
        <v>164</v>
      </c>
      <c r="E76" t="s">
        <v>100</v>
      </c>
      <c r="F76" t="s">
        <v>5642</v>
      </c>
      <c r="G76" t="s">
        <v>152</v>
      </c>
      <c r="H76" t="s">
        <v>174</v>
      </c>
      <c r="I76" t="s">
        <v>154</v>
      </c>
      <c r="J76">
        <v>20150422</v>
      </c>
    </row>
    <row r="77" spans="1:10">
      <c r="A77" t="s">
        <v>5643</v>
      </c>
      <c r="B77">
        <v>603029</v>
      </c>
      <c r="C77" t="s">
        <v>5644</v>
      </c>
      <c r="D77" t="s">
        <v>198</v>
      </c>
      <c r="E77" t="s">
        <v>133</v>
      </c>
      <c r="F77" t="s">
        <v>5645</v>
      </c>
      <c r="G77" t="s">
        <v>152</v>
      </c>
      <c r="H77" t="s">
        <v>174</v>
      </c>
      <c r="I77" t="s">
        <v>154</v>
      </c>
      <c r="J77">
        <v>20160427</v>
      </c>
    </row>
    <row r="78" spans="1:10">
      <c r="A78" t="s">
        <v>5646</v>
      </c>
      <c r="B78">
        <v>603032</v>
      </c>
      <c r="C78" t="s">
        <v>5647</v>
      </c>
      <c r="D78" t="s">
        <v>202</v>
      </c>
      <c r="E78" t="s">
        <v>122</v>
      </c>
      <c r="F78" t="s">
        <v>5648</v>
      </c>
      <c r="G78" t="s">
        <v>152</v>
      </c>
      <c r="H78" t="s">
        <v>174</v>
      </c>
      <c r="I78" t="s">
        <v>154</v>
      </c>
      <c r="J78">
        <v>20170105</v>
      </c>
    </row>
    <row r="79" spans="1:10">
      <c r="A79" t="s">
        <v>5649</v>
      </c>
      <c r="B79">
        <v>603036</v>
      </c>
      <c r="C79" t="s">
        <v>5650</v>
      </c>
      <c r="D79" t="s">
        <v>212</v>
      </c>
      <c r="E79" t="s">
        <v>122</v>
      </c>
      <c r="F79" t="s">
        <v>5651</v>
      </c>
      <c r="G79" t="s">
        <v>152</v>
      </c>
      <c r="H79" t="s">
        <v>174</v>
      </c>
      <c r="I79" t="s">
        <v>154</v>
      </c>
      <c r="J79">
        <v>20161209</v>
      </c>
    </row>
    <row r="80" spans="1:10">
      <c r="A80" t="s">
        <v>5652</v>
      </c>
      <c r="B80">
        <v>603076</v>
      </c>
      <c r="C80" t="s">
        <v>5653</v>
      </c>
      <c r="D80" t="s">
        <v>423</v>
      </c>
      <c r="E80" t="s">
        <v>122</v>
      </c>
      <c r="F80" t="s">
        <v>5654</v>
      </c>
      <c r="G80" t="s">
        <v>152</v>
      </c>
      <c r="H80" t="s">
        <v>174</v>
      </c>
      <c r="I80" t="s">
        <v>154</v>
      </c>
      <c r="J80">
        <v>20171113</v>
      </c>
    </row>
    <row r="81" spans="1:10">
      <c r="A81" s="3" t="s">
        <v>5655</v>
      </c>
      <c r="B81" s="3">
        <v>603081</v>
      </c>
      <c r="C81" s="3" t="s">
        <v>5656</v>
      </c>
      <c r="D81" s="3" t="s">
        <v>423</v>
      </c>
      <c r="E81" s="3" t="s">
        <v>122</v>
      </c>
      <c r="F81" s="3" t="s">
        <v>5657</v>
      </c>
      <c r="G81" s="3" t="s">
        <v>152</v>
      </c>
      <c r="H81" s="3" t="s">
        <v>174</v>
      </c>
      <c r="I81" s="3" t="s">
        <v>154</v>
      </c>
      <c r="J81" s="3">
        <v>20170420</v>
      </c>
    </row>
    <row r="82" spans="1:10">
      <c r="A82" t="s">
        <v>5658</v>
      </c>
      <c r="B82">
        <v>603088</v>
      </c>
      <c r="C82" t="s">
        <v>5659</v>
      </c>
      <c r="D82" t="s">
        <v>423</v>
      </c>
      <c r="E82" t="s">
        <v>134</v>
      </c>
      <c r="F82" t="s">
        <v>5660</v>
      </c>
      <c r="G82" t="s">
        <v>152</v>
      </c>
      <c r="H82" t="s">
        <v>174</v>
      </c>
      <c r="I82" t="s">
        <v>154</v>
      </c>
      <c r="J82">
        <v>20141111</v>
      </c>
    </row>
    <row r="83" spans="1:10">
      <c r="A83" t="s">
        <v>5661</v>
      </c>
      <c r="B83">
        <v>603090</v>
      </c>
      <c r="C83" t="s">
        <v>5662</v>
      </c>
      <c r="D83" t="s">
        <v>212</v>
      </c>
      <c r="E83" t="s">
        <v>122</v>
      </c>
      <c r="F83" t="s">
        <v>5663</v>
      </c>
      <c r="G83" t="s">
        <v>152</v>
      </c>
      <c r="H83" t="s">
        <v>174</v>
      </c>
      <c r="I83" t="s">
        <v>154</v>
      </c>
      <c r="J83">
        <v>20160831</v>
      </c>
    </row>
    <row r="84" spans="1:10">
      <c r="A84" t="s">
        <v>5664</v>
      </c>
      <c r="B84">
        <v>603095</v>
      </c>
      <c r="C84" t="s">
        <v>5665</v>
      </c>
      <c r="D84" t="s">
        <v>423</v>
      </c>
      <c r="E84" t="s">
        <v>100</v>
      </c>
      <c r="F84" t="s">
        <v>5666</v>
      </c>
      <c r="G84" t="s">
        <v>152</v>
      </c>
      <c r="H84" t="s">
        <v>174</v>
      </c>
      <c r="I84" t="s">
        <v>154</v>
      </c>
      <c r="J84">
        <v>20200415</v>
      </c>
    </row>
    <row r="85" spans="1:10">
      <c r="A85" t="s">
        <v>5667</v>
      </c>
      <c r="B85">
        <v>603111</v>
      </c>
      <c r="C85" t="s">
        <v>5668</v>
      </c>
      <c r="D85" t="s">
        <v>212</v>
      </c>
      <c r="E85" t="s">
        <v>128</v>
      </c>
      <c r="F85" t="s">
        <v>5669</v>
      </c>
      <c r="G85" t="s">
        <v>152</v>
      </c>
      <c r="H85" t="s">
        <v>174</v>
      </c>
      <c r="I85" t="s">
        <v>154</v>
      </c>
      <c r="J85">
        <v>20140801</v>
      </c>
    </row>
    <row r="86" spans="1:10">
      <c r="A86" t="s">
        <v>5670</v>
      </c>
      <c r="B86">
        <v>603112</v>
      </c>
      <c r="C86" t="s">
        <v>5671</v>
      </c>
      <c r="D86" t="s">
        <v>557</v>
      </c>
      <c r="E86" t="s">
        <v>135</v>
      </c>
      <c r="F86" t="s">
        <v>5672</v>
      </c>
      <c r="G86" t="s">
        <v>152</v>
      </c>
      <c r="H86" t="s">
        <v>174</v>
      </c>
      <c r="I86" t="s">
        <v>154</v>
      </c>
      <c r="J86">
        <v>20200917</v>
      </c>
    </row>
    <row r="87" spans="1:10">
      <c r="A87" t="s">
        <v>5673</v>
      </c>
      <c r="B87">
        <v>603131</v>
      </c>
      <c r="C87" t="s">
        <v>5674</v>
      </c>
      <c r="D87" t="s">
        <v>172</v>
      </c>
      <c r="E87" t="s">
        <v>122</v>
      </c>
      <c r="F87" t="s">
        <v>5675</v>
      </c>
      <c r="G87" t="s">
        <v>152</v>
      </c>
      <c r="H87" t="s">
        <v>174</v>
      </c>
      <c r="I87" t="s">
        <v>154</v>
      </c>
      <c r="J87">
        <v>20160607</v>
      </c>
    </row>
    <row r="88" spans="1:10">
      <c r="A88" t="s">
        <v>5676</v>
      </c>
      <c r="B88">
        <v>603159</v>
      </c>
      <c r="C88" t="s">
        <v>5677</v>
      </c>
      <c r="D88" t="s">
        <v>172</v>
      </c>
      <c r="E88" t="s">
        <v>122</v>
      </c>
      <c r="F88" t="s">
        <v>5678</v>
      </c>
      <c r="G88" t="s">
        <v>152</v>
      </c>
      <c r="H88" t="s">
        <v>174</v>
      </c>
      <c r="I88" t="s">
        <v>154</v>
      </c>
      <c r="J88">
        <v>20160812</v>
      </c>
    </row>
    <row r="89" spans="1:10">
      <c r="A89" t="s">
        <v>5679</v>
      </c>
      <c r="B89">
        <v>603169</v>
      </c>
      <c r="C89" t="s">
        <v>5680</v>
      </c>
      <c r="D89" t="s">
        <v>177</v>
      </c>
      <c r="E89" t="s">
        <v>122</v>
      </c>
      <c r="F89" t="s">
        <v>5681</v>
      </c>
      <c r="G89" t="s">
        <v>152</v>
      </c>
      <c r="H89" t="s">
        <v>174</v>
      </c>
      <c r="I89" t="s">
        <v>154</v>
      </c>
      <c r="J89">
        <v>20141009</v>
      </c>
    </row>
    <row r="90" spans="1:10">
      <c r="A90" t="s">
        <v>5682</v>
      </c>
      <c r="B90">
        <v>603187</v>
      </c>
      <c r="C90" t="s">
        <v>5683</v>
      </c>
      <c r="D90" t="s">
        <v>198</v>
      </c>
      <c r="E90" t="s">
        <v>135</v>
      </c>
      <c r="F90" t="s">
        <v>5684</v>
      </c>
      <c r="G90" t="s">
        <v>152</v>
      </c>
      <c r="H90" t="s">
        <v>174</v>
      </c>
      <c r="I90" t="s">
        <v>154</v>
      </c>
      <c r="J90">
        <v>20181129</v>
      </c>
    </row>
    <row r="91" spans="1:10">
      <c r="A91" t="s">
        <v>5685</v>
      </c>
      <c r="B91">
        <v>603203</v>
      </c>
      <c r="C91" t="s">
        <v>5686</v>
      </c>
      <c r="D91" t="s">
        <v>212</v>
      </c>
      <c r="E91" t="s">
        <v>122</v>
      </c>
      <c r="F91" t="s">
        <v>5687</v>
      </c>
      <c r="G91" t="s">
        <v>152</v>
      </c>
      <c r="H91" t="s">
        <v>174</v>
      </c>
      <c r="I91" t="s">
        <v>154</v>
      </c>
      <c r="J91">
        <v>20161108</v>
      </c>
    </row>
    <row r="92" spans="1:10">
      <c r="A92" t="s">
        <v>5688</v>
      </c>
      <c r="B92">
        <v>603269</v>
      </c>
      <c r="C92" t="s">
        <v>5689</v>
      </c>
      <c r="D92" t="s">
        <v>212</v>
      </c>
      <c r="E92" t="s">
        <v>135</v>
      </c>
      <c r="F92" t="s">
        <v>5690</v>
      </c>
      <c r="G92" t="s">
        <v>152</v>
      </c>
      <c r="H92" t="s">
        <v>174</v>
      </c>
      <c r="I92" t="s">
        <v>154</v>
      </c>
      <c r="J92">
        <v>20170517</v>
      </c>
    </row>
    <row r="93" spans="1:10">
      <c r="A93" t="s">
        <v>5691</v>
      </c>
      <c r="B93">
        <v>603277</v>
      </c>
      <c r="C93" t="s">
        <v>5692</v>
      </c>
      <c r="D93" t="s">
        <v>423</v>
      </c>
      <c r="E93" t="s">
        <v>122</v>
      </c>
      <c r="F93" t="s">
        <v>5693</v>
      </c>
      <c r="G93" t="s">
        <v>152</v>
      </c>
      <c r="H93" t="s">
        <v>174</v>
      </c>
      <c r="I93" t="s">
        <v>154</v>
      </c>
      <c r="J93">
        <v>20170911</v>
      </c>
    </row>
    <row r="94" spans="1:10">
      <c r="A94" t="s">
        <v>5694</v>
      </c>
      <c r="B94">
        <v>603280</v>
      </c>
      <c r="C94" t="s">
        <v>5695</v>
      </c>
      <c r="D94" t="s">
        <v>150</v>
      </c>
      <c r="E94" t="s">
        <v>122</v>
      </c>
      <c r="F94" t="s">
        <v>5696</v>
      </c>
      <c r="G94" t="s">
        <v>152</v>
      </c>
      <c r="H94" t="s">
        <v>174</v>
      </c>
      <c r="I94" t="s">
        <v>154</v>
      </c>
      <c r="J94">
        <v>20221108</v>
      </c>
    </row>
    <row r="95" spans="1:10">
      <c r="A95" t="s">
        <v>5697</v>
      </c>
      <c r="B95">
        <v>603283</v>
      </c>
      <c r="C95" t="s">
        <v>5698</v>
      </c>
      <c r="D95" t="s">
        <v>212</v>
      </c>
      <c r="E95" t="s">
        <v>122</v>
      </c>
      <c r="F95" t="s">
        <v>5699</v>
      </c>
      <c r="G95" t="s">
        <v>152</v>
      </c>
      <c r="H95" t="s">
        <v>174</v>
      </c>
      <c r="I95" t="s">
        <v>154</v>
      </c>
      <c r="J95">
        <v>20171225</v>
      </c>
    </row>
    <row r="96" spans="1:10">
      <c r="A96" t="s">
        <v>5700</v>
      </c>
      <c r="B96">
        <v>603289</v>
      </c>
      <c r="C96" t="s">
        <v>5701</v>
      </c>
      <c r="D96" t="s">
        <v>423</v>
      </c>
      <c r="E96" t="s">
        <v>122</v>
      </c>
      <c r="F96" t="s">
        <v>5702</v>
      </c>
      <c r="G96" t="s">
        <v>152</v>
      </c>
      <c r="H96" t="s">
        <v>174</v>
      </c>
      <c r="I96" t="s">
        <v>154</v>
      </c>
      <c r="J96">
        <v>20171031</v>
      </c>
    </row>
    <row r="97" spans="1:10">
      <c r="A97" t="s">
        <v>5703</v>
      </c>
      <c r="B97">
        <v>603298</v>
      </c>
      <c r="C97" t="s">
        <v>5704</v>
      </c>
      <c r="D97" t="s">
        <v>423</v>
      </c>
      <c r="E97" t="s">
        <v>122</v>
      </c>
      <c r="F97" t="s">
        <v>5705</v>
      </c>
      <c r="G97" t="s">
        <v>152</v>
      </c>
      <c r="H97" t="s">
        <v>174</v>
      </c>
      <c r="I97" t="s">
        <v>154</v>
      </c>
      <c r="J97">
        <v>20161227</v>
      </c>
    </row>
    <row r="98" spans="1:10">
      <c r="A98" t="s">
        <v>5706</v>
      </c>
      <c r="B98">
        <v>603308</v>
      </c>
      <c r="C98" t="s">
        <v>5707</v>
      </c>
      <c r="D98" t="s">
        <v>160</v>
      </c>
      <c r="E98" t="s">
        <v>135</v>
      </c>
      <c r="F98" t="s">
        <v>5708</v>
      </c>
      <c r="G98" t="s">
        <v>152</v>
      </c>
      <c r="H98" t="s">
        <v>174</v>
      </c>
      <c r="I98" t="s">
        <v>154</v>
      </c>
      <c r="J98">
        <v>20140122</v>
      </c>
    </row>
    <row r="99" spans="1:10">
      <c r="A99" t="s">
        <v>5709</v>
      </c>
      <c r="B99">
        <v>603315</v>
      </c>
      <c r="C99" t="s">
        <v>5710</v>
      </c>
      <c r="D99" t="s">
        <v>236</v>
      </c>
      <c r="E99" t="s">
        <v>135</v>
      </c>
      <c r="F99" t="s">
        <v>5711</v>
      </c>
      <c r="G99" t="s">
        <v>152</v>
      </c>
      <c r="H99" t="s">
        <v>174</v>
      </c>
      <c r="I99" t="s">
        <v>154</v>
      </c>
      <c r="J99">
        <v>20150424</v>
      </c>
    </row>
    <row r="100" spans="1:10">
      <c r="A100" t="s">
        <v>5712</v>
      </c>
      <c r="B100">
        <v>603321</v>
      </c>
      <c r="C100" t="s">
        <v>5713</v>
      </c>
      <c r="D100" t="s">
        <v>423</v>
      </c>
      <c r="E100" t="s">
        <v>128</v>
      </c>
      <c r="F100" t="s">
        <v>5714</v>
      </c>
      <c r="G100" t="s">
        <v>152</v>
      </c>
      <c r="H100" t="s">
        <v>174</v>
      </c>
      <c r="I100" t="s">
        <v>154</v>
      </c>
      <c r="J100">
        <v>20170915</v>
      </c>
    </row>
    <row r="101" spans="1:10">
      <c r="A101" t="s">
        <v>5715</v>
      </c>
      <c r="B101">
        <v>603331</v>
      </c>
      <c r="C101" t="s">
        <v>5716</v>
      </c>
      <c r="D101" t="s">
        <v>423</v>
      </c>
      <c r="E101" t="s">
        <v>122</v>
      </c>
      <c r="F101" t="s">
        <v>5717</v>
      </c>
      <c r="G101" t="s">
        <v>152</v>
      </c>
      <c r="H101" t="s">
        <v>174</v>
      </c>
      <c r="I101" t="s">
        <v>154</v>
      </c>
      <c r="J101">
        <v>20170705</v>
      </c>
    </row>
    <row r="102" spans="1:10">
      <c r="A102" s="3" t="s">
        <v>5718</v>
      </c>
      <c r="B102" s="3">
        <v>603337</v>
      </c>
      <c r="C102" s="3" t="s">
        <v>5719</v>
      </c>
      <c r="D102" s="3" t="s">
        <v>423</v>
      </c>
      <c r="E102" s="3" t="s">
        <v>100</v>
      </c>
      <c r="F102" s="3" t="s">
        <v>5720</v>
      </c>
      <c r="G102" s="3" t="s">
        <v>152</v>
      </c>
      <c r="H102" s="3" t="s">
        <v>174</v>
      </c>
      <c r="I102" s="3" t="s">
        <v>154</v>
      </c>
      <c r="J102" s="3">
        <v>20170119</v>
      </c>
    </row>
    <row r="103" spans="1:10">
      <c r="A103" t="s">
        <v>5721</v>
      </c>
      <c r="B103">
        <v>603338</v>
      </c>
      <c r="C103" t="s">
        <v>5722</v>
      </c>
      <c r="D103" t="s">
        <v>423</v>
      </c>
      <c r="E103" t="s">
        <v>122</v>
      </c>
      <c r="F103" t="s">
        <v>5723</v>
      </c>
      <c r="G103" t="s">
        <v>152</v>
      </c>
      <c r="H103" t="s">
        <v>174</v>
      </c>
      <c r="I103" t="s">
        <v>154</v>
      </c>
      <c r="J103">
        <v>20150325</v>
      </c>
    </row>
    <row r="104" spans="1:10">
      <c r="A104" t="s">
        <v>5724</v>
      </c>
      <c r="B104">
        <v>603339</v>
      </c>
      <c r="C104" t="s">
        <v>5725</v>
      </c>
      <c r="D104" t="s">
        <v>212</v>
      </c>
      <c r="E104" t="s">
        <v>122</v>
      </c>
      <c r="F104" t="s">
        <v>5726</v>
      </c>
      <c r="G104" t="s">
        <v>152</v>
      </c>
      <c r="H104" t="s">
        <v>174</v>
      </c>
      <c r="I104" t="s">
        <v>154</v>
      </c>
      <c r="J104">
        <v>20160519</v>
      </c>
    </row>
    <row r="105" spans="1:10">
      <c r="A105" t="s">
        <v>5727</v>
      </c>
      <c r="B105">
        <v>603356</v>
      </c>
      <c r="C105" t="s">
        <v>5728</v>
      </c>
      <c r="D105" t="s">
        <v>160</v>
      </c>
      <c r="E105" t="s">
        <v>128</v>
      </c>
      <c r="F105" t="s">
        <v>5729</v>
      </c>
      <c r="G105" t="s">
        <v>152</v>
      </c>
      <c r="H105" t="s">
        <v>174</v>
      </c>
      <c r="I105" t="s">
        <v>154</v>
      </c>
      <c r="J105">
        <v>20180124</v>
      </c>
    </row>
    <row r="106" spans="1:10">
      <c r="A106" t="s">
        <v>5730</v>
      </c>
      <c r="B106">
        <v>603396</v>
      </c>
      <c r="C106" t="s">
        <v>5731</v>
      </c>
      <c r="D106" t="s">
        <v>236</v>
      </c>
      <c r="E106" t="s">
        <v>122</v>
      </c>
      <c r="F106" t="s">
        <v>5732</v>
      </c>
      <c r="G106" t="s">
        <v>152</v>
      </c>
      <c r="H106" t="s">
        <v>174</v>
      </c>
      <c r="I106" t="s">
        <v>154</v>
      </c>
      <c r="J106">
        <v>20171018</v>
      </c>
    </row>
    <row r="107" spans="1:10">
      <c r="A107" t="s">
        <v>5733</v>
      </c>
      <c r="B107">
        <v>603488</v>
      </c>
      <c r="C107" t="s">
        <v>5734</v>
      </c>
      <c r="D107" t="s">
        <v>212</v>
      </c>
      <c r="E107" t="s">
        <v>128</v>
      </c>
      <c r="F107" t="s">
        <v>5735</v>
      </c>
      <c r="G107" t="s">
        <v>152</v>
      </c>
      <c r="H107" t="s">
        <v>174</v>
      </c>
      <c r="I107" t="s">
        <v>154</v>
      </c>
      <c r="J107">
        <v>20170516</v>
      </c>
    </row>
    <row r="108" spans="1:10">
      <c r="A108" t="s">
        <v>5736</v>
      </c>
      <c r="B108">
        <v>603500</v>
      </c>
      <c r="C108" t="s">
        <v>5737</v>
      </c>
      <c r="D108" t="s">
        <v>423</v>
      </c>
      <c r="E108" t="s">
        <v>128</v>
      </c>
      <c r="F108" t="s">
        <v>5738</v>
      </c>
      <c r="G108" t="s">
        <v>152</v>
      </c>
      <c r="H108" t="s">
        <v>174</v>
      </c>
      <c r="I108" t="s">
        <v>154</v>
      </c>
      <c r="J108">
        <v>20170904</v>
      </c>
    </row>
    <row r="109" spans="1:10">
      <c r="A109" t="s">
        <v>5739</v>
      </c>
      <c r="B109">
        <v>603611</v>
      </c>
      <c r="C109" t="s">
        <v>5740</v>
      </c>
      <c r="D109" t="s">
        <v>423</v>
      </c>
      <c r="E109" t="s">
        <v>128</v>
      </c>
      <c r="F109" t="s">
        <v>5741</v>
      </c>
      <c r="G109" t="s">
        <v>152</v>
      </c>
      <c r="H109" t="s">
        <v>174</v>
      </c>
      <c r="I109" t="s">
        <v>154</v>
      </c>
      <c r="J109">
        <v>20150128</v>
      </c>
    </row>
    <row r="110" spans="1:10">
      <c r="A110" t="s">
        <v>5742</v>
      </c>
      <c r="B110">
        <v>603617</v>
      </c>
      <c r="C110" t="s">
        <v>5743</v>
      </c>
      <c r="D110" t="s">
        <v>423</v>
      </c>
      <c r="E110" t="s">
        <v>135</v>
      </c>
      <c r="F110" t="s">
        <v>5744</v>
      </c>
      <c r="G110" t="s">
        <v>152</v>
      </c>
      <c r="H110" t="s">
        <v>174</v>
      </c>
      <c r="I110" t="s">
        <v>154</v>
      </c>
      <c r="J110">
        <v>20170703</v>
      </c>
    </row>
    <row r="111" spans="1:10">
      <c r="A111" t="s">
        <v>5745</v>
      </c>
      <c r="B111">
        <v>603638</v>
      </c>
      <c r="C111" t="s">
        <v>5746</v>
      </c>
      <c r="D111" t="s">
        <v>198</v>
      </c>
      <c r="E111" t="s">
        <v>122</v>
      </c>
      <c r="F111" t="s">
        <v>5747</v>
      </c>
      <c r="G111" t="s">
        <v>152</v>
      </c>
      <c r="H111" t="s">
        <v>174</v>
      </c>
      <c r="I111" t="s">
        <v>154</v>
      </c>
      <c r="J111">
        <v>20170120</v>
      </c>
    </row>
    <row r="112" spans="1:10">
      <c r="A112" t="s">
        <v>5748</v>
      </c>
      <c r="B112">
        <v>603656</v>
      </c>
      <c r="C112" t="s">
        <v>5749</v>
      </c>
      <c r="D112" t="s">
        <v>160</v>
      </c>
      <c r="E112" t="s">
        <v>122</v>
      </c>
      <c r="F112" t="s">
        <v>5750</v>
      </c>
      <c r="G112" t="s">
        <v>152</v>
      </c>
      <c r="H112" t="s">
        <v>174</v>
      </c>
      <c r="I112" t="s">
        <v>154</v>
      </c>
      <c r="J112">
        <v>20170321</v>
      </c>
    </row>
    <row r="113" spans="1:10">
      <c r="A113" t="s">
        <v>5751</v>
      </c>
      <c r="B113">
        <v>603666</v>
      </c>
      <c r="C113" t="s">
        <v>5752</v>
      </c>
      <c r="D113" t="s">
        <v>212</v>
      </c>
      <c r="E113" t="s">
        <v>122</v>
      </c>
      <c r="F113" t="s">
        <v>5753</v>
      </c>
      <c r="G113" t="s">
        <v>152</v>
      </c>
      <c r="H113" t="s">
        <v>174</v>
      </c>
      <c r="I113" t="s">
        <v>154</v>
      </c>
      <c r="J113">
        <v>20180612</v>
      </c>
    </row>
    <row r="114" spans="1:10">
      <c r="A114" t="s">
        <v>5754</v>
      </c>
      <c r="B114">
        <v>603667</v>
      </c>
      <c r="C114" t="s">
        <v>5755</v>
      </c>
      <c r="D114" t="s">
        <v>423</v>
      </c>
      <c r="E114" t="s">
        <v>135</v>
      </c>
      <c r="F114" t="s">
        <v>5756</v>
      </c>
      <c r="G114" t="s">
        <v>152</v>
      </c>
      <c r="H114" t="s">
        <v>174</v>
      </c>
      <c r="I114" t="s">
        <v>154</v>
      </c>
      <c r="J114">
        <v>20161025</v>
      </c>
    </row>
    <row r="115" spans="1:10">
      <c r="A115" t="s">
        <v>5757</v>
      </c>
      <c r="B115">
        <v>603680</v>
      </c>
      <c r="C115" t="s">
        <v>5758</v>
      </c>
      <c r="D115" t="s">
        <v>212</v>
      </c>
      <c r="E115" t="s">
        <v>128</v>
      </c>
      <c r="F115" t="s">
        <v>5759</v>
      </c>
      <c r="G115" t="s">
        <v>152</v>
      </c>
      <c r="H115" t="s">
        <v>174</v>
      </c>
      <c r="I115" t="s">
        <v>154</v>
      </c>
      <c r="J115">
        <v>20180227</v>
      </c>
    </row>
    <row r="116" spans="1:10">
      <c r="A116" t="s">
        <v>5760</v>
      </c>
      <c r="B116">
        <v>603698</v>
      </c>
      <c r="C116" t="s">
        <v>5761</v>
      </c>
      <c r="D116" t="s">
        <v>164</v>
      </c>
      <c r="E116" t="s">
        <v>122</v>
      </c>
      <c r="F116" t="s">
        <v>5762</v>
      </c>
      <c r="G116" t="s">
        <v>152</v>
      </c>
      <c r="H116" t="s">
        <v>174</v>
      </c>
      <c r="I116" t="s">
        <v>154</v>
      </c>
      <c r="J116">
        <v>20150128</v>
      </c>
    </row>
    <row r="117" spans="1:10">
      <c r="A117" t="s">
        <v>5763</v>
      </c>
      <c r="B117">
        <v>603699</v>
      </c>
      <c r="C117" t="s">
        <v>5764</v>
      </c>
      <c r="D117" t="s">
        <v>212</v>
      </c>
      <c r="E117" t="s">
        <v>135</v>
      </c>
      <c r="F117" t="s">
        <v>5765</v>
      </c>
      <c r="G117" t="s">
        <v>152</v>
      </c>
      <c r="H117" t="s">
        <v>174</v>
      </c>
      <c r="I117" t="s">
        <v>154</v>
      </c>
      <c r="J117">
        <v>20140117</v>
      </c>
    </row>
    <row r="118" spans="1:10">
      <c r="A118" t="s">
        <v>5766</v>
      </c>
      <c r="B118">
        <v>603757</v>
      </c>
      <c r="C118" t="s">
        <v>5767</v>
      </c>
      <c r="D118" t="s">
        <v>423</v>
      </c>
      <c r="E118" t="s">
        <v>135</v>
      </c>
      <c r="F118" t="s">
        <v>5768</v>
      </c>
      <c r="G118" t="s">
        <v>152</v>
      </c>
      <c r="H118" t="s">
        <v>174</v>
      </c>
      <c r="I118" t="s">
        <v>154</v>
      </c>
      <c r="J118">
        <v>20170711</v>
      </c>
    </row>
    <row r="119" spans="1:10">
      <c r="A119" t="s">
        <v>5769</v>
      </c>
      <c r="B119">
        <v>603789</v>
      </c>
      <c r="C119" t="s">
        <v>5770</v>
      </c>
      <c r="D119" t="s">
        <v>423</v>
      </c>
      <c r="E119" t="s">
        <v>133</v>
      </c>
      <c r="F119" t="s">
        <v>5771</v>
      </c>
      <c r="G119" t="s">
        <v>152</v>
      </c>
      <c r="H119" t="s">
        <v>174</v>
      </c>
      <c r="I119" t="s">
        <v>154</v>
      </c>
      <c r="J119">
        <v>20150427</v>
      </c>
    </row>
    <row r="120" spans="1:10">
      <c r="A120" t="s">
        <v>5772</v>
      </c>
      <c r="B120">
        <v>603800</v>
      </c>
      <c r="C120" t="s">
        <v>5773</v>
      </c>
      <c r="D120" t="s">
        <v>212</v>
      </c>
      <c r="E120" t="s">
        <v>122</v>
      </c>
      <c r="F120" t="s">
        <v>5774</v>
      </c>
      <c r="G120" t="s">
        <v>152</v>
      </c>
      <c r="H120" t="s">
        <v>174</v>
      </c>
      <c r="I120" t="s">
        <v>154</v>
      </c>
      <c r="J120">
        <v>20151210</v>
      </c>
    </row>
    <row r="121" spans="1:10">
      <c r="A121" t="s">
        <v>5775</v>
      </c>
      <c r="B121">
        <v>603855</v>
      </c>
      <c r="C121" t="s">
        <v>5776</v>
      </c>
      <c r="D121" t="s">
        <v>172</v>
      </c>
      <c r="E121" t="s">
        <v>122</v>
      </c>
      <c r="F121" t="s">
        <v>5777</v>
      </c>
      <c r="G121" t="s">
        <v>152</v>
      </c>
      <c r="H121" t="s">
        <v>174</v>
      </c>
      <c r="I121" t="s">
        <v>154</v>
      </c>
      <c r="J121">
        <v>20170524</v>
      </c>
    </row>
    <row r="122" spans="1:10">
      <c r="A122" t="s">
        <v>5778</v>
      </c>
      <c r="B122">
        <v>603859</v>
      </c>
      <c r="C122" t="s">
        <v>5779</v>
      </c>
      <c r="D122" t="s">
        <v>164</v>
      </c>
      <c r="E122" t="s">
        <v>122</v>
      </c>
      <c r="F122" t="s">
        <v>5780</v>
      </c>
      <c r="G122" t="s">
        <v>152</v>
      </c>
      <c r="H122" t="s">
        <v>174</v>
      </c>
      <c r="I122" t="s">
        <v>154</v>
      </c>
      <c r="J122">
        <v>20161021</v>
      </c>
    </row>
    <row r="123" spans="1:10">
      <c r="A123" t="s">
        <v>5781</v>
      </c>
      <c r="B123">
        <v>603895</v>
      </c>
      <c r="C123" t="s">
        <v>5782</v>
      </c>
      <c r="D123" t="s">
        <v>172</v>
      </c>
      <c r="E123" t="s">
        <v>122</v>
      </c>
      <c r="F123" t="s">
        <v>5783</v>
      </c>
      <c r="G123" t="s">
        <v>152</v>
      </c>
      <c r="H123" t="s">
        <v>174</v>
      </c>
      <c r="I123" t="s">
        <v>154</v>
      </c>
      <c r="J123">
        <v>20180122</v>
      </c>
    </row>
    <row r="124" spans="1:10">
      <c r="A124" t="s">
        <v>5784</v>
      </c>
      <c r="B124">
        <v>603901</v>
      </c>
      <c r="C124" t="s">
        <v>5785</v>
      </c>
      <c r="D124" t="s">
        <v>423</v>
      </c>
      <c r="E124" t="s">
        <v>122</v>
      </c>
      <c r="F124" t="s">
        <v>5786</v>
      </c>
      <c r="G124" t="s">
        <v>152</v>
      </c>
      <c r="H124" t="s">
        <v>174</v>
      </c>
      <c r="I124" t="s">
        <v>154</v>
      </c>
      <c r="J124">
        <v>20150529</v>
      </c>
    </row>
    <row r="125" spans="1:10">
      <c r="A125" t="s">
        <v>5787</v>
      </c>
      <c r="B125">
        <v>603912</v>
      </c>
      <c r="C125" t="s">
        <v>5788</v>
      </c>
      <c r="D125" t="s">
        <v>212</v>
      </c>
      <c r="E125" t="s">
        <v>122</v>
      </c>
      <c r="F125" t="s">
        <v>5789</v>
      </c>
      <c r="G125" t="s">
        <v>152</v>
      </c>
      <c r="H125" t="s">
        <v>174</v>
      </c>
      <c r="I125" t="s">
        <v>154</v>
      </c>
      <c r="J125">
        <v>20171101</v>
      </c>
    </row>
    <row r="126" spans="1:10">
      <c r="A126" t="s">
        <v>5790</v>
      </c>
      <c r="B126">
        <v>603915</v>
      </c>
      <c r="C126" t="s">
        <v>5791</v>
      </c>
      <c r="D126" t="s">
        <v>212</v>
      </c>
      <c r="E126" t="s">
        <v>135</v>
      </c>
      <c r="F126" t="s">
        <v>5792</v>
      </c>
      <c r="G126" t="s">
        <v>152</v>
      </c>
      <c r="H126" t="s">
        <v>174</v>
      </c>
      <c r="I126" t="s">
        <v>154</v>
      </c>
      <c r="J126">
        <v>20190614</v>
      </c>
    </row>
    <row r="127" spans="1:10">
      <c r="A127" t="s">
        <v>5793</v>
      </c>
      <c r="B127">
        <v>603956</v>
      </c>
      <c r="C127" t="s">
        <v>5794</v>
      </c>
      <c r="D127" t="s">
        <v>172</v>
      </c>
      <c r="E127" t="s">
        <v>122</v>
      </c>
      <c r="F127" t="s">
        <v>5795</v>
      </c>
      <c r="G127" t="s">
        <v>152</v>
      </c>
      <c r="H127" t="s">
        <v>174</v>
      </c>
      <c r="I127" t="s">
        <v>154</v>
      </c>
      <c r="J127">
        <v>20190222</v>
      </c>
    </row>
    <row r="128" spans="1:10">
      <c r="A128" t="s">
        <v>5796</v>
      </c>
      <c r="B128">
        <v>603966</v>
      </c>
      <c r="C128" t="s">
        <v>5797</v>
      </c>
      <c r="D128" t="s">
        <v>212</v>
      </c>
      <c r="E128" t="s">
        <v>135</v>
      </c>
      <c r="F128" t="s">
        <v>5798</v>
      </c>
      <c r="G128" t="s">
        <v>152</v>
      </c>
      <c r="H128" t="s">
        <v>174</v>
      </c>
      <c r="I128" t="s">
        <v>154</v>
      </c>
      <c r="J128">
        <v>20170125</v>
      </c>
    </row>
    <row r="129" spans="1:10">
      <c r="A129" t="s">
        <v>5799</v>
      </c>
      <c r="B129">
        <v>603985</v>
      </c>
      <c r="C129" t="s">
        <v>5800</v>
      </c>
      <c r="D129" t="s">
        <v>212</v>
      </c>
      <c r="E129" t="s">
        <v>135</v>
      </c>
      <c r="F129" t="s">
        <v>5801</v>
      </c>
      <c r="G129" t="s">
        <v>152</v>
      </c>
      <c r="H129" t="s">
        <v>174</v>
      </c>
      <c r="I129" t="s">
        <v>154</v>
      </c>
      <c r="J129">
        <v>20170505</v>
      </c>
    </row>
    <row r="130" spans="1:10">
      <c r="A130" t="s">
        <v>5802</v>
      </c>
      <c r="B130">
        <v>605001</v>
      </c>
      <c r="C130" t="s">
        <v>5803</v>
      </c>
      <c r="D130" t="s">
        <v>198</v>
      </c>
      <c r="E130" t="s">
        <v>128</v>
      </c>
      <c r="F130" t="s">
        <v>5804</v>
      </c>
      <c r="G130" t="s">
        <v>152</v>
      </c>
      <c r="H130" t="s">
        <v>174</v>
      </c>
      <c r="I130" t="s">
        <v>154</v>
      </c>
      <c r="J130">
        <v>20200522</v>
      </c>
    </row>
    <row r="131" spans="1:10">
      <c r="A131" t="s">
        <v>5805</v>
      </c>
      <c r="B131">
        <v>605060</v>
      </c>
      <c r="C131" t="s">
        <v>5806</v>
      </c>
      <c r="D131" t="s">
        <v>423</v>
      </c>
      <c r="E131" t="s">
        <v>135</v>
      </c>
      <c r="F131" t="s">
        <v>5807</v>
      </c>
      <c r="G131" t="s">
        <v>152</v>
      </c>
      <c r="H131" t="s">
        <v>174</v>
      </c>
      <c r="I131" t="s">
        <v>154</v>
      </c>
      <c r="J131">
        <v>20210301</v>
      </c>
    </row>
    <row r="132" spans="1:10">
      <c r="A132" t="s">
        <v>5808</v>
      </c>
      <c r="B132">
        <v>605100</v>
      </c>
      <c r="C132" t="s">
        <v>5809</v>
      </c>
      <c r="D132" t="s">
        <v>198</v>
      </c>
      <c r="E132" t="s">
        <v>135</v>
      </c>
      <c r="F132" t="s">
        <v>5810</v>
      </c>
      <c r="G132" t="s">
        <v>152</v>
      </c>
      <c r="H132" t="s">
        <v>174</v>
      </c>
      <c r="I132" t="s">
        <v>154</v>
      </c>
      <c r="J132">
        <v>20200811</v>
      </c>
    </row>
    <row r="133" spans="1:10">
      <c r="A133" t="s">
        <v>5811</v>
      </c>
      <c r="B133">
        <v>605259</v>
      </c>
      <c r="C133" t="s">
        <v>5812</v>
      </c>
      <c r="D133" t="s">
        <v>423</v>
      </c>
      <c r="E133" t="s">
        <v>133</v>
      </c>
      <c r="F133" t="s">
        <v>5813</v>
      </c>
      <c r="G133" t="s">
        <v>152</v>
      </c>
      <c r="H133" t="s">
        <v>174</v>
      </c>
      <c r="I133" t="s">
        <v>154</v>
      </c>
      <c r="J133">
        <v>20210615</v>
      </c>
    </row>
    <row r="134" spans="1:10">
      <c r="A134" t="s">
        <v>5814</v>
      </c>
      <c r="B134">
        <v>605286</v>
      </c>
      <c r="C134" t="s">
        <v>5815</v>
      </c>
      <c r="D134" t="s">
        <v>212</v>
      </c>
      <c r="E134" t="s">
        <v>128</v>
      </c>
      <c r="F134" t="s">
        <v>5816</v>
      </c>
      <c r="G134" t="s">
        <v>152</v>
      </c>
      <c r="H134" t="s">
        <v>174</v>
      </c>
      <c r="I134" t="s">
        <v>154</v>
      </c>
      <c r="J134">
        <v>20210322</v>
      </c>
    </row>
    <row r="135" spans="1:10">
      <c r="A135" t="s">
        <v>5817</v>
      </c>
      <c r="B135">
        <v>605298</v>
      </c>
      <c r="C135" t="s">
        <v>5818</v>
      </c>
      <c r="D135" t="s">
        <v>212</v>
      </c>
      <c r="E135" t="s">
        <v>128</v>
      </c>
      <c r="F135" t="s">
        <v>5819</v>
      </c>
      <c r="G135" t="s">
        <v>152</v>
      </c>
      <c r="H135" t="s">
        <v>174</v>
      </c>
      <c r="I135" t="s">
        <v>154</v>
      </c>
      <c r="J135">
        <v>20210301</v>
      </c>
    </row>
    <row r="136" spans="1:10">
      <c r="A136" t="s">
        <v>5820</v>
      </c>
      <c r="B136">
        <v>605305</v>
      </c>
      <c r="C136" t="s">
        <v>5821</v>
      </c>
      <c r="D136" t="s">
        <v>164</v>
      </c>
      <c r="E136" t="s">
        <v>122</v>
      </c>
      <c r="F136" t="s">
        <v>5822</v>
      </c>
      <c r="G136" t="s">
        <v>152</v>
      </c>
      <c r="H136" t="s">
        <v>174</v>
      </c>
      <c r="I136" t="s">
        <v>154</v>
      </c>
      <c r="J136">
        <v>20210506</v>
      </c>
    </row>
    <row r="137" spans="1:10">
      <c r="A137" t="s">
        <v>5823</v>
      </c>
      <c r="B137">
        <v>605389</v>
      </c>
      <c r="C137" t="s">
        <v>5824</v>
      </c>
      <c r="D137" t="s">
        <v>212</v>
      </c>
      <c r="E137" t="s">
        <v>135</v>
      </c>
      <c r="F137" t="s">
        <v>5825</v>
      </c>
      <c r="G137" t="s">
        <v>152</v>
      </c>
      <c r="H137" t="s">
        <v>174</v>
      </c>
      <c r="I137" t="s">
        <v>154</v>
      </c>
      <c r="J137">
        <v>20210322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workbookViewId="0">
      <selection activeCell="H23" sqref="H23"/>
    </sheetView>
  </sheetViews>
  <sheetFormatPr defaultColWidth="9" defaultRowHeight="13.5"/>
  <cols>
    <col min="6" max="6" width="14.875" customWidth="1"/>
    <col min="13" max="13" width="15.5" customWidth="1"/>
  </cols>
  <sheetData>
    <row r="1" spans="1:10">
      <c r="A1" t="s">
        <v>5826</v>
      </c>
      <c r="B1">
        <v>4</v>
      </c>
      <c r="C1" t="s">
        <v>5827</v>
      </c>
      <c r="D1" t="s">
        <v>243</v>
      </c>
      <c r="E1" t="s">
        <v>123</v>
      </c>
      <c r="F1" t="s">
        <v>5828</v>
      </c>
      <c r="G1" t="s">
        <v>152</v>
      </c>
      <c r="H1" t="s">
        <v>153</v>
      </c>
      <c r="I1" t="s">
        <v>154</v>
      </c>
      <c r="J1">
        <v>19910114</v>
      </c>
    </row>
    <row r="2" spans="1:10">
      <c r="A2" t="s">
        <v>5829</v>
      </c>
      <c r="B2">
        <v>34</v>
      </c>
      <c r="C2" t="s">
        <v>5830</v>
      </c>
      <c r="D2" t="s">
        <v>243</v>
      </c>
      <c r="E2" t="s">
        <v>123</v>
      </c>
      <c r="F2" t="s">
        <v>5831</v>
      </c>
      <c r="G2" t="s">
        <v>152</v>
      </c>
      <c r="H2" t="s">
        <v>153</v>
      </c>
      <c r="I2" t="s">
        <v>154</v>
      </c>
      <c r="J2">
        <v>19940509</v>
      </c>
    </row>
    <row r="3" spans="1:14">
      <c r="A3" t="s">
        <v>5832</v>
      </c>
      <c r="B3">
        <v>158</v>
      </c>
      <c r="C3" t="s">
        <v>5833</v>
      </c>
      <c r="D3" t="s">
        <v>279</v>
      </c>
      <c r="E3" t="s">
        <v>123</v>
      </c>
      <c r="F3" t="s">
        <v>5834</v>
      </c>
      <c r="G3" t="s">
        <v>152</v>
      </c>
      <c r="H3" t="s">
        <v>153</v>
      </c>
      <c r="I3" t="s">
        <v>154</v>
      </c>
      <c r="J3">
        <v>20000724</v>
      </c>
      <c r="M3" t="s">
        <v>4129</v>
      </c>
      <c r="N3">
        <v>68</v>
      </c>
    </row>
    <row r="4" spans="1:14">
      <c r="A4" t="s">
        <v>5835</v>
      </c>
      <c r="B4">
        <v>409</v>
      </c>
      <c r="C4" t="s">
        <v>5836</v>
      </c>
      <c r="D4" t="s">
        <v>198</v>
      </c>
      <c r="E4" t="s">
        <v>123</v>
      </c>
      <c r="F4" t="s">
        <v>5837</v>
      </c>
      <c r="G4" t="s">
        <v>152</v>
      </c>
      <c r="H4" t="s">
        <v>153</v>
      </c>
      <c r="I4" t="s">
        <v>154</v>
      </c>
      <c r="J4">
        <v>19960627</v>
      </c>
      <c r="M4" t="s">
        <v>4133</v>
      </c>
      <c r="N4" s="2">
        <f ca="1">CEILING(RAND()*N3,1)</f>
        <v>30</v>
      </c>
    </row>
    <row r="5" spans="1:10">
      <c r="A5" t="s">
        <v>5838</v>
      </c>
      <c r="B5">
        <v>503</v>
      </c>
      <c r="C5" t="s">
        <v>5839</v>
      </c>
      <c r="D5" t="s">
        <v>198</v>
      </c>
      <c r="E5" t="s">
        <v>123</v>
      </c>
      <c r="F5" t="s">
        <v>5840</v>
      </c>
      <c r="G5" t="s">
        <v>152</v>
      </c>
      <c r="H5" t="s">
        <v>153</v>
      </c>
      <c r="I5" t="s">
        <v>154</v>
      </c>
      <c r="J5">
        <v>19921130</v>
      </c>
    </row>
    <row r="6" spans="1:10">
      <c r="A6" t="s">
        <v>5841</v>
      </c>
      <c r="B6">
        <v>555</v>
      </c>
      <c r="C6" t="s">
        <v>5842</v>
      </c>
      <c r="D6" t="s">
        <v>243</v>
      </c>
      <c r="E6" t="s">
        <v>123</v>
      </c>
      <c r="F6" t="s">
        <v>5843</v>
      </c>
      <c r="G6" t="s">
        <v>152</v>
      </c>
      <c r="H6" t="s">
        <v>153</v>
      </c>
      <c r="I6" t="s">
        <v>154</v>
      </c>
      <c r="J6">
        <v>19940408</v>
      </c>
    </row>
    <row r="7" spans="1:10">
      <c r="A7" t="s">
        <v>5844</v>
      </c>
      <c r="B7">
        <v>606</v>
      </c>
      <c r="C7" t="s">
        <v>5845</v>
      </c>
      <c r="D7" t="s">
        <v>308</v>
      </c>
      <c r="E7" t="s">
        <v>116</v>
      </c>
      <c r="F7" t="s">
        <v>5846</v>
      </c>
      <c r="G7" t="s">
        <v>152</v>
      </c>
      <c r="H7" t="s">
        <v>153</v>
      </c>
      <c r="I7" t="s">
        <v>154</v>
      </c>
      <c r="J7">
        <v>19961004</v>
      </c>
    </row>
    <row r="8" spans="1:10">
      <c r="A8" t="s">
        <v>5847</v>
      </c>
      <c r="B8">
        <v>638</v>
      </c>
      <c r="C8" t="s">
        <v>5848</v>
      </c>
      <c r="D8" t="s">
        <v>312</v>
      </c>
      <c r="E8" t="s">
        <v>123</v>
      </c>
      <c r="F8" t="s">
        <v>5849</v>
      </c>
      <c r="G8" t="s">
        <v>152</v>
      </c>
      <c r="H8" t="s">
        <v>153</v>
      </c>
      <c r="I8" t="s">
        <v>154</v>
      </c>
      <c r="J8">
        <v>19961126</v>
      </c>
    </row>
    <row r="9" spans="1:10">
      <c r="A9" t="s">
        <v>5850</v>
      </c>
      <c r="B9">
        <v>676</v>
      </c>
      <c r="C9" t="s">
        <v>5851</v>
      </c>
      <c r="D9" t="s">
        <v>223</v>
      </c>
      <c r="E9" t="s">
        <v>116</v>
      </c>
      <c r="F9" t="s">
        <v>5852</v>
      </c>
      <c r="G9" t="s">
        <v>152</v>
      </c>
      <c r="H9" t="s">
        <v>153</v>
      </c>
      <c r="I9" t="s">
        <v>154</v>
      </c>
      <c r="J9">
        <v>19961224</v>
      </c>
    </row>
    <row r="10" spans="1:10">
      <c r="A10" t="s">
        <v>5853</v>
      </c>
      <c r="B10">
        <v>681</v>
      </c>
      <c r="C10" t="s">
        <v>5854</v>
      </c>
      <c r="D10" t="s">
        <v>212</v>
      </c>
      <c r="E10" t="s">
        <v>116</v>
      </c>
      <c r="F10" t="s">
        <v>5855</v>
      </c>
      <c r="G10" t="s">
        <v>152</v>
      </c>
      <c r="H10" t="s">
        <v>153</v>
      </c>
      <c r="I10" t="s">
        <v>154</v>
      </c>
      <c r="J10">
        <v>19970121</v>
      </c>
    </row>
    <row r="11" spans="1:10">
      <c r="A11" t="s">
        <v>5856</v>
      </c>
      <c r="B11">
        <v>938</v>
      </c>
      <c r="C11" t="s">
        <v>5857</v>
      </c>
      <c r="D11" t="s">
        <v>164</v>
      </c>
      <c r="E11" t="s">
        <v>123</v>
      </c>
      <c r="F11" t="s">
        <v>5858</v>
      </c>
      <c r="G11" t="s">
        <v>152</v>
      </c>
      <c r="H11" t="s">
        <v>153</v>
      </c>
      <c r="I11" t="s">
        <v>154</v>
      </c>
      <c r="J11">
        <v>19991104</v>
      </c>
    </row>
    <row r="12" spans="1:10">
      <c r="A12" t="s">
        <v>5859</v>
      </c>
      <c r="B12">
        <v>948</v>
      </c>
      <c r="C12" t="s">
        <v>5860</v>
      </c>
      <c r="D12" t="s">
        <v>184</v>
      </c>
      <c r="E12" t="s">
        <v>123</v>
      </c>
      <c r="F12" t="s">
        <v>5861</v>
      </c>
      <c r="G12" t="s">
        <v>152</v>
      </c>
      <c r="H12" t="s">
        <v>153</v>
      </c>
      <c r="I12" t="s">
        <v>154</v>
      </c>
      <c r="J12">
        <v>19991014</v>
      </c>
    </row>
    <row r="13" spans="1:10">
      <c r="A13" t="s">
        <v>5862</v>
      </c>
      <c r="B13">
        <v>971</v>
      </c>
      <c r="C13" t="s">
        <v>5863</v>
      </c>
      <c r="D13" t="s">
        <v>316</v>
      </c>
      <c r="E13" t="s">
        <v>116</v>
      </c>
      <c r="F13" t="s">
        <v>5864</v>
      </c>
      <c r="G13" t="s">
        <v>152</v>
      </c>
      <c r="H13" t="s">
        <v>153</v>
      </c>
      <c r="I13" t="s">
        <v>154</v>
      </c>
      <c r="J13">
        <v>20000427</v>
      </c>
    </row>
    <row r="14" spans="1:10">
      <c r="A14" t="s">
        <v>5865</v>
      </c>
      <c r="B14">
        <v>997</v>
      </c>
      <c r="C14" t="s">
        <v>5866</v>
      </c>
      <c r="D14" t="s">
        <v>150</v>
      </c>
      <c r="E14" t="s">
        <v>123</v>
      </c>
      <c r="F14" t="s">
        <v>5867</v>
      </c>
      <c r="G14" t="s">
        <v>152</v>
      </c>
      <c r="H14" t="s">
        <v>153</v>
      </c>
      <c r="I14" t="s">
        <v>154</v>
      </c>
      <c r="J14">
        <v>20000807</v>
      </c>
    </row>
    <row r="15" spans="1:10">
      <c r="A15" t="s">
        <v>5868</v>
      </c>
      <c r="B15">
        <v>600070</v>
      </c>
      <c r="C15" t="s">
        <v>5869</v>
      </c>
      <c r="D15" t="s">
        <v>423</v>
      </c>
      <c r="E15" t="s">
        <v>116</v>
      </c>
      <c r="F15" t="s">
        <v>5870</v>
      </c>
      <c r="G15" t="s">
        <v>152</v>
      </c>
      <c r="H15" t="s">
        <v>174</v>
      </c>
      <c r="I15" t="s">
        <v>154</v>
      </c>
      <c r="J15">
        <v>19970604</v>
      </c>
    </row>
    <row r="16" spans="1:10">
      <c r="A16" t="s">
        <v>5871</v>
      </c>
      <c r="B16">
        <v>600225</v>
      </c>
      <c r="C16" t="s">
        <v>5872</v>
      </c>
      <c r="D16" t="s">
        <v>576</v>
      </c>
      <c r="E16" t="s">
        <v>123</v>
      </c>
      <c r="F16" t="s">
        <v>5873</v>
      </c>
      <c r="G16" t="s">
        <v>152</v>
      </c>
      <c r="H16" t="s">
        <v>174</v>
      </c>
      <c r="I16" t="s">
        <v>154</v>
      </c>
      <c r="J16">
        <v>20000127</v>
      </c>
    </row>
    <row r="17" spans="1:10">
      <c r="A17" t="s">
        <v>5874</v>
      </c>
      <c r="B17">
        <v>600226</v>
      </c>
      <c r="C17" t="s">
        <v>5875</v>
      </c>
      <c r="D17" t="s">
        <v>423</v>
      </c>
      <c r="E17" t="s">
        <v>116</v>
      </c>
      <c r="F17" t="s">
        <v>5876</v>
      </c>
      <c r="G17" t="s">
        <v>152</v>
      </c>
      <c r="H17" t="s">
        <v>174</v>
      </c>
      <c r="I17" t="s">
        <v>154</v>
      </c>
      <c r="J17">
        <v>19991116</v>
      </c>
    </row>
    <row r="18" spans="1:10">
      <c r="A18" t="s">
        <v>5877</v>
      </c>
      <c r="B18">
        <v>600228</v>
      </c>
      <c r="C18" t="s">
        <v>5878</v>
      </c>
      <c r="D18" t="s">
        <v>406</v>
      </c>
      <c r="E18" t="s">
        <v>116</v>
      </c>
      <c r="F18" t="s">
        <v>5879</v>
      </c>
      <c r="G18" t="s">
        <v>152</v>
      </c>
      <c r="H18" t="s">
        <v>174</v>
      </c>
      <c r="I18" t="s">
        <v>154</v>
      </c>
      <c r="J18">
        <v>19990119</v>
      </c>
    </row>
    <row r="19" spans="1:10">
      <c r="A19" t="s">
        <v>5880</v>
      </c>
      <c r="B19">
        <v>600242</v>
      </c>
      <c r="C19" t="s">
        <v>5881</v>
      </c>
      <c r="D19" t="s">
        <v>223</v>
      </c>
      <c r="E19" t="s">
        <v>123</v>
      </c>
      <c r="F19" t="s">
        <v>5882</v>
      </c>
      <c r="G19" t="s">
        <v>152</v>
      </c>
      <c r="H19" t="s">
        <v>174</v>
      </c>
      <c r="I19" t="s">
        <v>154</v>
      </c>
      <c r="J19">
        <v>20001207</v>
      </c>
    </row>
    <row r="20" spans="1:10">
      <c r="A20" s="1" t="s">
        <v>5883</v>
      </c>
      <c r="B20" s="1">
        <v>600271</v>
      </c>
      <c r="C20" s="1" t="s">
        <v>5884</v>
      </c>
      <c r="D20" s="1" t="s">
        <v>164</v>
      </c>
      <c r="E20" s="1" t="s">
        <v>123</v>
      </c>
      <c r="F20" s="1" t="s">
        <v>5885</v>
      </c>
      <c r="G20" s="1" t="s">
        <v>152</v>
      </c>
      <c r="H20" s="1" t="s">
        <v>174</v>
      </c>
      <c r="I20" s="1" t="s">
        <v>154</v>
      </c>
      <c r="J20" s="1">
        <v>20030711</v>
      </c>
    </row>
    <row r="21" spans="1:10">
      <c r="A21" t="s">
        <v>5886</v>
      </c>
      <c r="B21">
        <v>600289</v>
      </c>
      <c r="C21" t="s">
        <v>5887</v>
      </c>
      <c r="D21" t="s">
        <v>194</v>
      </c>
      <c r="E21" t="s">
        <v>123</v>
      </c>
      <c r="F21" t="s">
        <v>5888</v>
      </c>
      <c r="G21" t="s">
        <v>152</v>
      </c>
      <c r="H21" t="s">
        <v>174</v>
      </c>
      <c r="I21" t="s">
        <v>154</v>
      </c>
      <c r="J21">
        <v>20000720</v>
      </c>
    </row>
    <row r="22" spans="1:10">
      <c r="A22" t="s">
        <v>5889</v>
      </c>
      <c r="B22">
        <v>600410</v>
      </c>
      <c r="C22" t="s">
        <v>5890</v>
      </c>
      <c r="D22" t="s">
        <v>164</v>
      </c>
      <c r="E22" t="s">
        <v>123</v>
      </c>
      <c r="F22" t="s">
        <v>5891</v>
      </c>
      <c r="G22" t="s">
        <v>152</v>
      </c>
      <c r="H22" t="s">
        <v>174</v>
      </c>
      <c r="I22" t="s">
        <v>154</v>
      </c>
      <c r="J22">
        <v>20040427</v>
      </c>
    </row>
    <row r="23" spans="1:10">
      <c r="A23" t="s">
        <v>5892</v>
      </c>
      <c r="B23">
        <v>600446</v>
      </c>
      <c r="C23" t="s">
        <v>5893</v>
      </c>
      <c r="D23" t="s">
        <v>243</v>
      </c>
      <c r="E23" t="s">
        <v>123</v>
      </c>
      <c r="F23" t="s">
        <v>5894</v>
      </c>
      <c r="G23" t="s">
        <v>152</v>
      </c>
      <c r="H23" t="s">
        <v>174</v>
      </c>
      <c r="I23" t="s">
        <v>154</v>
      </c>
      <c r="J23">
        <v>20031224</v>
      </c>
    </row>
    <row r="24" spans="1:10">
      <c r="A24" s="3" t="s">
        <v>5895</v>
      </c>
      <c r="B24" s="3">
        <v>600476</v>
      </c>
      <c r="C24" s="3" t="s">
        <v>5896</v>
      </c>
      <c r="D24" s="3" t="s">
        <v>168</v>
      </c>
      <c r="E24" s="3" t="s">
        <v>123</v>
      </c>
      <c r="F24" s="3" t="s">
        <v>5897</v>
      </c>
      <c r="G24" s="3" t="s">
        <v>152</v>
      </c>
      <c r="H24" s="3" t="s">
        <v>174</v>
      </c>
      <c r="I24" s="3" t="s">
        <v>154</v>
      </c>
      <c r="J24" s="3">
        <v>20031210</v>
      </c>
    </row>
    <row r="25" spans="1:10">
      <c r="A25" t="s">
        <v>5898</v>
      </c>
      <c r="B25">
        <v>600536</v>
      </c>
      <c r="C25" t="s">
        <v>5899</v>
      </c>
      <c r="D25" t="s">
        <v>164</v>
      </c>
      <c r="E25" t="s">
        <v>123</v>
      </c>
      <c r="F25" t="s">
        <v>5900</v>
      </c>
      <c r="G25" t="s">
        <v>152</v>
      </c>
      <c r="H25" t="s">
        <v>174</v>
      </c>
      <c r="I25" t="s">
        <v>154</v>
      </c>
      <c r="J25">
        <v>20020517</v>
      </c>
    </row>
    <row r="26" spans="1:10">
      <c r="A26" t="s">
        <v>5901</v>
      </c>
      <c r="B26">
        <v>600539</v>
      </c>
      <c r="C26" t="s">
        <v>5902</v>
      </c>
      <c r="D26" t="s">
        <v>557</v>
      </c>
      <c r="E26" t="s">
        <v>116</v>
      </c>
      <c r="F26" t="s">
        <v>5903</v>
      </c>
      <c r="G26" t="s">
        <v>152</v>
      </c>
      <c r="H26" t="s">
        <v>174</v>
      </c>
      <c r="I26" t="s">
        <v>154</v>
      </c>
      <c r="J26">
        <v>20010824</v>
      </c>
    </row>
    <row r="27" spans="1:10">
      <c r="A27" t="s">
        <v>5904</v>
      </c>
      <c r="B27">
        <v>600556</v>
      </c>
      <c r="C27" t="s">
        <v>5905</v>
      </c>
      <c r="D27" t="s">
        <v>345</v>
      </c>
      <c r="E27" t="s">
        <v>116</v>
      </c>
      <c r="F27" t="s">
        <v>5906</v>
      </c>
      <c r="G27" t="s">
        <v>152</v>
      </c>
      <c r="H27" t="s">
        <v>174</v>
      </c>
      <c r="I27" t="s">
        <v>154</v>
      </c>
      <c r="J27">
        <v>20010807</v>
      </c>
    </row>
    <row r="28" spans="1:10">
      <c r="A28" t="s">
        <v>5907</v>
      </c>
      <c r="B28">
        <v>600570</v>
      </c>
      <c r="C28" t="s">
        <v>5908</v>
      </c>
      <c r="D28" t="s">
        <v>423</v>
      </c>
      <c r="E28" t="s">
        <v>123</v>
      </c>
      <c r="F28" t="s">
        <v>5909</v>
      </c>
      <c r="G28" t="s">
        <v>152</v>
      </c>
      <c r="H28" t="s">
        <v>174</v>
      </c>
      <c r="I28" t="s">
        <v>154</v>
      </c>
      <c r="J28">
        <v>20031216</v>
      </c>
    </row>
    <row r="29" spans="1:10">
      <c r="A29" t="s">
        <v>5910</v>
      </c>
      <c r="B29">
        <v>600571</v>
      </c>
      <c r="C29" t="s">
        <v>5911</v>
      </c>
      <c r="D29" t="s">
        <v>423</v>
      </c>
      <c r="E29" t="s">
        <v>123</v>
      </c>
      <c r="F29" t="s">
        <v>5912</v>
      </c>
      <c r="G29" t="s">
        <v>152</v>
      </c>
      <c r="H29" t="s">
        <v>174</v>
      </c>
      <c r="I29" t="s">
        <v>154</v>
      </c>
      <c r="J29">
        <v>20021101</v>
      </c>
    </row>
    <row r="30" spans="1:10">
      <c r="A30" t="s">
        <v>5913</v>
      </c>
      <c r="B30">
        <v>600588</v>
      </c>
      <c r="C30" t="s">
        <v>5914</v>
      </c>
      <c r="D30" t="s">
        <v>164</v>
      </c>
      <c r="E30" t="s">
        <v>123</v>
      </c>
      <c r="F30" t="s">
        <v>5915</v>
      </c>
      <c r="G30" t="s">
        <v>152</v>
      </c>
      <c r="H30" t="s">
        <v>174</v>
      </c>
      <c r="I30" t="s">
        <v>154</v>
      </c>
      <c r="J30">
        <v>20010518</v>
      </c>
    </row>
    <row r="31" spans="1:10">
      <c r="A31" t="s">
        <v>5916</v>
      </c>
      <c r="B31">
        <v>600602</v>
      </c>
      <c r="C31" t="s">
        <v>5917</v>
      </c>
      <c r="D31" t="s">
        <v>172</v>
      </c>
      <c r="E31" t="s">
        <v>123</v>
      </c>
      <c r="F31" t="s">
        <v>5918</v>
      </c>
      <c r="G31" t="s">
        <v>152</v>
      </c>
      <c r="H31" t="s">
        <v>174</v>
      </c>
      <c r="I31" t="s">
        <v>154</v>
      </c>
      <c r="J31">
        <v>19901219</v>
      </c>
    </row>
    <row r="32" spans="1:10">
      <c r="A32" t="s">
        <v>5919</v>
      </c>
      <c r="B32">
        <v>600633</v>
      </c>
      <c r="C32" t="s">
        <v>5920</v>
      </c>
      <c r="D32" t="s">
        <v>423</v>
      </c>
      <c r="E32" t="s">
        <v>116</v>
      </c>
      <c r="F32" t="s">
        <v>5921</v>
      </c>
      <c r="G32" t="s">
        <v>152</v>
      </c>
      <c r="H32" t="s">
        <v>174</v>
      </c>
      <c r="I32" t="s">
        <v>154</v>
      </c>
      <c r="J32">
        <v>19930304</v>
      </c>
    </row>
    <row r="33" spans="1:10">
      <c r="A33" t="s">
        <v>5922</v>
      </c>
      <c r="B33">
        <v>600654</v>
      </c>
      <c r="C33" t="s">
        <v>5923</v>
      </c>
      <c r="D33" t="s">
        <v>316</v>
      </c>
      <c r="E33" t="s">
        <v>123</v>
      </c>
      <c r="F33" t="s">
        <v>5924</v>
      </c>
      <c r="G33" t="s">
        <v>152</v>
      </c>
      <c r="H33" t="s">
        <v>174</v>
      </c>
      <c r="I33" t="s">
        <v>154</v>
      </c>
      <c r="J33">
        <v>19901219</v>
      </c>
    </row>
    <row r="34" spans="1:10">
      <c r="A34" t="s">
        <v>5925</v>
      </c>
      <c r="B34">
        <v>600718</v>
      </c>
      <c r="C34" t="s">
        <v>5926</v>
      </c>
      <c r="D34" t="s">
        <v>236</v>
      </c>
      <c r="E34" t="s">
        <v>123</v>
      </c>
      <c r="F34" t="s">
        <v>5927</v>
      </c>
      <c r="G34" t="s">
        <v>152</v>
      </c>
      <c r="H34" t="s">
        <v>174</v>
      </c>
      <c r="I34" t="s">
        <v>154</v>
      </c>
      <c r="J34">
        <v>19960618</v>
      </c>
    </row>
    <row r="35" spans="1:10">
      <c r="A35" t="s">
        <v>5928</v>
      </c>
      <c r="B35">
        <v>600728</v>
      </c>
      <c r="C35" t="s">
        <v>5929</v>
      </c>
      <c r="D35" t="s">
        <v>223</v>
      </c>
      <c r="E35" t="s">
        <v>123</v>
      </c>
      <c r="F35" t="s">
        <v>5930</v>
      </c>
      <c r="G35" t="s">
        <v>152</v>
      </c>
      <c r="H35" t="s">
        <v>174</v>
      </c>
      <c r="I35" t="s">
        <v>154</v>
      </c>
      <c r="J35">
        <v>19960716</v>
      </c>
    </row>
    <row r="36" spans="1:10">
      <c r="A36" t="s">
        <v>5931</v>
      </c>
      <c r="B36">
        <v>600756</v>
      </c>
      <c r="C36" t="s">
        <v>5932</v>
      </c>
      <c r="D36" t="s">
        <v>198</v>
      </c>
      <c r="E36" t="s">
        <v>123</v>
      </c>
      <c r="F36" t="s">
        <v>5933</v>
      </c>
      <c r="G36" t="s">
        <v>152</v>
      </c>
      <c r="H36" t="s">
        <v>174</v>
      </c>
      <c r="I36" t="s">
        <v>154</v>
      </c>
      <c r="J36">
        <v>19960923</v>
      </c>
    </row>
    <row r="37" spans="1:10">
      <c r="A37" t="s">
        <v>5934</v>
      </c>
      <c r="B37">
        <v>600797</v>
      </c>
      <c r="C37" t="s">
        <v>5935</v>
      </c>
      <c r="D37" t="s">
        <v>423</v>
      </c>
      <c r="E37" t="s">
        <v>123</v>
      </c>
      <c r="F37" t="s">
        <v>5936</v>
      </c>
      <c r="G37" t="s">
        <v>152</v>
      </c>
      <c r="H37" t="s">
        <v>174</v>
      </c>
      <c r="I37" t="s">
        <v>154</v>
      </c>
      <c r="J37">
        <v>19970418</v>
      </c>
    </row>
    <row r="38" spans="1:10">
      <c r="A38" t="s">
        <v>5937</v>
      </c>
      <c r="B38">
        <v>600845</v>
      </c>
      <c r="C38" t="s">
        <v>5938</v>
      </c>
      <c r="D38" t="s">
        <v>172</v>
      </c>
      <c r="E38" t="s">
        <v>123</v>
      </c>
      <c r="F38" t="s">
        <v>5939</v>
      </c>
      <c r="G38" t="s">
        <v>152</v>
      </c>
      <c r="H38" t="s">
        <v>174</v>
      </c>
      <c r="I38" t="s">
        <v>154</v>
      </c>
      <c r="J38">
        <v>19940311</v>
      </c>
    </row>
    <row r="39" spans="1:10">
      <c r="A39" t="s">
        <v>5940</v>
      </c>
      <c r="B39">
        <v>600850</v>
      </c>
      <c r="C39" t="s">
        <v>5941</v>
      </c>
      <c r="D39" t="s">
        <v>172</v>
      </c>
      <c r="E39" t="s">
        <v>123</v>
      </c>
      <c r="F39" t="s">
        <v>5942</v>
      </c>
      <c r="G39" t="s">
        <v>152</v>
      </c>
      <c r="H39" t="s">
        <v>174</v>
      </c>
      <c r="I39" t="s">
        <v>154</v>
      </c>
      <c r="J39">
        <v>19940324</v>
      </c>
    </row>
    <row r="40" spans="1:10">
      <c r="A40" t="s">
        <v>5943</v>
      </c>
      <c r="B40">
        <v>600868</v>
      </c>
      <c r="C40" t="s">
        <v>5944</v>
      </c>
      <c r="D40" t="s">
        <v>223</v>
      </c>
      <c r="E40" t="s">
        <v>123</v>
      </c>
      <c r="F40" t="s">
        <v>5945</v>
      </c>
      <c r="G40" t="s">
        <v>152</v>
      </c>
      <c r="H40" t="s">
        <v>174</v>
      </c>
      <c r="I40" t="s">
        <v>154</v>
      </c>
      <c r="J40">
        <v>19940912</v>
      </c>
    </row>
    <row r="41" spans="1:10">
      <c r="A41" s="3" t="s">
        <v>5946</v>
      </c>
      <c r="B41" s="3">
        <v>600986</v>
      </c>
      <c r="C41" s="3" t="s">
        <v>5947</v>
      </c>
      <c r="D41" s="3" t="s">
        <v>423</v>
      </c>
      <c r="E41" s="3" t="s">
        <v>116</v>
      </c>
      <c r="F41" s="3" t="s">
        <v>5948</v>
      </c>
      <c r="G41" s="3" t="s">
        <v>152</v>
      </c>
      <c r="H41" s="3" t="s">
        <v>174</v>
      </c>
      <c r="I41" s="3" t="s">
        <v>154</v>
      </c>
      <c r="J41" s="3">
        <v>20040426</v>
      </c>
    </row>
    <row r="42" spans="1:10">
      <c r="A42" t="s">
        <v>5949</v>
      </c>
      <c r="B42">
        <v>601113</v>
      </c>
      <c r="C42" t="s">
        <v>5950</v>
      </c>
      <c r="D42" t="s">
        <v>423</v>
      </c>
      <c r="E42" t="s">
        <v>116</v>
      </c>
      <c r="F42" t="s">
        <v>5951</v>
      </c>
      <c r="G42" t="s">
        <v>152</v>
      </c>
      <c r="H42" t="s">
        <v>174</v>
      </c>
      <c r="I42" t="s">
        <v>154</v>
      </c>
      <c r="J42">
        <v>20110509</v>
      </c>
    </row>
    <row r="43" spans="1:10">
      <c r="A43" s="3" t="s">
        <v>5952</v>
      </c>
      <c r="B43" s="3">
        <v>601360</v>
      </c>
      <c r="C43" s="3" t="s">
        <v>5953</v>
      </c>
      <c r="D43" s="3" t="s">
        <v>576</v>
      </c>
      <c r="E43" s="3" t="s">
        <v>116</v>
      </c>
      <c r="F43" s="3" t="s">
        <v>5954</v>
      </c>
      <c r="G43" s="3" t="s">
        <v>152</v>
      </c>
      <c r="H43" s="3" t="s">
        <v>174</v>
      </c>
      <c r="I43" s="3" t="s">
        <v>154</v>
      </c>
      <c r="J43" s="3">
        <v>20120116</v>
      </c>
    </row>
    <row r="44" spans="1:10">
      <c r="A44" t="s">
        <v>5955</v>
      </c>
      <c r="B44">
        <v>601519</v>
      </c>
      <c r="C44" t="s">
        <v>5956</v>
      </c>
      <c r="D44" t="s">
        <v>172</v>
      </c>
      <c r="E44" t="s">
        <v>123</v>
      </c>
      <c r="F44" t="s">
        <v>5957</v>
      </c>
      <c r="G44" t="s">
        <v>152</v>
      </c>
      <c r="H44" t="s">
        <v>174</v>
      </c>
      <c r="I44" t="s">
        <v>154</v>
      </c>
      <c r="J44">
        <v>20110128</v>
      </c>
    </row>
    <row r="45" spans="1:10">
      <c r="A45" t="s">
        <v>5958</v>
      </c>
      <c r="B45">
        <v>603000</v>
      </c>
      <c r="C45" t="s">
        <v>5959</v>
      </c>
      <c r="D45" t="s">
        <v>164</v>
      </c>
      <c r="E45" t="s">
        <v>116</v>
      </c>
      <c r="F45" t="s">
        <v>5960</v>
      </c>
      <c r="G45" t="s">
        <v>152</v>
      </c>
      <c r="H45" t="s">
        <v>174</v>
      </c>
      <c r="I45" t="s">
        <v>154</v>
      </c>
      <c r="J45">
        <v>20120427</v>
      </c>
    </row>
    <row r="46" spans="1:10">
      <c r="A46" t="s">
        <v>5961</v>
      </c>
      <c r="B46">
        <v>603039</v>
      </c>
      <c r="C46" t="s">
        <v>5962</v>
      </c>
      <c r="D46" t="s">
        <v>172</v>
      </c>
      <c r="E46" t="s">
        <v>123</v>
      </c>
      <c r="F46" t="s">
        <v>5963</v>
      </c>
      <c r="G46" t="s">
        <v>152</v>
      </c>
      <c r="H46" t="s">
        <v>174</v>
      </c>
      <c r="I46" t="s">
        <v>154</v>
      </c>
      <c r="J46">
        <v>20170113</v>
      </c>
    </row>
    <row r="47" spans="1:10">
      <c r="A47" t="s">
        <v>5964</v>
      </c>
      <c r="B47">
        <v>603138</v>
      </c>
      <c r="C47" t="s">
        <v>5965</v>
      </c>
      <c r="D47" t="s">
        <v>164</v>
      </c>
      <c r="E47" t="s">
        <v>123</v>
      </c>
      <c r="F47" t="s">
        <v>5966</v>
      </c>
      <c r="G47" t="s">
        <v>152</v>
      </c>
      <c r="H47" t="s">
        <v>174</v>
      </c>
      <c r="I47" t="s">
        <v>154</v>
      </c>
      <c r="J47">
        <v>20170306</v>
      </c>
    </row>
    <row r="48" spans="1:10">
      <c r="A48" s="3" t="s">
        <v>5967</v>
      </c>
      <c r="B48" s="3">
        <v>603171</v>
      </c>
      <c r="C48" s="3" t="s">
        <v>5968</v>
      </c>
      <c r="D48" s="3" t="s">
        <v>423</v>
      </c>
      <c r="E48" s="3" t="s">
        <v>123</v>
      </c>
      <c r="F48" s="3" t="s">
        <v>5969</v>
      </c>
      <c r="G48" s="3" t="s">
        <v>152</v>
      </c>
      <c r="H48" s="3" t="s">
        <v>174</v>
      </c>
      <c r="I48" s="3" t="s">
        <v>154</v>
      </c>
      <c r="J48" s="3">
        <v>20210630</v>
      </c>
    </row>
    <row r="49" spans="1:10">
      <c r="A49" t="s">
        <v>5970</v>
      </c>
      <c r="B49">
        <v>603189</v>
      </c>
      <c r="C49" t="s">
        <v>5971</v>
      </c>
      <c r="D49" t="s">
        <v>172</v>
      </c>
      <c r="E49" t="s">
        <v>123</v>
      </c>
      <c r="F49" t="s">
        <v>5972</v>
      </c>
      <c r="G49" t="s">
        <v>152</v>
      </c>
      <c r="H49" t="s">
        <v>174</v>
      </c>
      <c r="I49" t="s">
        <v>154</v>
      </c>
      <c r="J49">
        <v>20160914</v>
      </c>
    </row>
    <row r="50" spans="1:10">
      <c r="A50" t="s">
        <v>5973</v>
      </c>
      <c r="B50">
        <v>603206</v>
      </c>
      <c r="C50" t="s">
        <v>5974</v>
      </c>
      <c r="D50" t="s">
        <v>212</v>
      </c>
      <c r="E50" t="s">
        <v>123</v>
      </c>
      <c r="F50" t="s">
        <v>5975</v>
      </c>
      <c r="G50" t="s">
        <v>152</v>
      </c>
      <c r="H50" t="s">
        <v>174</v>
      </c>
      <c r="I50" t="s">
        <v>154</v>
      </c>
      <c r="J50">
        <v>20220506</v>
      </c>
    </row>
    <row r="51" spans="1:10">
      <c r="A51" t="s">
        <v>5976</v>
      </c>
      <c r="B51">
        <v>603232</v>
      </c>
      <c r="C51" t="s">
        <v>5977</v>
      </c>
      <c r="D51" t="s">
        <v>172</v>
      </c>
      <c r="E51" t="s">
        <v>123</v>
      </c>
      <c r="F51" t="s">
        <v>5978</v>
      </c>
      <c r="G51" t="s">
        <v>152</v>
      </c>
      <c r="H51" t="s">
        <v>174</v>
      </c>
      <c r="I51" t="s">
        <v>154</v>
      </c>
      <c r="J51">
        <v>20170421</v>
      </c>
    </row>
    <row r="52" spans="1:10">
      <c r="A52" t="s">
        <v>5979</v>
      </c>
      <c r="B52">
        <v>603258</v>
      </c>
      <c r="C52" t="s">
        <v>5980</v>
      </c>
      <c r="D52" t="s">
        <v>423</v>
      </c>
      <c r="E52" t="s">
        <v>116</v>
      </c>
      <c r="F52" t="s">
        <v>5981</v>
      </c>
      <c r="G52" t="s">
        <v>152</v>
      </c>
      <c r="H52" t="s">
        <v>174</v>
      </c>
      <c r="I52" t="s">
        <v>154</v>
      </c>
      <c r="J52">
        <v>20161026</v>
      </c>
    </row>
    <row r="53" spans="1:10">
      <c r="A53" t="s">
        <v>5982</v>
      </c>
      <c r="B53">
        <v>603383</v>
      </c>
      <c r="C53" t="s">
        <v>5983</v>
      </c>
      <c r="D53" t="s">
        <v>150</v>
      </c>
      <c r="E53" t="s">
        <v>123</v>
      </c>
      <c r="F53" t="s">
        <v>5984</v>
      </c>
      <c r="G53" t="s">
        <v>152</v>
      </c>
      <c r="H53" t="s">
        <v>174</v>
      </c>
      <c r="I53" t="s">
        <v>154</v>
      </c>
      <c r="J53">
        <v>20170522</v>
      </c>
    </row>
    <row r="54" spans="1:10">
      <c r="A54" t="s">
        <v>5985</v>
      </c>
      <c r="B54">
        <v>603444</v>
      </c>
      <c r="C54" t="s">
        <v>5986</v>
      </c>
      <c r="D54" t="s">
        <v>150</v>
      </c>
      <c r="E54" t="s">
        <v>116</v>
      </c>
      <c r="F54" t="s">
        <v>5987</v>
      </c>
      <c r="G54" t="s">
        <v>152</v>
      </c>
      <c r="H54" t="s">
        <v>174</v>
      </c>
      <c r="I54" t="s">
        <v>154</v>
      </c>
      <c r="J54">
        <v>20170104</v>
      </c>
    </row>
    <row r="55" spans="1:10">
      <c r="A55" t="s">
        <v>5988</v>
      </c>
      <c r="B55">
        <v>603508</v>
      </c>
      <c r="C55" t="s">
        <v>5989</v>
      </c>
      <c r="D55" t="s">
        <v>292</v>
      </c>
      <c r="E55" t="s">
        <v>123</v>
      </c>
      <c r="F55" t="s">
        <v>5990</v>
      </c>
      <c r="G55" t="s">
        <v>152</v>
      </c>
      <c r="H55" t="s">
        <v>174</v>
      </c>
      <c r="I55" t="s">
        <v>154</v>
      </c>
      <c r="J55">
        <v>20151224</v>
      </c>
    </row>
    <row r="56" spans="1:10">
      <c r="A56" t="s">
        <v>5991</v>
      </c>
      <c r="B56">
        <v>603528</v>
      </c>
      <c r="C56" t="s">
        <v>5992</v>
      </c>
      <c r="D56" t="s">
        <v>212</v>
      </c>
      <c r="E56" t="s">
        <v>123</v>
      </c>
      <c r="F56" t="s">
        <v>5993</v>
      </c>
      <c r="G56" t="s">
        <v>152</v>
      </c>
      <c r="H56" t="s">
        <v>174</v>
      </c>
      <c r="I56" t="s">
        <v>154</v>
      </c>
      <c r="J56">
        <v>20160503</v>
      </c>
    </row>
    <row r="57" spans="1:10">
      <c r="A57" t="s">
        <v>5994</v>
      </c>
      <c r="B57">
        <v>603533</v>
      </c>
      <c r="C57" t="s">
        <v>5995</v>
      </c>
      <c r="D57" t="s">
        <v>164</v>
      </c>
      <c r="E57" t="s">
        <v>116</v>
      </c>
      <c r="F57" t="s">
        <v>5996</v>
      </c>
      <c r="G57" t="s">
        <v>152</v>
      </c>
      <c r="H57" t="s">
        <v>174</v>
      </c>
      <c r="I57" t="s">
        <v>154</v>
      </c>
      <c r="J57">
        <v>20170921</v>
      </c>
    </row>
    <row r="58" spans="1:10">
      <c r="A58" t="s">
        <v>5997</v>
      </c>
      <c r="B58">
        <v>603613</v>
      </c>
      <c r="C58" t="s">
        <v>5998</v>
      </c>
      <c r="D58" t="s">
        <v>164</v>
      </c>
      <c r="E58" t="s">
        <v>116</v>
      </c>
      <c r="F58" t="s">
        <v>5999</v>
      </c>
      <c r="G58" t="s">
        <v>152</v>
      </c>
      <c r="H58" t="s">
        <v>174</v>
      </c>
      <c r="I58" t="s">
        <v>154</v>
      </c>
      <c r="J58">
        <v>20190730</v>
      </c>
    </row>
    <row r="59" spans="1:10">
      <c r="A59" t="s">
        <v>6000</v>
      </c>
      <c r="B59">
        <v>603636</v>
      </c>
      <c r="C59" t="s">
        <v>6001</v>
      </c>
      <c r="D59" t="s">
        <v>150</v>
      </c>
      <c r="E59" t="s">
        <v>123</v>
      </c>
      <c r="F59" t="s">
        <v>6002</v>
      </c>
      <c r="G59" t="s">
        <v>152</v>
      </c>
      <c r="H59" t="s">
        <v>174</v>
      </c>
      <c r="I59" t="s">
        <v>154</v>
      </c>
      <c r="J59">
        <v>20141230</v>
      </c>
    </row>
    <row r="60" spans="1:10">
      <c r="A60" t="s">
        <v>6003</v>
      </c>
      <c r="B60">
        <v>603825</v>
      </c>
      <c r="C60" t="s">
        <v>6004</v>
      </c>
      <c r="D60" t="s">
        <v>164</v>
      </c>
      <c r="E60" t="s">
        <v>116</v>
      </c>
      <c r="F60" t="s">
        <v>6005</v>
      </c>
      <c r="G60" t="s">
        <v>152</v>
      </c>
      <c r="H60" t="s">
        <v>174</v>
      </c>
      <c r="I60" t="s">
        <v>154</v>
      </c>
      <c r="J60">
        <v>20170802</v>
      </c>
    </row>
    <row r="61" spans="1:10">
      <c r="A61" t="s">
        <v>6006</v>
      </c>
      <c r="B61">
        <v>603869</v>
      </c>
      <c r="C61" t="s">
        <v>6007</v>
      </c>
      <c r="D61" t="s">
        <v>345</v>
      </c>
      <c r="E61" t="s">
        <v>123</v>
      </c>
      <c r="F61" t="s">
        <v>6008</v>
      </c>
      <c r="G61" t="s">
        <v>152</v>
      </c>
      <c r="H61" t="s">
        <v>174</v>
      </c>
      <c r="I61" t="s">
        <v>154</v>
      </c>
      <c r="J61">
        <v>20150326</v>
      </c>
    </row>
    <row r="62" spans="1:10">
      <c r="A62" t="s">
        <v>6009</v>
      </c>
      <c r="B62">
        <v>603887</v>
      </c>
      <c r="C62" t="s">
        <v>6010</v>
      </c>
      <c r="D62" t="s">
        <v>172</v>
      </c>
      <c r="E62" t="s">
        <v>123</v>
      </c>
      <c r="F62" t="s">
        <v>6011</v>
      </c>
      <c r="G62" t="s">
        <v>152</v>
      </c>
      <c r="H62" t="s">
        <v>174</v>
      </c>
      <c r="I62" t="s">
        <v>154</v>
      </c>
      <c r="J62">
        <v>20161010</v>
      </c>
    </row>
    <row r="63" spans="1:10">
      <c r="A63" t="s">
        <v>6012</v>
      </c>
      <c r="B63">
        <v>603888</v>
      </c>
      <c r="C63" t="s">
        <v>6013</v>
      </c>
      <c r="D63" t="s">
        <v>164</v>
      </c>
      <c r="E63" t="s">
        <v>116</v>
      </c>
      <c r="F63" t="s">
        <v>6014</v>
      </c>
      <c r="G63" t="s">
        <v>152</v>
      </c>
      <c r="H63" t="s">
        <v>174</v>
      </c>
      <c r="I63" t="s">
        <v>154</v>
      </c>
      <c r="J63">
        <v>20161028</v>
      </c>
    </row>
    <row r="64" spans="1:10">
      <c r="A64" t="s">
        <v>6015</v>
      </c>
      <c r="B64">
        <v>603918</v>
      </c>
      <c r="C64" t="s">
        <v>6016</v>
      </c>
      <c r="D64" t="s">
        <v>172</v>
      </c>
      <c r="E64" t="s">
        <v>123</v>
      </c>
      <c r="F64" t="s">
        <v>6017</v>
      </c>
      <c r="G64" t="s">
        <v>152</v>
      </c>
      <c r="H64" t="s">
        <v>174</v>
      </c>
      <c r="I64" t="s">
        <v>154</v>
      </c>
      <c r="J64">
        <v>20150528</v>
      </c>
    </row>
    <row r="65" spans="1:10">
      <c r="A65" t="s">
        <v>6018</v>
      </c>
      <c r="B65">
        <v>603927</v>
      </c>
      <c r="C65" t="s">
        <v>6019</v>
      </c>
      <c r="D65" t="s">
        <v>164</v>
      </c>
      <c r="E65" t="s">
        <v>123</v>
      </c>
      <c r="F65" t="s">
        <v>6020</v>
      </c>
      <c r="G65" t="s">
        <v>152</v>
      </c>
      <c r="H65" t="s">
        <v>174</v>
      </c>
      <c r="I65" t="s">
        <v>154</v>
      </c>
      <c r="J65">
        <v>20190909</v>
      </c>
    </row>
    <row r="66" spans="1:10">
      <c r="A66" t="s">
        <v>6021</v>
      </c>
      <c r="B66">
        <v>603990</v>
      </c>
      <c r="C66" t="s">
        <v>6022</v>
      </c>
      <c r="D66" t="s">
        <v>212</v>
      </c>
      <c r="E66" t="s">
        <v>123</v>
      </c>
      <c r="F66" t="s">
        <v>6023</v>
      </c>
      <c r="G66" t="s">
        <v>152</v>
      </c>
      <c r="H66" t="s">
        <v>174</v>
      </c>
      <c r="I66" t="s">
        <v>154</v>
      </c>
      <c r="J66">
        <v>20161208</v>
      </c>
    </row>
    <row r="67" spans="1:10">
      <c r="A67" t="s">
        <v>6024</v>
      </c>
      <c r="B67">
        <v>605168</v>
      </c>
      <c r="C67" t="s">
        <v>6025</v>
      </c>
      <c r="D67" t="s">
        <v>419</v>
      </c>
      <c r="E67" t="s">
        <v>116</v>
      </c>
      <c r="F67" t="s">
        <v>6026</v>
      </c>
      <c r="G67" t="s">
        <v>152</v>
      </c>
      <c r="H67" t="s">
        <v>174</v>
      </c>
      <c r="I67" t="s">
        <v>154</v>
      </c>
      <c r="J67">
        <v>20200528</v>
      </c>
    </row>
    <row r="68" spans="1:10">
      <c r="A68" t="s">
        <v>6027</v>
      </c>
      <c r="B68">
        <v>605398</v>
      </c>
      <c r="C68" t="s">
        <v>6028</v>
      </c>
      <c r="D68" t="s">
        <v>172</v>
      </c>
      <c r="E68" t="s">
        <v>123</v>
      </c>
      <c r="F68" t="s">
        <v>6029</v>
      </c>
      <c r="G68" t="s">
        <v>152</v>
      </c>
      <c r="H68" t="s">
        <v>174</v>
      </c>
      <c r="I68" t="s">
        <v>154</v>
      </c>
      <c r="J68">
        <v>20210121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workbookViewId="0">
      <selection activeCell="C59" sqref="C59"/>
    </sheetView>
  </sheetViews>
  <sheetFormatPr defaultColWidth="9" defaultRowHeight="13.5"/>
  <cols>
    <col min="1" max="1" width="11.625" customWidth="1"/>
    <col min="6" max="6" width="25.25" customWidth="1"/>
    <col min="10" max="10" width="9.375"/>
  </cols>
  <sheetData>
    <row r="1" spans="13:14">
      <c r="M1" t="s">
        <v>4129</v>
      </c>
      <c r="N1">
        <v>64</v>
      </c>
    </row>
    <row r="2" spans="13:14">
      <c r="M2" t="s">
        <v>4133</v>
      </c>
      <c r="N2" s="2">
        <f ca="1">CEILING(RAND()*N1,1)</f>
        <v>39</v>
      </c>
    </row>
    <row r="4" spans="1:10">
      <c r="A4" t="s">
        <v>6030</v>
      </c>
      <c r="B4">
        <v>156</v>
      </c>
      <c r="C4" t="s">
        <v>6031</v>
      </c>
      <c r="D4" t="s">
        <v>423</v>
      </c>
      <c r="E4" t="s">
        <v>124</v>
      </c>
      <c r="F4" t="s">
        <v>6032</v>
      </c>
      <c r="G4" t="s">
        <v>152</v>
      </c>
      <c r="H4" t="s">
        <v>153</v>
      </c>
      <c r="I4" t="s">
        <v>154</v>
      </c>
      <c r="J4">
        <v>20000906</v>
      </c>
    </row>
    <row r="5" spans="1:10">
      <c r="A5" t="s">
        <v>6033</v>
      </c>
      <c r="B5">
        <v>665</v>
      </c>
      <c r="C5" t="s">
        <v>6034</v>
      </c>
      <c r="D5" t="s">
        <v>316</v>
      </c>
      <c r="E5" t="s">
        <v>124</v>
      </c>
      <c r="F5" t="s">
        <v>6035</v>
      </c>
      <c r="G5" t="s">
        <v>152</v>
      </c>
      <c r="H5" t="s">
        <v>153</v>
      </c>
      <c r="I5" t="s">
        <v>154</v>
      </c>
      <c r="J5">
        <v>19961210</v>
      </c>
    </row>
    <row r="6" spans="1:10">
      <c r="A6" t="s">
        <v>6036</v>
      </c>
      <c r="B6">
        <v>802</v>
      </c>
      <c r="C6" t="s">
        <v>6037</v>
      </c>
      <c r="D6" t="s">
        <v>164</v>
      </c>
      <c r="E6" t="s">
        <v>124</v>
      </c>
      <c r="F6" t="s">
        <v>6038</v>
      </c>
      <c r="G6" t="s">
        <v>152</v>
      </c>
      <c r="H6" t="s">
        <v>153</v>
      </c>
      <c r="I6" t="s">
        <v>154</v>
      </c>
      <c r="J6">
        <v>19980108</v>
      </c>
    </row>
    <row r="7" spans="1:10">
      <c r="A7" t="s">
        <v>6039</v>
      </c>
      <c r="B7">
        <v>892</v>
      </c>
      <c r="C7" t="s">
        <v>6040</v>
      </c>
      <c r="D7" t="s">
        <v>937</v>
      </c>
      <c r="E7" t="s">
        <v>124</v>
      </c>
      <c r="F7" t="s">
        <v>6041</v>
      </c>
      <c r="G7" t="s">
        <v>152</v>
      </c>
      <c r="H7" t="s">
        <v>153</v>
      </c>
      <c r="I7" t="s">
        <v>154</v>
      </c>
      <c r="J7">
        <v>19990115</v>
      </c>
    </row>
    <row r="8" spans="1:10">
      <c r="A8" t="s">
        <v>6042</v>
      </c>
      <c r="B8">
        <v>917</v>
      </c>
      <c r="C8" t="s">
        <v>6043</v>
      </c>
      <c r="D8" t="s">
        <v>168</v>
      </c>
      <c r="E8" t="s">
        <v>124</v>
      </c>
      <c r="F8" t="s">
        <v>6044</v>
      </c>
      <c r="G8" t="s">
        <v>152</v>
      </c>
      <c r="H8" t="s">
        <v>153</v>
      </c>
      <c r="I8" t="s">
        <v>154</v>
      </c>
      <c r="J8">
        <v>19990325</v>
      </c>
    </row>
    <row r="9" spans="1:10">
      <c r="A9" t="s">
        <v>6045</v>
      </c>
      <c r="B9">
        <v>1330</v>
      </c>
      <c r="C9" t="s">
        <v>6046</v>
      </c>
      <c r="D9" t="s">
        <v>202</v>
      </c>
      <c r="E9" t="s">
        <v>124</v>
      </c>
      <c r="F9" t="s">
        <v>6047</v>
      </c>
      <c r="G9" t="s">
        <v>152</v>
      </c>
      <c r="H9" t="s">
        <v>153</v>
      </c>
      <c r="I9" t="s">
        <v>154</v>
      </c>
      <c r="J9">
        <v>20220818</v>
      </c>
    </row>
    <row r="10" spans="1:10">
      <c r="A10" t="s">
        <v>6048</v>
      </c>
      <c r="B10">
        <v>600037</v>
      </c>
      <c r="C10" t="s">
        <v>6049</v>
      </c>
      <c r="D10" t="s">
        <v>164</v>
      </c>
      <c r="E10" t="s">
        <v>124</v>
      </c>
      <c r="F10" t="s">
        <v>6050</v>
      </c>
      <c r="G10" t="s">
        <v>152</v>
      </c>
      <c r="H10" t="s">
        <v>174</v>
      </c>
      <c r="I10" t="s">
        <v>154</v>
      </c>
      <c r="J10">
        <v>20010208</v>
      </c>
    </row>
    <row r="11" spans="1:10">
      <c r="A11" t="s">
        <v>6051</v>
      </c>
      <c r="B11">
        <v>600052</v>
      </c>
      <c r="C11" t="s">
        <v>6052</v>
      </c>
      <c r="D11" t="s">
        <v>423</v>
      </c>
      <c r="E11" t="s">
        <v>124</v>
      </c>
      <c r="F11" t="s">
        <v>6053</v>
      </c>
      <c r="G11" t="s">
        <v>152</v>
      </c>
      <c r="H11" t="s">
        <v>174</v>
      </c>
      <c r="I11" t="s">
        <v>154</v>
      </c>
      <c r="J11">
        <v>19970415</v>
      </c>
    </row>
    <row r="12" spans="1:10">
      <c r="A12" t="s">
        <v>6054</v>
      </c>
      <c r="B12">
        <v>600088</v>
      </c>
      <c r="C12" t="s">
        <v>6055</v>
      </c>
      <c r="D12" t="s">
        <v>172</v>
      </c>
      <c r="E12" t="s">
        <v>124</v>
      </c>
      <c r="F12" t="s">
        <v>6056</v>
      </c>
      <c r="G12" t="s">
        <v>152</v>
      </c>
      <c r="H12" t="s">
        <v>174</v>
      </c>
      <c r="I12" t="s">
        <v>154</v>
      </c>
      <c r="J12">
        <v>19970616</v>
      </c>
    </row>
    <row r="13" spans="1:10">
      <c r="A13" t="s">
        <v>6057</v>
      </c>
      <c r="B13">
        <v>600136</v>
      </c>
      <c r="C13" t="s">
        <v>6058</v>
      </c>
      <c r="D13" t="s">
        <v>316</v>
      </c>
      <c r="E13" t="s">
        <v>124</v>
      </c>
      <c r="F13" t="s">
        <v>6059</v>
      </c>
      <c r="G13" t="s">
        <v>152</v>
      </c>
      <c r="H13" t="s">
        <v>174</v>
      </c>
      <c r="I13" t="s">
        <v>154</v>
      </c>
      <c r="J13">
        <v>19980303</v>
      </c>
    </row>
    <row r="14" spans="1:10">
      <c r="A14" t="s">
        <v>6060</v>
      </c>
      <c r="B14">
        <v>600576</v>
      </c>
      <c r="C14" t="s">
        <v>6061</v>
      </c>
      <c r="D14" t="s">
        <v>423</v>
      </c>
      <c r="E14" t="s">
        <v>124</v>
      </c>
      <c r="F14" t="s">
        <v>6062</v>
      </c>
      <c r="G14" t="s">
        <v>152</v>
      </c>
      <c r="H14" t="s">
        <v>174</v>
      </c>
      <c r="I14" t="s">
        <v>154</v>
      </c>
      <c r="J14">
        <v>20030220</v>
      </c>
    </row>
    <row r="15" spans="1:10">
      <c r="A15" t="s">
        <v>6063</v>
      </c>
      <c r="B15">
        <v>600637</v>
      </c>
      <c r="C15" t="s">
        <v>6064</v>
      </c>
      <c r="D15" t="s">
        <v>172</v>
      </c>
      <c r="E15" t="s">
        <v>124</v>
      </c>
      <c r="F15" t="s">
        <v>6065</v>
      </c>
      <c r="G15" t="s">
        <v>152</v>
      </c>
      <c r="H15" t="s">
        <v>174</v>
      </c>
      <c r="I15" t="s">
        <v>154</v>
      </c>
      <c r="J15">
        <v>19930316</v>
      </c>
    </row>
    <row r="16" spans="1:10">
      <c r="A16" t="s">
        <v>6066</v>
      </c>
      <c r="B16">
        <v>600640</v>
      </c>
      <c r="C16" t="s">
        <v>6067</v>
      </c>
      <c r="D16" t="s">
        <v>172</v>
      </c>
      <c r="E16" t="s">
        <v>124</v>
      </c>
      <c r="F16" t="s">
        <v>6068</v>
      </c>
      <c r="G16" t="s">
        <v>152</v>
      </c>
      <c r="H16" t="s">
        <v>174</v>
      </c>
      <c r="I16" t="s">
        <v>154</v>
      </c>
      <c r="J16">
        <v>19930407</v>
      </c>
    </row>
    <row r="17" spans="1:10">
      <c r="A17" t="s">
        <v>6069</v>
      </c>
      <c r="B17">
        <v>600715</v>
      </c>
      <c r="C17" t="s">
        <v>6070</v>
      </c>
      <c r="D17" t="s">
        <v>236</v>
      </c>
      <c r="E17" t="s">
        <v>124</v>
      </c>
      <c r="F17" t="s">
        <v>6071</v>
      </c>
      <c r="G17" t="s">
        <v>152</v>
      </c>
      <c r="H17" t="s">
        <v>174</v>
      </c>
      <c r="I17" t="s">
        <v>154</v>
      </c>
      <c r="J17">
        <v>19960701</v>
      </c>
    </row>
    <row r="18" spans="1:10">
      <c r="A18" t="s">
        <v>6072</v>
      </c>
      <c r="B18">
        <v>600831</v>
      </c>
      <c r="C18" t="s">
        <v>6073</v>
      </c>
      <c r="D18" t="s">
        <v>419</v>
      </c>
      <c r="E18" t="s">
        <v>124</v>
      </c>
      <c r="F18" t="s">
        <v>6074</v>
      </c>
      <c r="G18" t="s">
        <v>152</v>
      </c>
      <c r="H18" t="s">
        <v>174</v>
      </c>
      <c r="I18" t="s">
        <v>154</v>
      </c>
      <c r="J18">
        <v>19940224</v>
      </c>
    </row>
    <row r="19" spans="1:10">
      <c r="A19" t="s">
        <v>6075</v>
      </c>
      <c r="B19">
        <v>600892</v>
      </c>
      <c r="C19" t="s">
        <v>6076</v>
      </c>
      <c r="D19" t="s">
        <v>243</v>
      </c>
      <c r="E19" t="s">
        <v>124</v>
      </c>
      <c r="F19" t="s">
        <v>6077</v>
      </c>
      <c r="G19" t="s">
        <v>152</v>
      </c>
      <c r="H19" t="s">
        <v>174</v>
      </c>
      <c r="I19" t="s">
        <v>154</v>
      </c>
      <c r="J19">
        <v>19960315</v>
      </c>
    </row>
    <row r="20" spans="1:10">
      <c r="A20" t="s">
        <v>6078</v>
      </c>
      <c r="B20">
        <v>600936</v>
      </c>
      <c r="C20" t="s">
        <v>6079</v>
      </c>
      <c r="D20" t="s">
        <v>345</v>
      </c>
      <c r="E20" t="s">
        <v>124</v>
      </c>
      <c r="F20" t="s">
        <v>6080</v>
      </c>
      <c r="G20" t="s">
        <v>152</v>
      </c>
      <c r="H20" t="s">
        <v>174</v>
      </c>
      <c r="I20" t="s">
        <v>154</v>
      </c>
      <c r="J20">
        <v>20160815</v>
      </c>
    </row>
    <row r="21" spans="1:10">
      <c r="A21" t="s">
        <v>6081</v>
      </c>
      <c r="B21">
        <v>600959</v>
      </c>
      <c r="C21" t="s">
        <v>6082</v>
      </c>
      <c r="D21" t="s">
        <v>212</v>
      </c>
      <c r="E21" t="s">
        <v>124</v>
      </c>
      <c r="F21" t="s">
        <v>6083</v>
      </c>
      <c r="G21" t="s">
        <v>152</v>
      </c>
      <c r="H21" t="s">
        <v>174</v>
      </c>
      <c r="I21" t="s">
        <v>154</v>
      </c>
      <c r="J21">
        <v>20150428</v>
      </c>
    </row>
    <row r="22" spans="1:10">
      <c r="A22" t="s">
        <v>6084</v>
      </c>
      <c r="B22">
        <v>600977</v>
      </c>
      <c r="C22" t="s">
        <v>6085</v>
      </c>
      <c r="D22" t="s">
        <v>164</v>
      </c>
      <c r="E22" t="s">
        <v>124</v>
      </c>
      <c r="F22" t="s">
        <v>6086</v>
      </c>
      <c r="G22" t="s">
        <v>152</v>
      </c>
      <c r="H22" t="s">
        <v>174</v>
      </c>
      <c r="I22" t="s">
        <v>154</v>
      </c>
      <c r="J22">
        <v>20160809</v>
      </c>
    </row>
    <row r="23" spans="1:10">
      <c r="A23" t="s">
        <v>6087</v>
      </c>
      <c r="B23">
        <v>600996</v>
      </c>
      <c r="C23" t="s">
        <v>6088</v>
      </c>
      <c r="D23" t="s">
        <v>463</v>
      </c>
      <c r="E23" t="s">
        <v>124</v>
      </c>
      <c r="F23" t="s">
        <v>6089</v>
      </c>
      <c r="G23" t="s">
        <v>152</v>
      </c>
      <c r="H23" t="s">
        <v>174</v>
      </c>
      <c r="I23" t="s">
        <v>154</v>
      </c>
      <c r="J23">
        <v>20161226</v>
      </c>
    </row>
    <row r="24" spans="1:10">
      <c r="A24" s="3" t="s">
        <v>6090</v>
      </c>
      <c r="B24" s="3">
        <v>601595</v>
      </c>
      <c r="C24" s="3" t="s">
        <v>6091</v>
      </c>
      <c r="D24" s="3" t="s">
        <v>172</v>
      </c>
      <c r="E24" s="3" t="s">
        <v>124</v>
      </c>
      <c r="F24" s="3" t="s">
        <v>6092</v>
      </c>
      <c r="G24" s="3" t="s">
        <v>152</v>
      </c>
      <c r="H24" s="3" t="s">
        <v>174</v>
      </c>
      <c r="I24" s="3" t="s">
        <v>154</v>
      </c>
      <c r="J24" s="3">
        <v>20160817</v>
      </c>
    </row>
    <row r="25" spans="1:10">
      <c r="A25" t="s">
        <v>6093</v>
      </c>
      <c r="B25">
        <v>601929</v>
      </c>
      <c r="C25" t="s">
        <v>6094</v>
      </c>
      <c r="D25" t="s">
        <v>312</v>
      </c>
      <c r="E25" t="s">
        <v>124</v>
      </c>
      <c r="F25" t="s">
        <v>6095</v>
      </c>
      <c r="G25" t="s">
        <v>152</v>
      </c>
      <c r="H25" t="s">
        <v>174</v>
      </c>
      <c r="I25" t="s">
        <v>154</v>
      </c>
      <c r="J25">
        <v>20120223</v>
      </c>
    </row>
    <row r="26" spans="1:10">
      <c r="A26" t="s">
        <v>6096</v>
      </c>
      <c r="B26">
        <v>603103</v>
      </c>
      <c r="C26" t="s">
        <v>6097</v>
      </c>
      <c r="D26" t="s">
        <v>423</v>
      </c>
      <c r="E26" t="s">
        <v>124</v>
      </c>
      <c r="F26" t="s">
        <v>6098</v>
      </c>
      <c r="G26" t="s">
        <v>152</v>
      </c>
      <c r="H26" t="s">
        <v>174</v>
      </c>
      <c r="I26" t="s">
        <v>154</v>
      </c>
      <c r="J26">
        <v>20171012</v>
      </c>
    </row>
    <row r="27" spans="1:10">
      <c r="A27" t="s">
        <v>6099</v>
      </c>
      <c r="B27">
        <v>603598</v>
      </c>
      <c r="C27" t="s">
        <v>6100</v>
      </c>
      <c r="D27" t="s">
        <v>164</v>
      </c>
      <c r="E27" t="s">
        <v>124</v>
      </c>
      <c r="F27" t="s">
        <v>6101</v>
      </c>
      <c r="G27" t="s">
        <v>152</v>
      </c>
      <c r="H27" t="s">
        <v>174</v>
      </c>
      <c r="I27" t="s">
        <v>154</v>
      </c>
      <c r="J27">
        <v>20150527</v>
      </c>
    </row>
    <row r="28" spans="1:10">
      <c r="A28" t="s">
        <v>6102</v>
      </c>
      <c r="B28">
        <v>603721</v>
      </c>
      <c r="C28" t="s">
        <v>6103</v>
      </c>
      <c r="D28" t="s">
        <v>168</v>
      </c>
      <c r="E28" t="s">
        <v>124</v>
      </c>
      <c r="F28" t="s">
        <v>6104</v>
      </c>
      <c r="G28" t="s">
        <v>152</v>
      </c>
      <c r="H28" t="s">
        <v>174</v>
      </c>
      <c r="I28" t="s">
        <v>154</v>
      </c>
      <c r="J28">
        <v>20170811</v>
      </c>
    </row>
    <row r="29" spans="1:10">
      <c r="A29" t="s">
        <v>6105</v>
      </c>
      <c r="B29">
        <v>526</v>
      </c>
      <c r="C29" t="s">
        <v>6106</v>
      </c>
      <c r="D29" t="s">
        <v>150</v>
      </c>
      <c r="E29" t="s">
        <v>129</v>
      </c>
      <c r="F29" t="s">
        <v>6107</v>
      </c>
      <c r="G29" t="s">
        <v>152</v>
      </c>
      <c r="H29" t="s">
        <v>153</v>
      </c>
      <c r="I29" t="s">
        <v>154</v>
      </c>
      <c r="J29">
        <v>19931101</v>
      </c>
    </row>
    <row r="30" spans="1:10">
      <c r="A30" t="s">
        <v>6108</v>
      </c>
      <c r="B30">
        <v>558</v>
      </c>
      <c r="C30" t="s">
        <v>6109</v>
      </c>
      <c r="D30" t="s">
        <v>423</v>
      </c>
      <c r="E30" t="s">
        <v>129</v>
      </c>
      <c r="F30" t="s">
        <v>6110</v>
      </c>
      <c r="G30" t="s">
        <v>152</v>
      </c>
      <c r="H30" t="s">
        <v>153</v>
      </c>
      <c r="I30" t="s">
        <v>154</v>
      </c>
      <c r="J30">
        <v>19940509</v>
      </c>
    </row>
    <row r="31" spans="1:10">
      <c r="A31" t="s">
        <v>6111</v>
      </c>
      <c r="B31">
        <v>1222</v>
      </c>
      <c r="C31" t="s">
        <v>6112</v>
      </c>
      <c r="D31" t="s">
        <v>423</v>
      </c>
      <c r="E31" t="s">
        <v>129</v>
      </c>
      <c r="F31" t="s">
        <v>6113</v>
      </c>
      <c r="G31" t="s">
        <v>152</v>
      </c>
      <c r="H31" t="s">
        <v>153</v>
      </c>
      <c r="I31" t="s">
        <v>154</v>
      </c>
      <c r="J31">
        <v>20220818</v>
      </c>
    </row>
    <row r="32" spans="1:10">
      <c r="A32" t="s">
        <v>6114</v>
      </c>
      <c r="B32">
        <v>1300</v>
      </c>
      <c r="C32" t="s">
        <v>6115</v>
      </c>
      <c r="D32" t="s">
        <v>198</v>
      </c>
      <c r="E32" t="s">
        <v>129</v>
      </c>
      <c r="F32" t="s">
        <v>6116</v>
      </c>
      <c r="G32" t="s">
        <v>152</v>
      </c>
      <c r="H32" t="s">
        <v>153</v>
      </c>
      <c r="I32" t="s">
        <v>154</v>
      </c>
      <c r="J32">
        <v>20221019</v>
      </c>
    </row>
    <row r="33" spans="1:10">
      <c r="A33" t="s">
        <v>6117</v>
      </c>
      <c r="B33">
        <v>600158</v>
      </c>
      <c r="C33" t="s">
        <v>6118</v>
      </c>
      <c r="D33" t="s">
        <v>576</v>
      </c>
      <c r="E33" t="s">
        <v>129</v>
      </c>
      <c r="F33" t="s">
        <v>6119</v>
      </c>
      <c r="G33" t="s">
        <v>152</v>
      </c>
      <c r="H33" t="s">
        <v>174</v>
      </c>
      <c r="I33" t="s">
        <v>154</v>
      </c>
      <c r="J33">
        <v>19980327</v>
      </c>
    </row>
    <row r="34" spans="1:10">
      <c r="A34" t="s">
        <v>6120</v>
      </c>
      <c r="B34">
        <v>600455</v>
      </c>
      <c r="C34" t="s">
        <v>6121</v>
      </c>
      <c r="D34" t="s">
        <v>419</v>
      </c>
      <c r="E34" t="s">
        <v>129</v>
      </c>
      <c r="F34" t="s">
        <v>6122</v>
      </c>
      <c r="G34" t="s">
        <v>152</v>
      </c>
      <c r="H34" t="s">
        <v>174</v>
      </c>
      <c r="I34" t="s">
        <v>154</v>
      </c>
      <c r="J34">
        <v>20040329</v>
      </c>
    </row>
    <row r="35" spans="1:10">
      <c r="A35" t="s">
        <v>6123</v>
      </c>
      <c r="B35">
        <v>600636</v>
      </c>
      <c r="C35" t="s">
        <v>6124</v>
      </c>
      <c r="D35" t="s">
        <v>172</v>
      </c>
      <c r="E35" t="s">
        <v>129</v>
      </c>
      <c r="F35" t="s">
        <v>6125</v>
      </c>
      <c r="G35" t="s">
        <v>152</v>
      </c>
      <c r="H35" t="s">
        <v>174</v>
      </c>
      <c r="I35" t="s">
        <v>154</v>
      </c>
      <c r="J35">
        <v>19930316</v>
      </c>
    </row>
    <row r="36" spans="1:10">
      <c r="A36" t="s">
        <v>6126</v>
      </c>
      <c r="B36">
        <v>600661</v>
      </c>
      <c r="C36" t="s">
        <v>6127</v>
      </c>
      <c r="D36" t="s">
        <v>172</v>
      </c>
      <c r="E36" t="s">
        <v>129</v>
      </c>
      <c r="F36" t="s">
        <v>6128</v>
      </c>
      <c r="G36" t="s">
        <v>152</v>
      </c>
      <c r="H36" t="s">
        <v>174</v>
      </c>
      <c r="I36" t="s">
        <v>154</v>
      </c>
      <c r="J36">
        <v>19930614</v>
      </c>
    </row>
    <row r="37" spans="1:10">
      <c r="A37" t="s">
        <v>6129</v>
      </c>
      <c r="B37">
        <v>600662</v>
      </c>
      <c r="C37" t="s">
        <v>6130</v>
      </c>
      <c r="D37" t="s">
        <v>172</v>
      </c>
      <c r="E37" t="s">
        <v>129</v>
      </c>
      <c r="F37" t="s">
        <v>6131</v>
      </c>
      <c r="G37" t="s">
        <v>152</v>
      </c>
      <c r="H37" t="s">
        <v>174</v>
      </c>
      <c r="I37" t="s">
        <v>154</v>
      </c>
      <c r="J37">
        <v>19930614</v>
      </c>
    </row>
    <row r="38" spans="1:10">
      <c r="A38" t="s">
        <v>6132</v>
      </c>
      <c r="B38">
        <v>600679</v>
      </c>
      <c r="C38" t="s">
        <v>6133</v>
      </c>
      <c r="D38" t="s">
        <v>172</v>
      </c>
      <c r="E38" t="s">
        <v>129</v>
      </c>
      <c r="F38" t="s">
        <v>6134</v>
      </c>
      <c r="G38" t="s">
        <v>152</v>
      </c>
      <c r="H38" t="s">
        <v>174</v>
      </c>
      <c r="I38" t="s">
        <v>154</v>
      </c>
      <c r="J38">
        <v>19931008</v>
      </c>
    </row>
    <row r="39" spans="1:10">
      <c r="A39" t="s">
        <v>6135</v>
      </c>
      <c r="B39">
        <v>600818</v>
      </c>
      <c r="C39" t="s">
        <v>6136</v>
      </c>
      <c r="D39" t="s">
        <v>172</v>
      </c>
      <c r="E39" t="s">
        <v>129</v>
      </c>
      <c r="F39" t="s">
        <v>6137</v>
      </c>
      <c r="G39" t="s">
        <v>152</v>
      </c>
      <c r="H39" t="s">
        <v>174</v>
      </c>
      <c r="I39" t="s">
        <v>154</v>
      </c>
      <c r="J39">
        <v>19940128</v>
      </c>
    </row>
    <row r="40" spans="1:10">
      <c r="A40" t="s">
        <v>6138</v>
      </c>
      <c r="B40">
        <v>603398</v>
      </c>
      <c r="C40" t="s">
        <v>6139</v>
      </c>
      <c r="D40" t="s">
        <v>406</v>
      </c>
      <c r="E40" t="s">
        <v>129</v>
      </c>
      <c r="F40" t="s">
        <v>6140</v>
      </c>
      <c r="G40" t="s">
        <v>152</v>
      </c>
      <c r="H40" t="s">
        <v>174</v>
      </c>
      <c r="I40" t="s">
        <v>154</v>
      </c>
      <c r="J40">
        <v>20151209</v>
      </c>
    </row>
    <row r="41" spans="1:10">
      <c r="A41" t="s">
        <v>6141</v>
      </c>
      <c r="B41">
        <v>603466</v>
      </c>
      <c r="C41" t="s">
        <v>6142</v>
      </c>
      <c r="D41" t="s">
        <v>172</v>
      </c>
      <c r="E41" t="s">
        <v>129</v>
      </c>
      <c r="F41" t="s">
        <v>6143</v>
      </c>
      <c r="G41" t="s">
        <v>152</v>
      </c>
      <c r="H41" t="s">
        <v>174</v>
      </c>
      <c r="I41" t="s">
        <v>154</v>
      </c>
      <c r="J41">
        <v>20171020</v>
      </c>
    </row>
    <row r="42" spans="1:10">
      <c r="A42" t="s">
        <v>6144</v>
      </c>
      <c r="B42">
        <v>603899</v>
      </c>
      <c r="C42" t="s">
        <v>6145</v>
      </c>
      <c r="D42" t="s">
        <v>172</v>
      </c>
      <c r="E42" t="s">
        <v>129</v>
      </c>
      <c r="F42" t="s">
        <v>6146</v>
      </c>
      <c r="G42" t="s">
        <v>152</v>
      </c>
      <c r="H42" t="s">
        <v>174</v>
      </c>
      <c r="I42" t="s">
        <v>154</v>
      </c>
      <c r="J42">
        <v>20150127</v>
      </c>
    </row>
    <row r="43" spans="1:10">
      <c r="A43" t="s">
        <v>6147</v>
      </c>
      <c r="B43">
        <v>605098</v>
      </c>
      <c r="C43" t="s">
        <v>6148</v>
      </c>
      <c r="D43" t="s">
        <v>172</v>
      </c>
      <c r="E43" t="s">
        <v>129</v>
      </c>
      <c r="F43" t="s">
        <v>6149</v>
      </c>
      <c r="G43" t="s">
        <v>152</v>
      </c>
      <c r="H43" t="s">
        <v>174</v>
      </c>
      <c r="I43" t="s">
        <v>154</v>
      </c>
      <c r="J43">
        <v>20210421</v>
      </c>
    </row>
    <row r="44" spans="1:10">
      <c r="A44" t="s">
        <v>6150</v>
      </c>
      <c r="B44">
        <v>605099</v>
      </c>
      <c r="C44" t="s">
        <v>6151</v>
      </c>
      <c r="D44" t="s">
        <v>212</v>
      </c>
      <c r="E44" t="s">
        <v>129</v>
      </c>
      <c r="F44" t="s">
        <v>6152</v>
      </c>
      <c r="G44" t="s">
        <v>152</v>
      </c>
      <c r="H44" t="s">
        <v>174</v>
      </c>
      <c r="I44" t="s">
        <v>154</v>
      </c>
      <c r="J44">
        <v>20200930</v>
      </c>
    </row>
    <row r="45" spans="1:10">
      <c r="A45" t="s">
        <v>6153</v>
      </c>
      <c r="B45">
        <v>605299</v>
      </c>
      <c r="C45" t="s">
        <v>6154</v>
      </c>
      <c r="D45" t="s">
        <v>150</v>
      </c>
      <c r="E45" t="s">
        <v>129</v>
      </c>
      <c r="F45" t="s">
        <v>6155</v>
      </c>
      <c r="G45" t="s">
        <v>152</v>
      </c>
      <c r="H45" t="s">
        <v>174</v>
      </c>
      <c r="I45" t="s">
        <v>154</v>
      </c>
      <c r="J45">
        <v>20201215</v>
      </c>
    </row>
    <row r="46" spans="1:10">
      <c r="A46" t="s">
        <v>6156</v>
      </c>
      <c r="B46">
        <v>529</v>
      </c>
      <c r="C46" t="s">
        <v>6157</v>
      </c>
      <c r="D46" t="s">
        <v>223</v>
      </c>
      <c r="E46" t="s">
        <v>55</v>
      </c>
      <c r="F46" t="s">
        <v>6158</v>
      </c>
      <c r="G46" t="s">
        <v>152</v>
      </c>
      <c r="H46" t="s">
        <v>153</v>
      </c>
      <c r="I46" t="s">
        <v>154</v>
      </c>
      <c r="J46">
        <v>19931118</v>
      </c>
    </row>
    <row r="47" spans="1:10">
      <c r="A47" t="s">
        <v>6159</v>
      </c>
      <c r="B47">
        <v>719</v>
      </c>
      <c r="C47" t="s">
        <v>6160</v>
      </c>
      <c r="D47" t="s">
        <v>292</v>
      </c>
      <c r="E47" t="s">
        <v>55</v>
      </c>
      <c r="F47" t="s">
        <v>6161</v>
      </c>
      <c r="G47" t="s">
        <v>152</v>
      </c>
      <c r="H47" t="s">
        <v>153</v>
      </c>
      <c r="I47" t="s">
        <v>154</v>
      </c>
      <c r="J47">
        <v>19970331</v>
      </c>
    </row>
    <row r="48" spans="1:10">
      <c r="A48" t="s">
        <v>6162</v>
      </c>
      <c r="B48">
        <v>793</v>
      </c>
      <c r="C48" t="s">
        <v>6163</v>
      </c>
      <c r="D48" t="s">
        <v>250</v>
      </c>
      <c r="E48" t="s">
        <v>55</v>
      </c>
      <c r="F48" t="s">
        <v>6164</v>
      </c>
      <c r="G48" t="s">
        <v>152</v>
      </c>
      <c r="H48" t="s">
        <v>153</v>
      </c>
      <c r="I48" t="s">
        <v>154</v>
      </c>
      <c r="J48">
        <v>19970729</v>
      </c>
    </row>
    <row r="49" spans="1:10">
      <c r="A49" t="s">
        <v>6165</v>
      </c>
      <c r="B49">
        <v>600229</v>
      </c>
      <c r="C49" t="s">
        <v>6166</v>
      </c>
      <c r="D49" t="s">
        <v>198</v>
      </c>
      <c r="E49" t="s">
        <v>55</v>
      </c>
      <c r="F49" t="s">
        <v>6167</v>
      </c>
      <c r="G49" t="s">
        <v>152</v>
      </c>
      <c r="H49" t="s">
        <v>174</v>
      </c>
      <c r="I49" t="s">
        <v>154</v>
      </c>
      <c r="J49">
        <v>20000309</v>
      </c>
    </row>
    <row r="50" spans="1:10">
      <c r="A50" t="s">
        <v>6168</v>
      </c>
      <c r="B50">
        <v>600373</v>
      </c>
      <c r="C50" t="s">
        <v>6169</v>
      </c>
      <c r="D50" t="s">
        <v>406</v>
      </c>
      <c r="E50" t="s">
        <v>55</v>
      </c>
      <c r="F50" t="s">
        <v>6170</v>
      </c>
      <c r="G50" t="s">
        <v>152</v>
      </c>
      <c r="H50" t="s">
        <v>174</v>
      </c>
      <c r="I50" t="s">
        <v>154</v>
      </c>
      <c r="J50">
        <v>20020304</v>
      </c>
    </row>
    <row r="51" spans="1:10">
      <c r="A51" t="s">
        <v>6171</v>
      </c>
      <c r="B51">
        <v>600551</v>
      </c>
      <c r="C51" t="s">
        <v>6172</v>
      </c>
      <c r="D51" t="s">
        <v>160</v>
      </c>
      <c r="E51" t="s">
        <v>55</v>
      </c>
      <c r="F51" t="s">
        <v>6173</v>
      </c>
      <c r="G51" t="s">
        <v>152</v>
      </c>
      <c r="H51" t="s">
        <v>174</v>
      </c>
      <c r="I51" t="s">
        <v>154</v>
      </c>
      <c r="J51">
        <v>20020905</v>
      </c>
    </row>
    <row r="52" spans="1:10">
      <c r="A52" t="s">
        <v>6174</v>
      </c>
      <c r="B52">
        <v>600757</v>
      </c>
      <c r="C52" t="s">
        <v>6175</v>
      </c>
      <c r="D52" t="s">
        <v>316</v>
      </c>
      <c r="E52" t="s">
        <v>55</v>
      </c>
      <c r="F52" t="s">
        <v>6176</v>
      </c>
      <c r="G52" t="s">
        <v>152</v>
      </c>
      <c r="H52" t="s">
        <v>174</v>
      </c>
      <c r="I52" t="s">
        <v>154</v>
      </c>
      <c r="J52">
        <v>19961003</v>
      </c>
    </row>
    <row r="53" spans="1:10">
      <c r="A53" s="3" t="s">
        <v>6177</v>
      </c>
      <c r="B53" s="3">
        <v>600825</v>
      </c>
      <c r="C53" s="3" t="s">
        <v>6178</v>
      </c>
      <c r="D53" s="3" t="s">
        <v>172</v>
      </c>
      <c r="E53" s="3" t="s">
        <v>55</v>
      </c>
      <c r="F53" s="3" t="s">
        <v>6179</v>
      </c>
      <c r="G53" s="3" t="s">
        <v>152</v>
      </c>
      <c r="H53" s="3" t="s">
        <v>174</v>
      </c>
      <c r="I53" s="3" t="s">
        <v>154</v>
      </c>
      <c r="J53" s="3">
        <v>19940204</v>
      </c>
    </row>
    <row r="54" spans="1:10">
      <c r="A54" t="s">
        <v>6180</v>
      </c>
      <c r="B54">
        <v>601019</v>
      </c>
      <c r="C54" t="s">
        <v>6181</v>
      </c>
      <c r="D54" t="s">
        <v>198</v>
      </c>
      <c r="E54" t="s">
        <v>55</v>
      </c>
      <c r="F54" t="s">
        <v>6182</v>
      </c>
      <c r="G54" t="s">
        <v>152</v>
      </c>
      <c r="H54" t="s">
        <v>174</v>
      </c>
      <c r="I54" t="s">
        <v>154</v>
      </c>
      <c r="J54">
        <v>20171122</v>
      </c>
    </row>
    <row r="55" spans="1:10">
      <c r="A55" t="s">
        <v>6183</v>
      </c>
      <c r="B55">
        <v>601098</v>
      </c>
      <c r="C55" t="s">
        <v>6184</v>
      </c>
      <c r="D55" t="s">
        <v>168</v>
      </c>
      <c r="E55" t="s">
        <v>55</v>
      </c>
      <c r="F55" t="s">
        <v>6185</v>
      </c>
      <c r="G55" t="s">
        <v>152</v>
      </c>
      <c r="H55" t="s">
        <v>174</v>
      </c>
      <c r="I55" t="s">
        <v>154</v>
      </c>
      <c r="J55">
        <v>20101028</v>
      </c>
    </row>
    <row r="56" spans="1:10">
      <c r="A56" t="s">
        <v>6186</v>
      </c>
      <c r="B56">
        <v>601801</v>
      </c>
      <c r="C56" t="s">
        <v>6187</v>
      </c>
      <c r="D56" t="s">
        <v>160</v>
      </c>
      <c r="E56" t="s">
        <v>55</v>
      </c>
      <c r="F56" t="s">
        <v>6188</v>
      </c>
      <c r="G56" t="s">
        <v>152</v>
      </c>
      <c r="H56" t="s">
        <v>174</v>
      </c>
      <c r="I56" t="s">
        <v>154</v>
      </c>
      <c r="J56">
        <v>20100118</v>
      </c>
    </row>
    <row r="57" spans="1:10">
      <c r="A57" t="s">
        <v>6189</v>
      </c>
      <c r="B57">
        <v>601811</v>
      </c>
      <c r="C57" t="s">
        <v>6190</v>
      </c>
      <c r="D57" t="s">
        <v>219</v>
      </c>
      <c r="E57" t="s">
        <v>55</v>
      </c>
      <c r="F57" t="s">
        <v>6191</v>
      </c>
      <c r="G57" t="s">
        <v>152</v>
      </c>
      <c r="H57" t="s">
        <v>174</v>
      </c>
      <c r="I57" t="s">
        <v>154</v>
      </c>
      <c r="J57">
        <v>20160808</v>
      </c>
    </row>
    <row r="58" spans="1:10">
      <c r="A58" t="s">
        <v>6192</v>
      </c>
      <c r="B58">
        <v>601858</v>
      </c>
      <c r="C58" t="s">
        <v>6193</v>
      </c>
      <c r="D58" t="s">
        <v>164</v>
      </c>
      <c r="E58" t="s">
        <v>55</v>
      </c>
      <c r="F58" t="s">
        <v>6194</v>
      </c>
      <c r="G58" t="s">
        <v>152</v>
      </c>
      <c r="H58" t="s">
        <v>174</v>
      </c>
      <c r="I58" t="s">
        <v>154</v>
      </c>
      <c r="J58">
        <v>20170118</v>
      </c>
    </row>
    <row r="59" spans="1:10">
      <c r="A59" t="s">
        <v>6195</v>
      </c>
      <c r="B59">
        <v>601900</v>
      </c>
      <c r="C59" t="s">
        <v>6196</v>
      </c>
      <c r="D59" t="s">
        <v>223</v>
      </c>
      <c r="E59" t="s">
        <v>55</v>
      </c>
      <c r="F59" t="s">
        <v>6197</v>
      </c>
      <c r="G59" t="s">
        <v>152</v>
      </c>
      <c r="H59" t="s">
        <v>174</v>
      </c>
      <c r="I59" t="s">
        <v>154</v>
      </c>
      <c r="J59">
        <v>20160215</v>
      </c>
    </row>
    <row r="60" spans="1:10">
      <c r="A60" t="s">
        <v>6198</v>
      </c>
      <c r="B60">
        <v>601921</v>
      </c>
      <c r="C60" t="s">
        <v>6199</v>
      </c>
      <c r="D60" t="s">
        <v>423</v>
      </c>
      <c r="E60" t="s">
        <v>55</v>
      </c>
      <c r="F60" t="s">
        <v>6200</v>
      </c>
      <c r="G60" t="s">
        <v>152</v>
      </c>
      <c r="H60" t="s">
        <v>174</v>
      </c>
      <c r="I60" t="s">
        <v>154</v>
      </c>
      <c r="J60">
        <v>20210723</v>
      </c>
    </row>
    <row r="61" spans="1:10">
      <c r="A61" t="s">
        <v>6201</v>
      </c>
      <c r="B61">
        <v>601928</v>
      </c>
      <c r="C61" t="s">
        <v>6202</v>
      </c>
      <c r="D61" t="s">
        <v>212</v>
      </c>
      <c r="E61" t="s">
        <v>55</v>
      </c>
      <c r="F61" t="s">
        <v>6203</v>
      </c>
      <c r="G61" t="s">
        <v>152</v>
      </c>
      <c r="H61" t="s">
        <v>174</v>
      </c>
      <c r="I61" t="s">
        <v>154</v>
      </c>
      <c r="J61">
        <v>20111130</v>
      </c>
    </row>
    <row r="62" spans="1:10">
      <c r="A62" t="s">
        <v>6204</v>
      </c>
      <c r="B62">
        <v>601949</v>
      </c>
      <c r="C62" t="s">
        <v>6205</v>
      </c>
      <c r="D62" t="s">
        <v>164</v>
      </c>
      <c r="E62" t="s">
        <v>55</v>
      </c>
      <c r="F62" t="s">
        <v>6206</v>
      </c>
      <c r="G62" t="s">
        <v>152</v>
      </c>
      <c r="H62" t="s">
        <v>174</v>
      </c>
      <c r="I62" t="s">
        <v>154</v>
      </c>
      <c r="J62">
        <v>20170821</v>
      </c>
    </row>
    <row r="63" spans="1:10">
      <c r="A63" t="s">
        <v>6207</v>
      </c>
      <c r="B63">
        <v>601999</v>
      </c>
      <c r="C63" t="s">
        <v>6208</v>
      </c>
      <c r="D63" t="s">
        <v>236</v>
      </c>
      <c r="E63" t="s">
        <v>55</v>
      </c>
      <c r="F63" t="s">
        <v>6209</v>
      </c>
      <c r="G63" t="s">
        <v>152</v>
      </c>
      <c r="H63" t="s">
        <v>174</v>
      </c>
      <c r="I63" t="s">
        <v>154</v>
      </c>
      <c r="J63">
        <v>20071221</v>
      </c>
    </row>
    <row r="64" spans="1:10">
      <c r="A64" t="s">
        <v>6210</v>
      </c>
      <c r="B64">
        <v>603096</v>
      </c>
      <c r="C64" t="s">
        <v>6211</v>
      </c>
      <c r="D64" t="s">
        <v>576</v>
      </c>
      <c r="E64" t="s">
        <v>55</v>
      </c>
      <c r="F64" t="s">
        <v>6212</v>
      </c>
      <c r="G64" t="s">
        <v>152</v>
      </c>
      <c r="H64" t="s">
        <v>174</v>
      </c>
      <c r="I64" t="s">
        <v>154</v>
      </c>
      <c r="J64">
        <v>20170425</v>
      </c>
    </row>
    <row r="65" spans="1:10">
      <c r="A65" t="s">
        <v>6213</v>
      </c>
      <c r="B65">
        <v>603230</v>
      </c>
      <c r="C65" t="s">
        <v>6214</v>
      </c>
      <c r="D65" t="s">
        <v>266</v>
      </c>
      <c r="E65" t="s">
        <v>55</v>
      </c>
      <c r="F65" t="s">
        <v>6215</v>
      </c>
      <c r="G65" t="s">
        <v>152</v>
      </c>
      <c r="H65" t="s">
        <v>174</v>
      </c>
      <c r="I65" t="s">
        <v>154</v>
      </c>
      <c r="J65">
        <v>20211224</v>
      </c>
    </row>
    <row r="66" spans="1:10">
      <c r="A66" t="s">
        <v>6216</v>
      </c>
      <c r="B66">
        <v>603999</v>
      </c>
      <c r="C66" t="s">
        <v>6217</v>
      </c>
      <c r="D66" t="s">
        <v>177</v>
      </c>
      <c r="E66" t="s">
        <v>55</v>
      </c>
      <c r="F66" t="s">
        <v>6218</v>
      </c>
      <c r="G66" t="s">
        <v>152</v>
      </c>
      <c r="H66" t="s">
        <v>174</v>
      </c>
      <c r="I66" t="s">
        <v>154</v>
      </c>
      <c r="J66">
        <v>20151210</v>
      </c>
    </row>
    <row r="67" spans="1:10">
      <c r="A67" t="s">
        <v>6219</v>
      </c>
      <c r="B67">
        <v>605577</v>
      </c>
      <c r="C67" t="s">
        <v>6220</v>
      </c>
      <c r="D67" t="s">
        <v>194</v>
      </c>
      <c r="E67" t="s">
        <v>55</v>
      </c>
      <c r="F67" t="s">
        <v>6221</v>
      </c>
      <c r="G67" t="s">
        <v>152</v>
      </c>
      <c r="H67" t="s">
        <v>174</v>
      </c>
      <c r="I67" t="s">
        <v>154</v>
      </c>
      <c r="J67">
        <v>20210824</v>
      </c>
    </row>
  </sheetData>
  <autoFilter ref="A3:J67">
    <sortState ref="A3:J67">
      <sortCondition ref="E3" descending="1"/>
    </sortState>
    <extLst/>
  </autoFilter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A38" sqref="$A38:$XFD38"/>
    </sheetView>
  </sheetViews>
  <sheetFormatPr defaultColWidth="9" defaultRowHeight="13.5"/>
  <cols>
    <col min="3" max="3" width="15.55" customWidth="1"/>
    <col min="5" max="5" width="11.6916666666667" customWidth="1"/>
    <col min="6" max="6" width="12.8166666666667" customWidth="1"/>
  </cols>
  <sheetData>
    <row r="1" spans="1:10">
      <c r="A1" t="s">
        <v>6222</v>
      </c>
      <c r="B1">
        <v>63</v>
      </c>
      <c r="C1" t="s">
        <v>6223</v>
      </c>
      <c r="D1" t="s">
        <v>243</v>
      </c>
      <c r="E1" t="s">
        <v>125</v>
      </c>
      <c r="F1" t="s">
        <v>6224</v>
      </c>
      <c r="G1" t="s">
        <v>152</v>
      </c>
      <c r="H1" t="s">
        <v>153</v>
      </c>
      <c r="I1" t="s">
        <v>154</v>
      </c>
      <c r="J1">
        <v>19971118</v>
      </c>
    </row>
    <row r="2" spans="1:10">
      <c r="A2" t="s">
        <v>6225</v>
      </c>
      <c r="B2">
        <v>70</v>
      </c>
      <c r="C2" t="s">
        <v>6226</v>
      </c>
      <c r="D2" t="s">
        <v>243</v>
      </c>
      <c r="E2" t="s">
        <v>125</v>
      </c>
      <c r="F2" t="s">
        <v>6227</v>
      </c>
      <c r="G2" t="s">
        <v>152</v>
      </c>
      <c r="H2" t="s">
        <v>153</v>
      </c>
      <c r="I2" t="s">
        <v>154</v>
      </c>
      <c r="J2">
        <v>20000511</v>
      </c>
    </row>
    <row r="3" spans="1:14">
      <c r="A3" s="1" t="s">
        <v>6228</v>
      </c>
      <c r="B3" s="1">
        <v>547</v>
      </c>
      <c r="C3" s="1" t="s">
        <v>6229</v>
      </c>
      <c r="D3" s="1" t="s">
        <v>150</v>
      </c>
      <c r="E3" s="1" t="s">
        <v>125</v>
      </c>
      <c r="F3" s="1" t="s">
        <v>6230</v>
      </c>
      <c r="G3" s="1" t="s">
        <v>152</v>
      </c>
      <c r="H3" s="1" t="s">
        <v>153</v>
      </c>
      <c r="I3" s="1" t="s">
        <v>154</v>
      </c>
      <c r="J3" s="1">
        <v>19931130</v>
      </c>
      <c r="M3" t="s">
        <v>4129</v>
      </c>
      <c r="N3">
        <v>44</v>
      </c>
    </row>
    <row r="4" spans="1:14">
      <c r="A4" t="s">
        <v>6231</v>
      </c>
      <c r="B4">
        <v>561</v>
      </c>
      <c r="C4" t="s">
        <v>6232</v>
      </c>
      <c r="D4" t="s">
        <v>419</v>
      </c>
      <c r="E4" t="s">
        <v>125</v>
      </c>
      <c r="F4" t="s">
        <v>6233</v>
      </c>
      <c r="G4" t="s">
        <v>152</v>
      </c>
      <c r="H4" t="s">
        <v>153</v>
      </c>
      <c r="I4" t="s">
        <v>154</v>
      </c>
      <c r="J4">
        <v>19940509</v>
      </c>
      <c r="M4" t="s">
        <v>4133</v>
      </c>
      <c r="N4" s="2">
        <f ca="1">CEILING(RAND()*N3,1)</f>
        <v>31</v>
      </c>
    </row>
    <row r="5" spans="1:10">
      <c r="A5" s="3" t="s">
        <v>6234</v>
      </c>
      <c r="B5" s="3">
        <v>586</v>
      </c>
      <c r="C5" s="3" t="s">
        <v>6235</v>
      </c>
      <c r="D5" s="3" t="s">
        <v>219</v>
      </c>
      <c r="E5" s="3" t="s">
        <v>125</v>
      </c>
      <c r="F5" s="3" t="s">
        <v>6236</v>
      </c>
      <c r="G5" s="3" t="s">
        <v>152</v>
      </c>
      <c r="H5" s="3" t="s">
        <v>153</v>
      </c>
      <c r="I5" s="3" t="s">
        <v>154</v>
      </c>
      <c r="J5" s="3">
        <v>19951220</v>
      </c>
    </row>
    <row r="6" spans="1:10">
      <c r="A6" t="s">
        <v>6237</v>
      </c>
      <c r="B6">
        <v>836</v>
      </c>
      <c r="C6" t="s">
        <v>6238</v>
      </c>
      <c r="D6" t="s">
        <v>576</v>
      </c>
      <c r="E6" t="s">
        <v>125</v>
      </c>
      <c r="F6" t="s">
        <v>6239</v>
      </c>
      <c r="G6" t="s">
        <v>152</v>
      </c>
      <c r="H6" t="s">
        <v>153</v>
      </c>
      <c r="I6" t="s">
        <v>154</v>
      </c>
      <c r="J6">
        <v>19970929</v>
      </c>
    </row>
    <row r="7" spans="1:10">
      <c r="A7" s="3" t="s">
        <v>6240</v>
      </c>
      <c r="B7" s="3">
        <v>851</v>
      </c>
      <c r="C7" s="3" t="s">
        <v>6241</v>
      </c>
      <c r="D7" s="3" t="s">
        <v>463</v>
      </c>
      <c r="E7" s="3" t="s">
        <v>125</v>
      </c>
      <c r="F7" s="3" t="s">
        <v>6242</v>
      </c>
      <c r="G7" s="3" t="s">
        <v>152</v>
      </c>
      <c r="H7" s="3" t="s">
        <v>153</v>
      </c>
      <c r="I7" s="3" t="s">
        <v>154</v>
      </c>
      <c r="J7" s="3">
        <v>19980609</v>
      </c>
    </row>
    <row r="8" spans="1:10">
      <c r="A8" t="s">
        <v>6243</v>
      </c>
      <c r="B8">
        <v>889</v>
      </c>
      <c r="C8" t="s">
        <v>6244</v>
      </c>
      <c r="D8" t="s">
        <v>279</v>
      </c>
      <c r="E8" t="s">
        <v>125</v>
      </c>
      <c r="F8" t="s">
        <v>6245</v>
      </c>
      <c r="G8" t="s">
        <v>152</v>
      </c>
      <c r="H8" t="s">
        <v>153</v>
      </c>
      <c r="I8" t="s">
        <v>154</v>
      </c>
      <c r="J8">
        <v>19971218</v>
      </c>
    </row>
    <row r="9" spans="1:10">
      <c r="A9" t="s">
        <v>6246</v>
      </c>
      <c r="B9">
        <v>600050</v>
      </c>
      <c r="C9" t="s">
        <v>6247</v>
      </c>
      <c r="D9" t="s">
        <v>164</v>
      </c>
      <c r="E9" t="s">
        <v>89</v>
      </c>
      <c r="F9" t="s">
        <v>6248</v>
      </c>
      <c r="G9" t="s">
        <v>152</v>
      </c>
      <c r="H9" t="s">
        <v>174</v>
      </c>
      <c r="I9" t="s">
        <v>154</v>
      </c>
      <c r="J9">
        <v>20021009</v>
      </c>
    </row>
    <row r="10" spans="1:10">
      <c r="A10" t="s">
        <v>6249</v>
      </c>
      <c r="B10">
        <v>600105</v>
      </c>
      <c r="C10" t="s">
        <v>6250</v>
      </c>
      <c r="D10" t="s">
        <v>212</v>
      </c>
      <c r="E10" t="s">
        <v>125</v>
      </c>
      <c r="F10" t="s">
        <v>6251</v>
      </c>
      <c r="G10" t="s">
        <v>152</v>
      </c>
      <c r="H10" t="s">
        <v>174</v>
      </c>
      <c r="I10" t="s">
        <v>154</v>
      </c>
      <c r="J10">
        <v>19970929</v>
      </c>
    </row>
    <row r="11" spans="1:10">
      <c r="A11" t="s">
        <v>6252</v>
      </c>
      <c r="B11">
        <v>600130</v>
      </c>
      <c r="C11" t="s">
        <v>6253</v>
      </c>
      <c r="D11" t="s">
        <v>423</v>
      </c>
      <c r="E11" t="s">
        <v>125</v>
      </c>
      <c r="F11" t="s">
        <v>6254</v>
      </c>
      <c r="G11" t="s">
        <v>152</v>
      </c>
      <c r="H11" t="s">
        <v>174</v>
      </c>
      <c r="I11" t="s">
        <v>154</v>
      </c>
      <c r="J11">
        <v>20000706</v>
      </c>
    </row>
    <row r="12" spans="1:10">
      <c r="A12" t="s">
        <v>6255</v>
      </c>
      <c r="B12">
        <v>600131</v>
      </c>
      <c r="C12" t="s">
        <v>6256</v>
      </c>
      <c r="D12" t="s">
        <v>219</v>
      </c>
      <c r="E12" t="s">
        <v>125</v>
      </c>
      <c r="F12" t="s">
        <v>6257</v>
      </c>
      <c r="G12" t="s">
        <v>152</v>
      </c>
      <c r="H12" t="s">
        <v>174</v>
      </c>
      <c r="I12" t="s">
        <v>154</v>
      </c>
      <c r="J12">
        <v>19980402</v>
      </c>
    </row>
    <row r="13" spans="1:10">
      <c r="A13" t="s">
        <v>6258</v>
      </c>
      <c r="B13">
        <v>600198</v>
      </c>
      <c r="C13" t="s">
        <v>6259</v>
      </c>
      <c r="D13" t="s">
        <v>164</v>
      </c>
      <c r="E13" t="s">
        <v>125</v>
      </c>
      <c r="F13" t="s">
        <v>6260</v>
      </c>
      <c r="G13" t="s">
        <v>152</v>
      </c>
      <c r="H13" t="s">
        <v>174</v>
      </c>
      <c r="I13" t="s">
        <v>154</v>
      </c>
      <c r="J13">
        <v>19981021</v>
      </c>
    </row>
    <row r="14" spans="1:10">
      <c r="A14" t="s">
        <v>6261</v>
      </c>
      <c r="B14">
        <v>600260</v>
      </c>
      <c r="C14" t="s">
        <v>6262</v>
      </c>
      <c r="D14" t="s">
        <v>316</v>
      </c>
      <c r="E14" t="s">
        <v>125</v>
      </c>
      <c r="F14" t="s">
        <v>6263</v>
      </c>
      <c r="G14" t="s">
        <v>152</v>
      </c>
      <c r="H14" t="s">
        <v>174</v>
      </c>
      <c r="I14" t="s">
        <v>154</v>
      </c>
      <c r="J14">
        <v>20000706</v>
      </c>
    </row>
    <row r="15" spans="1:10">
      <c r="A15" s="3" t="s">
        <v>6264</v>
      </c>
      <c r="B15" s="3">
        <v>600345</v>
      </c>
      <c r="C15" s="3" t="s">
        <v>6265</v>
      </c>
      <c r="D15" s="3" t="s">
        <v>316</v>
      </c>
      <c r="E15" s="3" t="s">
        <v>125</v>
      </c>
      <c r="F15" s="3" t="s">
        <v>6266</v>
      </c>
      <c r="G15" s="3" t="s">
        <v>152</v>
      </c>
      <c r="H15" s="3" t="s">
        <v>174</v>
      </c>
      <c r="I15" s="3" t="s">
        <v>154</v>
      </c>
      <c r="J15" s="3">
        <v>20001222</v>
      </c>
    </row>
    <row r="16" spans="1:10">
      <c r="A16" t="s">
        <v>6267</v>
      </c>
      <c r="B16">
        <v>600487</v>
      </c>
      <c r="C16" t="s">
        <v>6268</v>
      </c>
      <c r="D16" t="s">
        <v>212</v>
      </c>
      <c r="E16" t="s">
        <v>125</v>
      </c>
      <c r="F16" t="s">
        <v>6269</v>
      </c>
      <c r="G16" t="s">
        <v>152</v>
      </c>
      <c r="H16" t="s">
        <v>174</v>
      </c>
      <c r="I16" t="s">
        <v>154</v>
      </c>
      <c r="J16">
        <v>20030822</v>
      </c>
    </row>
    <row r="17" spans="1:10">
      <c r="A17" t="s">
        <v>6270</v>
      </c>
      <c r="B17">
        <v>600498</v>
      </c>
      <c r="C17" t="s">
        <v>6271</v>
      </c>
      <c r="D17" t="s">
        <v>316</v>
      </c>
      <c r="E17" t="s">
        <v>125</v>
      </c>
      <c r="F17" t="s">
        <v>6272</v>
      </c>
      <c r="G17" t="s">
        <v>152</v>
      </c>
      <c r="H17" t="s">
        <v>174</v>
      </c>
      <c r="I17" t="s">
        <v>154</v>
      </c>
      <c r="J17">
        <v>20010823</v>
      </c>
    </row>
    <row r="18" spans="1:10">
      <c r="A18" t="s">
        <v>6273</v>
      </c>
      <c r="B18">
        <v>600522</v>
      </c>
      <c r="C18" t="s">
        <v>6274</v>
      </c>
      <c r="D18" t="s">
        <v>212</v>
      </c>
      <c r="E18" t="s">
        <v>125</v>
      </c>
      <c r="F18" t="s">
        <v>6275</v>
      </c>
      <c r="G18" t="s">
        <v>152</v>
      </c>
      <c r="H18" t="s">
        <v>174</v>
      </c>
      <c r="I18" t="s">
        <v>154</v>
      </c>
      <c r="J18">
        <v>20021024</v>
      </c>
    </row>
    <row r="19" spans="1:10">
      <c r="A19" t="s">
        <v>6276</v>
      </c>
      <c r="B19">
        <v>600562</v>
      </c>
      <c r="C19" t="s">
        <v>6277</v>
      </c>
      <c r="D19" t="s">
        <v>212</v>
      </c>
      <c r="E19" t="s">
        <v>125</v>
      </c>
      <c r="F19" t="s">
        <v>6278</v>
      </c>
      <c r="G19" t="s">
        <v>152</v>
      </c>
      <c r="H19" t="s">
        <v>174</v>
      </c>
      <c r="I19" t="s">
        <v>154</v>
      </c>
      <c r="J19">
        <v>20030128</v>
      </c>
    </row>
    <row r="20" spans="1:10">
      <c r="A20" t="s">
        <v>6279</v>
      </c>
      <c r="B20">
        <v>600775</v>
      </c>
      <c r="C20" t="s">
        <v>6280</v>
      </c>
      <c r="D20" t="s">
        <v>212</v>
      </c>
      <c r="E20" t="s">
        <v>125</v>
      </c>
      <c r="F20" t="s">
        <v>6281</v>
      </c>
      <c r="G20" t="s">
        <v>152</v>
      </c>
      <c r="H20" t="s">
        <v>174</v>
      </c>
      <c r="I20" t="s">
        <v>154</v>
      </c>
      <c r="J20">
        <v>19961118</v>
      </c>
    </row>
    <row r="21" spans="1:10">
      <c r="A21" t="s">
        <v>6282</v>
      </c>
      <c r="B21">
        <v>600776</v>
      </c>
      <c r="C21" t="s">
        <v>6283</v>
      </c>
      <c r="D21" t="s">
        <v>423</v>
      </c>
      <c r="E21" t="s">
        <v>125</v>
      </c>
      <c r="F21" t="s">
        <v>6284</v>
      </c>
      <c r="G21" t="s">
        <v>152</v>
      </c>
      <c r="H21" t="s">
        <v>174</v>
      </c>
      <c r="I21" t="s">
        <v>154</v>
      </c>
      <c r="J21">
        <v>19961126</v>
      </c>
    </row>
    <row r="22" spans="1:10">
      <c r="A22" t="s">
        <v>6285</v>
      </c>
      <c r="B22">
        <v>600804</v>
      </c>
      <c r="C22" t="s">
        <v>6286</v>
      </c>
      <c r="D22" t="s">
        <v>198</v>
      </c>
      <c r="E22" t="s">
        <v>89</v>
      </c>
      <c r="F22" t="s">
        <v>6287</v>
      </c>
      <c r="G22" t="s">
        <v>152</v>
      </c>
      <c r="H22" t="s">
        <v>174</v>
      </c>
      <c r="I22" t="s">
        <v>154</v>
      </c>
      <c r="J22">
        <v>19940103</v>
      </c>
    </row>
    <row r="23" spans="1:10">
      <c r="A23" t="s">
        <v>6288</v>
      </c>
      <c r="B23">
        <v>600898</v>
      </c>
      <c r="C23" t="s">
        <v>6289</v>
      </c>
      <c r="D23" t="s">
        <v>198</v>
      </c>
      <c r="E23" t="s">
        <v>125</v>
      </c>
      <c r="F23" t="s">
        <v>6290</v>
      </c>
      <c r="G23" t="s">
        <v>152</v>
      </c>
      <c r="H23" t="s">
        <v>174</v>
      </c>
      <c r="I23" t="s">
        <v>154</v>
      </c>
      <c r="J23">
        <v>19960418</v>
      </c>
    </row>
    <row r="24" spans="1:10">
      <c r="A24" t="s">
        <v>6291</v>
      </c>
      <c r="B24">
        <v>600941</v>
      </c>
      <c r="C24" t="s">
        <v>6292</v>
      </c>
      <c r="D24" t="s">
        <v>164</v>
      </c>
      <c r="E24" t="s">
        <v>89</v>
      </c>
      <c r="F24" t="s">
        <v>6293</v>
      </c>
      <c r="G24" t="s">
        <v>152</v>
      </c>
      <c r="H24" t="s">
        <v>174</v>
      </c>
      <c r="I24" t="s">
        <v>154</v>
      </c>
      <c r="J24">
        <v>20220105</v>
      </c>
    </row>
    <row r="25" spans="1:10">
      <c r="A25" t="s">
        <v>6294</v>
      </c>
      <c r="B25">
        <v>600990</v>
      </c>
      <c r="C25" t="s">
        <v>6295</v>
      </c>
      <c r="D25" t="s">
        <v>160</v>
      </c>
      <c r="E25" t="s">
        <v>125</v>
      </c>
      <c r="F25" t="s">
        <v>6296</v>
      </c>
      <c r="G25" t="s">
        <v>152</v>
      </c>
      <c r="H25" t="s">
        <v>174</v>
      </c>
      <c r="I25" t="s">
        <v>154</v>
      </c>
      <c r="J25">
        <v>20040510</v>
      </c>
    </row>
    <row r="26" spans="1:10">
      <c r="A26" t="s">
        <v>6297</v>
      </c>
      <c r="B26">
        <v>601138</v>
      </c>
      <c r="C26" t="s">
        <v>6298</v>
      </c>
      <c r="D26" t="s">
        <v>243</v>
      </c>
      <c r="E26" t="s">
        <v>125</v>
      </c>
      <c r="F26" t="s">
        <v>6299</v>
      </c>
      <c r="G26" t="s">
        <v>152</v>
      </c>
      <c r="H26" t="s">
        <v>174</v>
      </c>
      <c r="I26" t="s">
        <v>154</v>
      </c>
      <c r="J26">
        <v>20180608</v>
      </c>
    </row>
    <row r="27" spans="1:10">
      <c r="A27" s="3" t="s">
        <v>6300</v>
      </c>
      <c r="B27" s="3">
        <v>601698</v>
      </c>
      <c r="C27" s="3" t="s">
        <v>6301</v>
      </c>
      <c r="D27" s="3" t="s">
        <v>164</v>
      </c>
      <c r="E27" s="3" t="s">
        <v>89</v>
      </c>
      <c r="F27" s="3" t="s">
        <v>6302</v>
      </c>
      <c r="G27" s="3" t="s">
        <v>152</v>
      </c>
      <c r="H27" s="3" t="s">
        <v>174</v>
      </c>
      <c r="I27" s="3" t="s">
        <v>154</v>
      </c>
      <c r="J27" s="3">
        <v>20190628</v>
      </c>
    </row>
    <row r="28" spans="1:10">
      <c r="A28" t="s">
        <v>6303</v>
      </c>
      <c r="B28">
        <v>601728</v>
      </c>
      <c r="C28" t="s">
        <v>6304</v>
      </c>
      <c r="D28" t="s">
        <v>164</v>
      </c>
      <c r="E28" t="s">
        <v>89</v>
      </c>
      <c r="F28" t="s">
        <v>6305</v>
      </c>
      <c r="G28" t="s">
        <v>152</v>
      </c>
      <c r="H28" t="s">
        <v>174</v>
      </c>
      <c r="I28" t="s">
        <v>154</v>
      </c>
      <c r="J28">
        <v>20210820</v>
      </c>
    </row>
    <row r="29" spans="1:10">
      <c r="A29" t="s">
        <v>6306</v>
      </c>
      <c r="B29">
        <v>601869</v>
      </c>
      <c r="C29" t="s">
        <v>6307</v>
      </c>
      <c r="D29" t="s">
        <v>316</v>
      </c>
      <c r="E29" t="s">
        <v>125</v>
      </c>
      <c r="F29" t="s">
        <v>6308</v>
      </c>
      <c r="G29" t="s">
        <v>152</v>
      </c>
      <c r="H29" t="s">
        <v>174</v>
      </c>
      <c r="I29" t="s">
        <v>154</v>
      </c>
      <c r="J29">
        <v>20180720</v>
      </c>
    </row>
    <row r="30" spans="1:10">
      <c r="A30" s="3" t="s">
        <v>6309</v>
      </c>
      <c r="B30" s="3">
        <v>603042</v>
      </c>
      <c r="C30" s="3" t="s">
        <v>6310</v>
      </c>
      <c r="D30" s="3" t="s">
        <v>212</v>
      </c>
      <c r="E30" s="3" t="s">
        <v>125</v>
      </c>
      <c r="F30" s="3" t="s">
        <v>6311</v>
      </c>
      <c r="G30" s="3" t="s">
        <v>152</v>
      </c>
      <c r="H30" s="3" t="s">
        <v>174</v>
      </c>
      <c r="I30" s="3" t="s">
        <v>154</v>
      </c>
      <c r="J30" s="3">
        <v>20170602</v>
      </c>
    </row>
    <row r="31" spans="1:10">
      <c r="A31" t="s">
        <v>6312</v>
      </c>
      <c r="B31">
        <v>603083</v>
      </c>
      <c r="C31" t="s">
        <v>6313</v>
      </c>
      <c r="D31" t="s">
        <v>172</v>
      </c>
      <c r="E31" t="s">
        <v>125</v>
      </c>
      <c r="F31" t="s">
        <v>6314</v>
      </c>
      <c r="G31" t="s">
        <v>152</v>
      </c>
      <c r="H31" t="s">
        <v>174</v>
      </c>
      <c r="I31" t="s">
        <v>154</v>
      </c>
      <c r="J31">
        <v>20171110</v>
      </c>
    </row>
    <row r="32" spans="1:10">
      <c r="A32" t="s">
        <v>6315</v>
      </c>
      <c r="B32">
        <v>603118</v>
      </c>
      <c r="C32" t="s">
        <v>6316</v>
      </c>
      <c r="D32" t="s">
        <v>243</v>
      </c>
      <c r="E32" t="s">
        <v>125</v>
      </c>
      <c r="F32" t="s">
        <v>6317</v>
      </c>
      <c r="G32" t="s">
        <v>152</v>
      </c>
      <c r="H32" t="s">
        <v>174</v>
      </c>
      <c r="I32" t="s">
        <v>154</v>
      </c>
      <c r="J32">
        <v>20150225</v>
      </c>
    </row>
    <row r="33" spans="1:10">
      <c r="A33" t="s">
        <v>6318</v>
      </c>
      <c r="B33">
        <v>603220</v>
      </c>
      <c r="C33" t="s">
        <v>6319</v>
      </c>
      <c r="D33" t="s">
        <v>316</v>
      </c>
      <c r="E33" t="s">
        <v>125</v>
      </c>
      <c r="F33" t="s">
        <v>6320</v>
      </c>
      <c r="G33" t="s">
        <v>152</v>
      </c>
      <c r="H33" t="s">
        <v>174</v>
      </c>
      <c r="I33" t="s">
        <v>154</v>
      </c>
      <c r="J33">
        <v>20181115</v>
      </c>
    </row>
    <row r="34" spans="1:10">
      <c r="A34" t="s">
        <v>6321</v>
      </c>
      <c r="B34">
        <v>603236</v>
      </c>
      <c r="C34" t="s">
        <v>6322</v>
      </c>
      <c r="D34" t="s">
        <v>172</v>
      </c>
      <c r="E34" t="s">
        <v>125</v>
      </c>
      <c r="F34" t="s">
        <v>6323</v>
      </c>
      <c r="G34" t="s">
        <v>152</v>
      </c>
      <c r="H34" t="s">
        <v>174</v>
      </c>
      <c r="I34" t="s">
        <v>154</v>
      </c>
      <c r="J34">
        <v>20190716</v>
      </c>
    </row>
    <row r="35" spans="1:10">
      <c r="A35" t="s">
        <v>6324</v>
      </c>
      <c r="B35">
        <v>603322</v>
      </c>
      <c r="C35" t="s">
        <v>6325</v>
      </c>
      <c r="D35" t="s">
        <v>223</v>
      </c>
      <c r="E35" t="s">
        <v>125</v>
      </c>
      <c r="F35" t="s">
        <v>6326</v>
      </c>
      <c r="G35" t="s">
        <v>152</v>
      </c>
      <c r="H35" t="s">
        <v>174</v>
      </c>
      <c r="I35" t="s">
        <v>154</v>
      </c>
      <c r="J35">
        <v>20160728</v>
      </c>
    </row>
    <row r="36" spans="1:10">
      <c r="A36" t="s">
        <v>6327</v>
      </c>
      <c r="B36">
        <v>603421</v>
      </c>
      <c r="C36" t="s">
        <v>6328</v>
      </c>
      <c r="D36" t="s">
        <v>198</v>
      </c>
      <c r="E36" t="s">
        <v>125</v>
      </c>
      <c r="F36" t="s">
        <v>6329</v>
      </c>
      <c r="G36" t="s">
        <v>152</v>
      </c>
      <c r="H36" t="s">
        <v>174</v>
      </c>
      <c r="I36" t="s">
        <v>154</v>
      </c>
      <c r="J36">
        <v>20161011</v>
      </c>
    </row>
    <row r="37" spans="1:10">
      <c r="A37" t="s">
        <v>6330</v>
      </c>
      <c r="B37">
        <v>603516</v>
      </c>
      <c r="C37" t="s">
        <v>6331</v>
      </c>
      <c r="D37" t="s">
        <v>164</v>
      </c>
      <c r="E37" t="s">
        <v>125</v>
      </c>
      <c r="F37" t="s">
        <v>6332</v>
      </c>
      <c r="G37" t="s">
        <v>152</v>
      </c>
      <c r="H37" t="s">
        <v>174</v>
      </c>
      <c r="I37" t="s">
        <v>154</v>
      </c>
      <c r="J37">
        <v>20180202</v>
      </c>
    </row>
    <row r="38" spans="1:10">
      <c r="A38" t="s">
        <v>6333</v>
      </c>
      <c r="B38">
        <v>603559</v>
      </c>
      <c r="C38" t="s">
        <v>6334</v>
      </c>
      <c r="D38" t="s">
        <v>312</v>
      </c>
      <c r="E38" t="s">
        <v>125</v>
      </c>
      <c r="F38" t="s">
        <v>6335</v>
      </c>
      <c r="G38" t="s">
        <v>152</v>
      </c>
      <c r="H38" t="s">
        <v>174</v>
      </c>
      <c r="I38" t="s">
        <v>154</v>
      </c>
      <c r="J38">
        <v>20161202</v>
      </c>
    </row>
    <row r="39" spans="1:10">
      <c r="A39" t="s">
        <v>6336</v>
      </c>
      <c r="B39">
        <v>603602</v>
      </c>
      <c r="C39" t="s">
        <v>6337</v>
      </c>
      <c r="D39" t="s">
        <v>423</v>
      </c>
      <c r="E39" t="s">
        <v>125</v>
      </c>
      <c r="F39" t="s">
        <v>6338</v>
      </c>
      <c r="G39" t="s">
        <v>152</v>
      </c>
      <c r="H39" t="s">
        <v>174</v>
      </c>
      <c r="I39" t="s">
        <v>154</v>
      </c>
      <c r="J39">
        <v>20170810</v>
      </c>
    </row>
    <row r="40" spans="1:10">
      <c r="A40" t="s">
        <v>6339</v>
      </c>
      <c r="B40">
        <v>603660</v>
      </c>
      <c r="C40" t="s">
        <v>6340</v>
      </c>
      <c r="D40" t="s">
        <v>212</v>
      </c>
      <c r="E40" t="s">
        <v>125</v>
      </c>
      <c r="F40" t="s">
        <v>6341</v>
      </c>
      <c r="G40" t="s">
        <v>152</v>
      </c>
      <c r="H40" t="s">
        <v>174</v>
      </c>
      <c r="I40" t="s">
        <v>154</v>
      </c>
      <c r="J40">
        <v>20161201</v>
      </c>
    </row>
    <row r="41" spans="1:10">
      <c r="A41" t="s">
        <v>6342</v>
      </c>
      <c r="B41">
        <v>603703</v>
      </c>
      <c r="C41" t="s">
        <v>6343</v>
      </c>
      <c r="D41" t="s">
        <v>423</v>
      </c>
      <c r="E41" t="s">
        <v>125</v>
      </c>
      <c r="F41" t="s">
        <v>6344</v>
      </c>
      <c r="G41" t="s">
        <v>152</v>
      </c>
      <c r="H41" t="s">
        <v>174</v>
      </c>
      <c r="I41" t="s">
        <v>154</v>
      </c>
      <c r="J41">
        <v>20150423</v>
      </c>
    </row>
    <row r="42" spans="1:10">
      <c r="A42" t="s">
        <v>6345</v>
      </c>
      <c r="B42">
        <v>603712</v>
      </c>
      <c r="C42" t="s">
        <v>6346</v>
      </c>
      <c r="D42" t="s">
        <v>576</v>
      </c>
      <c r="E42" t="s">
        <v>125</v>
      </c>
      <c r="F42" t="s">
        <v>6347</v>
      </c>
      <c r="G42" t="s">
        <v>152</v>
      </c>
      <c r="H42" t="s">
        <v>174</v>
      </c>
      <c r="I42" t="s">
        <v>154</v>
      </c>
      <c r="J42">
        <v>20180226</v>
      </c>
    </row>
    <row r="43" spans="1:10">
      <c r="A43" t="s">
        <v>6348</v>
      </c>
      <c r="B43">
        <v>603803</v>
      </c>
      <c r="C43" t="s">
        <v>6349</v>
      </c>
      <c r="D43" t="s">
        <v>164</v>
      </c>
      <c r="E43" t="s">
        <v>125</v>
      </c>
      <c r="F43" t="s">
        <v>6350</v>
      </c>
      <c r="G43" t="s">
        <v>152</v>
      </c>
      <c r="H43" t="s">
        <v>174</v>
      </c>
      <c r="I43" t="s">
        <v>154</v>
      </c>
      <c r="J43">
        <v>20170420</v>
      </c>
    </row>
    <row r="44" spans="1:10">
      <c r="A44" t="s">
        <v>6351</v>
      </c>
      <c r="B44">
        <v>603881</v>
      </c>
      <c r="C44" t="s">
        <v>6352</v>
      </c>
      <c r="D44" t="s">
        <v>172</v>
      </c>
      <c r="E44" t="s">
        <v>89</v>
      </c>
      <c r="F44" t="s">
        <v>6353</v>
      </c>
      <c r="G44" t="s">
        <v>152</v>
      </c>
      <c r="H44" t="s">
        <v>174</v>
      </c>
      <c r="I44" t="s">
        <v>154</v>
      </c>
      <c r="J44">
        <v>20170208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M3" sqref="M3:N4"/>
    </sheetView>
  </sheetViews>
  <sheetFormatPr defaultColWidth="9" defaultRowHeight="13.5"/>
  <cols>
    <col min="5" max="5" width="13.6166666666667" customWidth="1"/>
  </cols>
  <sheetData>
    <row r="1" spans="1:10">
      <c r="A1" t="s">
        <v>6354</v>
      </c>
      <c r="B1">
        <v>552</v>
      </c>
      <c r="C1" t="s">
        <v>6355</v>
      </c>
      <c r="D1" t="s">
        <v>177</v>
      </c>
      <c r="E1" t="s">
        <v>126</v>
      </c>
      <c r="F1" t="s">
        <v>6356</v>
      </c>
      <c r="G1" t="s">
        <v>152</v>
      </c>
      <c r="H1" t="s">
        <v>153</v>
      </c>
      <c r="I1" t="s">
        <v>154</v>
      </c>
      <c r="J1">
        <v>19940106</v>
      </c>
    </row>
    <row r="2" spans="1:10">
      <c r="A2" t="s">
        <v>6357</v>
      </c>
      <c r="B2">
        <v>571</v>
      </c>
      <c r="C2" t="s">
        <v>6358</v>
      </c>
      <c r="D2" t="s">
        <v>250</v>
      </c>
      <c r="E2" t="s">
        <v>126</v>
      </c>
      <c r="F2" t="s">
        <v>6359</v>
      </c>
      <c r="G2" t="s">
        <v>152</v>
      </c>
      <c r="H2" t="s">
        <v>153</v>
      </c>
      <c r="I2" t="s">
        <v>154</v>
      </c>
      <c r="J2">
        <v>19940525</v>
      </c>
    </row>
    <row r="3" spans="1:14">
      <c r="A3" t="s">
        <v>6360</v>
      </c>
      <c r="B3">
        <v>723</v>
      </c>
      <c r="C3" t="s">
        <v>6361</v>
      </c>
      <c r="D3" t="s">
        <v>557</v>
      </c>
      <c r="E3" t="s">
        <v>117</v>
      </c>
      <c r="F3" t="s">
        <v>6362</v>
      </c>
      <c r="G3" t="s">
        <v>152</v>
      </c>
      <c r="H3" t="s">
        <v>153</v>
      </c>
      <c r="I3" t="s">
        <v>154</v>
      </c>
      <c r="J3">
        <v>19970515</v>
      </c>
      <c r="M3" t="s">
        <v>4129</v>
      </c>
      <c r="N3">
        <v>33</v>
      </c>
    </row>
    <row r="4" spans="1:14">
      <c r="A4" t="s">
        <v>6363</v>
      </c>
      <c r="B4">
        <v>937</v>
      </c>
      <c r="C4" t="s">
        <v>6364</v>
      </c>
      <c r="D4" t="s">
        <v>279</v>
      </c>
      <c r="E4" t="s">
        <v>126</v>
      </c>
      <c r="F4" t="s">
        <v>6365</v>
      </c>
      <c r="G4" t="s">
        <v>152</v>
      </c>
      <c r="H4" t="s">
        <v>153</v>
      </c>
      <c r="I4" t="s">
        <v>154</v>
      </c>
      <c r="J4">
        <v>19990909</v>
      </c>
      <c r="M4" t="s">
        <v>4133</v>
      </c>
      <c r="N4" s="2">
        <f ca="1">CEILING(RAND()*N3,1)</f>
        <v>19</v>
      </c>
    </row>
    <row r="5" spans="1:10">
      <c r="A5" t="s">
        <v>6366</v>
      </c>
      <c r="B5">
        <v>983</v>
      </c>
      <c r="C5" t="s">
        <v>6367</v>
      </c>
      <c r="D5" t="s">
        <v>557</v>
      </c>
      <c r="E5" t="s">
        <v>126</v>
      </c>
      <c r="F5" t="s">
        <v>6368</v>
      </c>
      <c r="G5" t="s">
        <v>152</v>
      </c>
      <c r="H5" t="s">
        <v>153</v>
      </c>
      <c r="I5" t="s">
        <v>154</v>
      </c>
      <c r="J5">
        <v>20000726</v>
      </c>
    </row>
    <row r="6" spans="1:10">
      <c r="A6" t="s">
        <v>6369</v>
      </c>
      <c r="B6">
        <v>600121</v>
      </c>
      <c r="C6" t="s">
        <v>6370</v>
      </c>
      <c r="D6" t="s">
        <v>292</v>
      </c>
      <c r="E6" t="s">
        <v>126</v>
      </c>
      <c r="F6" t="s">
        <v>6371</v>
      </c>
      <c r="G6" t="s">
        <v>152</v>
      </c>
      <c r="H6" t="s">
        <v>174</v>
      </c>
      <c r="I6" t="s">
        <v>154</v>
      </c>
      <c r="J6">
        <v>19980107</v>
      </c>
    </row>
    <row r="7" spans="1:10">
      <c r="A7" t="s">
        <v>6372</v>
      </c>
      <c r="B7">
        <v>600123</v>
      </c>
      <c r="C7" t="s">
        <v>6373</v>
      </c>
      <c r="D7" t="s">
        <v>557</v>
      </c>
      <c r="E7" t="s">
        <v>126</v>
      </c>
      <c r="F7" t="s">
        <v>6374</v>
      </c>
      <c r="G7" t="s">
        <v>152</v>
      </c>
      <c r="H7" t="s">
        <v>174</v>
      </c>
      <c r="I7" t="s">
        <v>154</v>
      </c>
      <c r="J7">
        <v>19981217</v>
      </c>
    </row>
    <row r="8" spans="1:10">
      <c r="A8" t="s">
        <v>6375</v>
      </c>
      <c r="B8">
        <v>600188</v>
      </c>
      <c r="C8" t="s">
        <v>6376</v>
      </c>
      <c r="D8" t="s">
        <v>198</v>
      </c>
      <c r="E8" t="s">
        <v>126</v>
      </c>
      <c r="F8" t="s">
        <v>6377</v>
      </c>
      <c r="G8" t="s">
        <v>152</v>
      </c>
      <c r="H8" t="s">
        <v>174</v>
      </c>
      <c r="I8" t="s">
        <v>154</v>
      </c>
      <c r="J8">
        <v>19980701</v>
      </c>
    </row>
    <row r="9" spans="1:10">
      <c r="A9" s="3" t="s">
        <v>6378</v>
      </c>
      <c r="B9" s="3">
        <v>600348</v>
      </c>
      <c r="C9" s="3" t="s">
        <v>6379</v>
      </c>
      <c r="D9" s="3" t="s">
        <v>557</v>
      </c>
      <c r="E9" s="3" t="s">
        <v>126</v>
      </c>
      <c r="F9" s="3" t="s">
        <v>6380</v>
      </c>
      <c r="G9" s="3" t="s">
        <v>152</v>
      </c>
      <c r="H9" s="3" t="s">
        <v>174</v>
      </c>
      <c r="I9" s="3" t="s">
        <v>154</v>
      </c>
      <c r="J9" s="3">
        <v>20030821</v>
      </c>
    </row>
    <row r="10" spans="1:10">
      <c r="A10" t="s">
        <v>6381</v>
      </c>
      <c r="B10">
        <v>600395</v>
      </c>
      <c r="C10" t="s">
        <v>6382</v>
      </c>
      <c r="D10" t="s">
        <v>463</v>
      </c>
      <c r="E10" t="s">
        <v>126</v>
      </c>
      <c r="F10" t="s">
        <v>6383</v>
      </c>
      <c r="G10" t="s">
        <v>152</v>
      </c>
      <c r="H10" t="s">
        <v>174</v>
      </c>
      <c r="I10" t="s">
        <v>154</v>
      </c>
      <c r="J10">
        <v>20010531</v>
      </c>
    </row>
    <row r="11" spans="1:10">
      <c r="A11" t="s">
        <v>6384</v>
      </c>
      <c r="B11">
        <v>600397</v>
      </c>
      <c r="C11" t="s">
        <v>6385</v>
      </c>
      <c r="D11" t="s">
        <v>406</v>
      </c>
      <c r="E11" t="s">
        <v>126</v>
      </c>
      <c r="F11" t="s">
        <v>6386</v>
      </c>
      <c r="G11" t="s">
        <v>152</v>
      </c>
      <c r="H11" t="s">
        <v>174</v>
      </c>
      <c r="I11" t="s">
        <v>154</v>
      </c>
      <c r="J11">
        <v>20020702</v>
      </c>
    </row>
    <row r="12" spans="1:10">
      <c r="A12" t="s">
        <v>6387</v>
      </c>
      <c r="B12">
        <v>600403</v>
      </c>
      <c r="C12" t="s">
        <v>6388</v>
      </c>
      <c r="D12" t="s">
        <v>292</v>
      </c>
      <c r="E12" t="s">
        <v>126</v>
      </c>
      <c r="F12" t="s">
        <v>6389</v>
      </c>
      <c r="G12" t="s">
        <v>152</v>
      </c>
      <c r="H12" t="s">
        <v>174</v>
      </c>
      <c r="I12" t="s">
        <v>154</v>
      </c>
      <c r="J12">
        <v>20031009</v>
      </c>
    </row>
    <row r="13" spans="1:10">
      <c r="A13" t="s">
        <v>6390</v>
      </c>
      <c r="B13">
        <v>600408</v>
      </c>
      <c r="C13" t="s">
        <v>6391</v>
      </c>
      <c r="D13" t="s">
        <v>557</v>
      </c>
      <c r="E13" t="s">
        <v>117</v>
      </c>
      <c r="F13" t="s">
        <v>6392</v>
      </c>
      <c r="G13" t="s">
        <v>152</v>
      </c>
      <c r="H13" t="s">
        <v>174</v>
      </c>
      <c r="I13" t="s">
        <v>154</v>
      </c>
      <c r="J13">
        <v>20030212</v>
      </c>
    </row>
    <row r="14" spans="1:10">
      <c r="A14" t="s">
        <v>6393</v>
      </c>
      <c r="B14">
        <v>600508</v>
      </c>
      <c r="C14" t="s">
        <v>6394</v>
      </c>
      <c r="D14" t="s">
        <v>172</v>
      </c>
      <c r="E14" t="s">
        <v>126</v>
      </c>
      <c r="F14" t="s">
        <v>6395</v>
      </c>
      <c r="G14" t="s">
        <v>152</v>
      </c>
      <c r="H14" t="s">
        <v>174</v>
      </c>
      <c r="I14" t="s">
        <v>154</v>
      </c>
      <c r="J14">
        <v>20010829</v>
      </c>
    </row>
    <row r="15" spans="1:10">
      <c r="A15" t="s">
        <v>6396</v>
      </c>
      <c r="B15">
        <v>600546</v>
      </c>
      <c r="C15" t="s">
        <v>6397</v>
      </c>
      <c r="D15" t="s">
        <v>557</v>
      </c>
      <c r="E15" t="s">
        <v>126</v>
      </c>
      <c r="F15" t="s">
        <v>6398</v>
      </c>
      <c r="G15" t="s">
        <v>152</v>
      </c>
      <c r="H15" t="s">
        <v>174</v>
      </c>
      <c r="I15" t="s">
        <v>154</v>
      </c>
      <c r="J15">
        <v>20030731</v>
      </c>
    </row>
    <row r="16" spans="1:10">
      <c r="A16" t="s">
        <v>6399</v>
      </c>
      <c r="B16">
        <v>600725</v>
      </c>
      <c r="C16" t="s">
        <v>6400</v>
      </c>
      <c r="D16" t="s">
        <v>184</v>
      </c>
      <c r="E16" t="s">
        <v>117</v>
      </c>
      <c r="F16" t="s">
        <v>6401</v>
      </c>
      <c r="G16" t="s">
        <v>152</v>
      </c>
      <c r="H16" t="s">
        <v>174</v>
      </c>
      <c r="I16" t="s">
        <v>154</v>
      </c>
      <c r="J16">
        <v>19960702</v>
      </c>
    </row>
    <row r="17" spans="1:10">
      <c r="A17" s="3" t="s">
        <v>6402</v>
      </c>
      <c r="B17" s="3">
        <v>600740</v>
      </c>
      <c r="C17" s="3" t="s">
        <v>6403</v>
      </c>
      <c r="D17" s="3" t="s">
        <v>557</v>
      </c>
      <c r="E17" s="3" t="s">
        <v>117</v>
      </c>
      <c r="F17" s="3" t="s">
        <v>6404</v>
      </c>
      <c r="G17" s="3" t="s">
        <v>152</v>
      </c>
      <c r="H17" s="3" t="s">
        <v>174</v>
      </c>
      <c r="I17" s="3" t="s">
        <v>154</v>
      </c>
      <c r="J17" s="3">
        <v>19960808</v>
      </c>
    </row>
    <row r="18" spans="1:10">
      <c r="A18" t="s">
        <v>6405</v>
      </c>
      <c r="B18">
        <v>600758</v>
      </c>
      <c r="C18" t="s">
        <v>6406</v>
      </c>
      <c r="D18" t="s">
        <v>236</v>
      </c>
      <c r="E18" t="s">
        <v>126</v>
      </c>
      <c r="F18" t="s">
        <v>6407</v>
      </c>
      <c r="G18" t="s">
        <v>152</v>
      </c>
      <c r="H18" t="s">
        <v>174</v>
      </c>
      <c r="I18" t="s">
        <v>154</v>
      </c>
      <c r="J18">
        <v>19961029</v>
      </c>
    </row>
    <row r="19" spans="1:10">
      <c r="A19" t="s">
        <v>6408</v>
      </c>
      <c r="B19">
        <v>600792</v>
      </c>
      <c r="C19" t="s">
        <v>6409</v>
      </c>
      <c r="D19" t="s">
        <v>184</v>
      </c>
      <c r="E19" t="s">
        <v>117</v>
      </c>
      <c r="F19" t="s">
        <v>6410</v>
      </c>
      <c r="G19" t="s">
        <v>152</v>
      </c>
      <c r="H19" t="s">
        <v>174</v>
      </c>
      <c r="I19" t="s">
        <v>154</v>
      </c>
      <c r="J19">
        <v>19970123</v>
      </c>
    </row>
    <row r="20" spans="1:10">
      <c r="A20" t="s">
        <v>6411</v>
      </c>
      <c r="B20">
        <v>600971</v>
      </c>
      <c r="C20" t="s">
        <v>6412</v>
      </c>
      <c r="D20" t="s">
        <v>160</v>
      </c>
      <c r="E20" t="s">
        <v>126</v>
      </c>
      <c r="F20" t="s">
        <v>6413</v>
      </c>
      <c r="G20" t="s">
        <v>152</v>
      </c>
      <c r="H20" t="s">
        <v>174</v>
      </c>
      <c r="I20" t="s">
        <v>154</v>
      </c>
      <c r="J20">
        <v>20040817</v>
      </c>
    </row>
    <row r="21" spans="1:10">
      <c r="A21" t="s">
        <v>6414</v>
      </c>
      <c r="B21">
        <v>600985</v>
      </c>
      <c r="C21" t="s">
        <v>6415</v>
      </c>
      <c r="D21" t="s">
        <v>160</v>
      </c>
      <c r="E21" t="s">
        <v>126</v>
      </c>
      <c r="F21" t="s">
        <v>6416</v>
      </c>
      <c r="G21" t="s">
        <v>152</v>
      </c>
      <c r="H21" t="s">
        <v>174</v>
      </c>
      <c r="I21" t="s">
        <v>154</v>
      </c>
      <c r="J21">
        <v>20040428</v>
      </c>
    </row>
    <row r="22" spans="1:10">
      <c r="A22" s="1" t="s">
        <v>6417</v>
      </c>
      <c r="B22" s="1">
        <v>600997</v>
      </c>
      <c r="C22" s="1" t="s">
        <v>6418</v>
      </c>
      <c r="D22" s="1" t="s">
        <v>279</v>
      </c>
      <c r="E22" s="1" t="s">
        <v>126</v>
      </c>
      <c r="F22" s="1" t="s">
        <v>6419</v>
      </c>
      <c r="G22" s="1" t="s">
        <v>152</v>
      </c>
      <c r="H22" s="1" t="s">
        <v>174</v>
      </c>
      <c r="I22" s="1" t="s">
        <v>154</v>
      </c>
      <c r="J22" s="1">
        <v>20040602</v>
      </c>
    </row>
    <row r="23" spans="1:10">
      <c r="A23" t="s">
        <v>6420</v>
      </c>
      <c r="B23">
        <v>601001</v>
      </c>
      <c r="C23" t="s">
        <v>6421</v>
      </c>
      <c r="D23" t="s">
        <v>557</v>
      </c>
      <c r="E23" t="s">
        <v>126</v>
      </c>
      <c r="F23" t="s">
        <v>6422</v>
      </c>
      <c r="G23" t="s">
        <v>152</v>
      </c>
      <c r="H23" t="s">
        <v>174</v>
      </c>
      <c r="I23" t="s">
        <v>154</v>
      </c>
      <c r="J23">
        <v>20060623</v>
      </c>
    </row>
    <row r="24" spans="1:10">
      <c r="A24" t="s">
        <v>6423</v>
      </c>
      <c r="B24">
        <v>601011</v>
      </c>
      <c r="C24" t="s">
        <v>6424</v>
      </c>
      <c r="D24" t="s">
        <v>194</v>
      </c>
      <c r="E24" t="s">
        <v>117</v>
      </c>
      <c r="F24" t="s">
        <v>6425</v>
      </c>
      <c r="G24" t="s">
        <v>152</v>
      </c>
      <c r="H24" t="s">
        <v>174</v>
      </c>
      <c r="I24" t="s">
        <v>154</v>
      </c>
      <c r="J24">
        <v>20110309</v>
      </c>
    </row>
    <row r="25" spans="1:10">
      <c r="A25" t="s">
        <v>6426</v>
      </c>
      <c r="B25">
        <v>601015</v>
      </c>
      <c r="C25" t="s">
        <v>6427</v>
      </c>
      <c r="D25" t="s">
        <v>419</v>
      </c>
      <c r="E25" t="s">
        <v>117</v>
      </c>
      <c r="F25" t="s">
        <v>6428</v>
      </c>
      <c r="G25" t="s">
        <v>152</v>
      </c>
      <c r="H25" t="s">
        <v>174</v>
      </c>
      <c r="I25" t="s">
        <v>154</v>
      </c>
      <c r="J25">
        <v>20141105</v>
      </c>
    </row>
    <row r="26" spans="1:10">
      <c r="A26" t="s">
        <v>6429</v>
      </c>
      <c r="B26">
        <v>601088</v>
      </c>
      <c r="C26" t="s">
        <v>6430</v>
      </c>
      <c r="D26" t="s">
        <v>164</v>
      </c>
      <c r="E26" t="s">
        <v>126</v>
      </c>
      <c r="F26" t="s">
        <v>6431</v>
      </c>
      <c r="G26" t="s">
        <v>152</v>
      </c>
      <c r="H26" t="s">
        <v>174</v>
      </c>
      <c r="I26" t="s">
        <v>154</v>
      </c>
      <c r="J26">
        <v>20071009</v>
      </c>
    </row>
    <row r="27" spans="1:10">
      <c r="A27" t="s">
        <v>6432</v>
      </c>
      <c r="B27">
        <v>601101</v>
      </c>
      <c r="C27" t="s">
        <v>6433</v>
      </c>
      <c r="D27" t="s">
        <v>164</v>
      </c>
      <c r="E27" t="s">
        <v>126</v>
      </c>
      <c r="F27" t="s">
        <v>6434</v>
      </c>
      <c r="G27" t="s">
        <v>152</v>
      </c>
      <c r="H27" t="s">
        <v>174</v>
      </c>
      <c r="I27" t="s">
        <v>154</v>
      </c>
      <c r="J27">
        <v>20100331</v>
      </c>
    </row>
    <row r="28" spans="1:10">
      <c r="A28" t="s">
        <v>6435</v>
      </c>
      <c r="B28">
        <v>601225</v>
      </c>
      <c r="C28" t="s">
        <v>6436</v>
      </c>
      <c r="D28" t="s">
        <v>419</v>
      </c>
      <c r="E28" t="s">
        <v>126</v>
      </c>
      <c r="F28" t="s">
        <v>6437</v>
      </c>
      <c r="G28" t="s">
        <v>152</v>
      </c>
      <c r="H28" t="s">
        <v>174</v>
      </c>
      <c r="I28" t="s">
        <v>154</v>
      </c>
      <c r="J28">
        <v>20140128</v>
      </c>
    </row>
    <row r="29" spans="1:10">
      <c r="A29" t="s">
        <v>6438</v>
      </c>
      <c r="B29">
        <v>601666</v>
      </c>
      <c r="C29" t="s">
        <v>6439</v>
      </c>
      <c r="D29" t="s">
        <v>292</v>
      </c>
      <c r="E29" t="s">
        <v>126</v>
      </c>
      <c r="F29" t="s">
        <v>6440</v>
      </c>
      <c r="G29" t="s">
        <v>152</v>
      </c>
      <c r="H29" t="s">
        <v>174</v>
      </c>
      <c r="I29" t="s">
        <v>154</v>
      </c>
      <c r="J29">
        <v>20061123</v>
      </c>
    </row>
    <row r="30" spans="1:10">
      <c r="A30" t="s">
        <v>6441</v>
      </c>
      <c r="B30">
        <v>601699</v>
      </c>
      <c r="C30" t="s">
        <v>6442</v>
      </c>
      <c r="D30" t="s">
        <v>557</v>
      </c>
      <c r="E30" t="s">
        <v>126</v>
      </c>
      <c r="F30" t="s">
        <v>6443</v>
      </c>
      <c r="G30" t="s">
        <v>152</v>
      </c>
      <c r="H30" t="s">
        <v>174</v>
      </c>
      <c r="I30" t="s">
        <v>154</v>
      </c>
      <c r="J30">
        <v>20060922</v>
      </c>
    </row>
    <row r="31" spans="1:10">
      <c r="A31" t="s">
        <v>6444</v>
      </c>
      <c r="B31">
        <v>601898</v>
      </c>
      <c r="C31" t="s">
        <v>6445</v>
      </c>
      <c r="D31" t="s">
        <v>164</v>
      </c>
      <c r="E31" t="s">
        <v>126</v>
      </c>
      <c r="F31" t="s">
        <v>6446</v>
      </c>
      <c r="G31" t="s">
        <v>152</v>
      </c>
      <c r="H31" t="s">
        <v>174</v>
      </c>
      <c r="I31" t="s">
        <v>154</v>
      </c>
      <c r="J31">
        <v>20080201</v>
      </c>
    </row>
    <row r="32" spans="1:10">
      <c r="A32" t="s">
        <v>6447</v>
      </c>
      <c r="B32">
        <v>601918</v>
      </c>
      <c r="C32" t="s">
        <v>6448</v>
      </c>
      <c r="D32" t="s">
        <v>160</v>
      </c>
      <c r="E32" t="s">
        <v>126</v>
      </c>
      <c r="F32" t="s">
        <v>6449</v>
      </c>
      <c r="G32" t="s">
        <v>152</v>
      </c>
      <c r="H32" t="s">
        <v>174</v>
      </c>
      <c r="I32" t="s">
        <v>154</v>
      </c>
      <c r="J32">
        <v>20071219</v>
      </c>
    </row>
    <row r="33" spans="1:10">
      <c r="A33" t="s">
        <v>6450</v>
      </c>
      <c r="B33">
        <v>603113</v>
      </c>
      <c r="C33" t="s">
        <v>6451</v>
      </c>
      <c r="D33" t="s">
        <v>198</v>
      </c>
      <c r="E33" t="s">
        <v>117</v>
      </c>
      <c r="F33" t="s">
        <v>6452</v>
      </c>
      <c r="G33" t="s">
        <v>152</v>
      </c>
      <c r="H33" t="s">
        <v>174</v>
      </c>
      <c r="I33" t="s">
        <v>154</v>
      </c>
      <c r="J33">
        <v>20170511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workbookViewId="0">
      <selection activeCell="G19" sqref="G19"/>
    </sheetView>
  </sheetViews>
  <sheetFormatPr defaultColWidth="9" defaultRowHeight="13.5"/>
  <cols>
    <col min="3" max="3" width="16.6666666666667" customWidth="1"/>
    <col min="6" max="6" width="15.375" customWidth="1"/>
  </cols>
  <sheetData>
    <row r="1" spans="1:10">
      <c r="A1" t="s">
        <v>6453</v>
      </c>
      <c r="B1">
        <v>59</v>
      </c>
      <c r="C1" t="s">
        <v>6454</v>
      </c>
      <c r="D1" t="s">
        <v>236</v>
      </c>
      <c r="E1" t="s">
        <v>130</v>
      </c>
      <c r="F1" t="s">
        <v>6455</v>
      </c>
      <c r="G1" t="s">
        <v>152</v>
      </c>
      <c r="H1" t="s">
        <v>153</v>
      </c>
      <c r="I1" t="s">
        <v>154</v>
      </c>
      <c r="J1">
        <v>19970130</v>
      </c>
    </row>
    <row r="2" spans="1:10">
      <c r="A2" t="s">
        <v>6456</v>
      </c>
      <c r="B2">
        <v>96</v>
      </c>
      <c r="C2" t="s">
        <v>6457</v>
      </c>
      <c r="D2" t="s">
        <v>243</v>
      </c>
      <c r="E2" t="s">
        <v>127</v>
      </c>
      <c r="F2" t="s">
        <v>6458</v>
      </c>
      <c r="G2" t="s">
        <v>152</v>
      </c>
      <c r="H2" t="s">
        <v>153</v>
      </c>
      <c r="I2" t="s">
        <v>154</v>
      </c>
      <c r="J2">
        <v>20000724</v>
      </c>
    </row>
    <row r="3" spans="1:14">
      <c r="A3" t="s">
        <v>6459</v>
      </c>
      <c r="B3">
        <v>159</v>
      </c>
      <c r="C3" t="s">
        <v>6460</v>
      </c>
      <c r="D3" t="s">
        <v>202</v>
      </c>
      <c r="E3" t="s">
        <v>127</v>
      </c>
      <c r="F3" t="s">
        <v>6461</v>
      </c>
      <c r="G3" t="s">
        <v>152</v>
      </c>
      <c r="H3" t="s">
        <v>153</v>
      </c>
      <c r="I3" t="s">
        <v>154</v>
      </c>
      <c r="J3">
        <v>20000926</v>
      </c>
      <c r="M3" t="s">
        <v>4129</v>
      </c>
      <c r="N3">
        <v>27</v>
      </c>
    </row>
    <row r="4" spans="1:14">
      <c r="A4" t="s">
        <v>6462</v>
      </c>
      <c r="B4">
        <v>554</v>
      </c>
      <c r="C4" t="s">
        <v>6463</v>
      </c>
      <c r="D4" t="s">
        <v>198</v>
      </c>
      <c r="E4" t="s">
        <v>127</v>
      </c>
      <c r="F4" t="s">
        <v>6464</v>
      </c>
      <c r="G4" t="s">
        <v>152</v>
      </c>
      <c r="H4" t="s">
        <v>153</v>
      </c>
      <c r="I4" t="s">
        <v>154</v>
      </c>
      <c r="J4">
        <v>19931215</v>
      </c>
      <c r="M4" t="s">
        <v>4133</v>
      </c>
      <c r="N4" s="2">
        <f ca="1">CEILING(RAND()*N3,1)</f>
        <v>19</v>
      </c>
    </row>
    <row r="5" spans="1:10">
      <c r="A5" t="s">
        <v>6465</v>
      </c>
      <c r="B5">
        <v>637</v>
      </c>
      <c r="C5" t="s">
        <v>6466</v>
      </c>
      <c r="D5" t="s">
        <v>223</v>
      </c>
      <c r="E5" t="s">
        <v>130</v>
      </c>
      <c r="F5" t="s">
        <v>6467</v>
      </c>
      <c r="G5" t="s">
        <v>152</v>
      </c>
      <c r="H5" t="s">
        <v>153</v>
      </c>
      <c r="I5" t="s">
        <v>154</v>
      </c>
      <c r="J5">
        <v>19961114</v>
      </c>
    </row>
    <row r="6" spans="1:10">
      <c r="A6" t="s">
        <v>6468</v>
      </c>
      <c r="B6">
        <v>698</v>
      </c>
      <c r="C6" t="s">
        <v>6469</v>
      </c>
      <c r="D6" t="s">
        <v>236</v>
      </c>
      <c r="E6" t="s">
        <v>130</v>
      </c>
      <c r="F6" t="s">
        <v>6470</v>
      </c>
      <c r="G6" t="s">
        <v>152</v>
      </c>
      <c r="H6" t="s">
        <v>153</v>
      </c>
      <c r="I6" t="s">
        <v>154</v>
      </c>
      <c r="J6">
        <v>19970220</v>
      </c>
    </row>
    <row r="7" spans="1:10">
      <c r="A7" t="s">
        <v>6471</v>
      </c>
      <c r="B7">
        <v>819</v>
      </c>
      <c r="C7" t="s">
        <v>6472</v>
      </c>
      <c r="D7" t="s">
        <v>168</v>
      </c>
      <c r="E7" t="s">
        <v>130</v>
      </c>
      <c r="F7" t="s">
        <v>6473</v>
      </c>
      <c r="G7" t="s">
        <v>152</v>
      </c>
      <c r="H7" t="s">
        <v>153</v>
      </c>
      <c r="I7" t="s">
        <v>154</v>
      </c>
      <c r="J7">
        <v>19970625</v>
      </c>
    </row>
    <row r="8" spans="1:10">
      <c r="A8" t="s">
        <v>6474</v>
      </c>
      <c r="B8">
        <v>968</v>
      </c>
      <c r="C8" t="s">
        <v>6475</v>
      </c>
      <c r="D8" t="s">
        <v>557</v>
      </c>
      <c r="E8" t="s">
        <v>118</v>
      </c>
      <c r="F8" t="s">
        <v>6476</v>
      </c>
      <c r="G8" t="s">
        <v>152</v>
      </c>
      <c r="H8" t="s">
        <v>153</v>
      </c>
      <c r="I8" t="s">
        <v>154</v>
      </c>
      <c r="J8">
        <v>20000622</v>
      </c>
    </row>
    <row r="9" spans="1:10">
      <c r="A9" t="s">
        <v>6477</v>
      </c>
      <c r="B9">
        <v>600028</v>
      </c>
      <c r="C9" t="s">
        <v>6478</v>
      </c>
      <c r="D9" t="s">
        <v>164</v>
      </c>
      <c r="E9" t="s">
        <v>130</v>
      </c>
      <c r="F9" t="s">
        <v>6479</v>
      </c>
      <c r="G9" t="s">
        <v>152</v>
      </c>
      <c r="H9" t="s">
        <v>174</v>
      </c>
      <c r="I9" t="s">
        <v>154</v>
      </c>
      <c r="J9">
        <v>20010808</v>
      </c>
    </row>
    <row r="10" spans="1:10">
      <c r="A10" t="s">
        <v>6480</v>
      </c>
      <c r="B10">
        <v>600256</v>
      </c>
      <c r="C10" t="s">
        <v>6481</v>
      </c>
      <c r="D10" t="s">
        <v>202</v>
      </c>
      <c r="E10" t="s">
        <v>118</v>
      </c>
      <c r="F10" t="s">
        <v>6482</v>
      </c>
      <c r="G10" t="s">
        <v>152</v>
      </c>
      <c r="H10" t="s">
        <v>174</v>
      </c>
      <c r="I10" t="s">
        <v>154</v>
      </c>
      <c r="J10">
        <v>20000526</v>
      </c>
    </row>
    <row r="11" spans="1:10">
      <c r="A11" t="s">
        <v>6483</v>
      </c>
      <c r="B11">
        <v>600339</v>
      </c>
      <c r="C11" t="s">
        <v>6484</v>
      </c>
      <c r="D11" t="s">
        <v>202</v>
      </c>
      <c r="E11" t="s">
        <v>130</v>
      </c>
      <c r="F11" t="s">
        <v>6485</v>
      </c>
      <c r="G11" t="s">
        <v>152</v>
      </c>
      <c r="H11" t="s">
        <v>174</v>
      </c>
      <c r="I11" t="s">
        <v>154</v>
      </c>
      <c r="J11">
        <v>20001225</v>
      </c>
    </row>
    <row r="12" spans="1:10">
      <c r="A12" s="3" t="s">
        <v>6486</v>
      </c>
      <c r="B12" s="3">
        <v>600346</v>
      </c>
      <c r="C12" s="3" t="s">
        <v>6487</v>
      </c>
      <c r="D12" s="3" t="s">
        <v>236</v>
      </c>
      <c r="E12" s="3" t="s">
        <v>130</v>
      </c>
      <c r="F12" s="3" t="s">
        <v>6488</v>
      </c>
      <c r="G12" s="3" t="s">
        <v>152</v>
      </c>
      <c r="H12" s="3" t="s">
        <v>174</v>
      </c>
      <c r="I12" s="3" t="s">
        <v>154</v>
      </c>
      <c r="J12" s="3">
        <v>20010820</v>
      </c>
    </row>
    <row r="13" spans="1:10">
      <c r="A13" t="s">
        <v>6489</v>
      </c>
      <c r="B13">
        <v>600387</v>
      </c>
      <c r="C13" t="s">
        <v>6490</v>
      </c>
      <c r="D13" t="s">
        <v>423</v>
      </c>
      <c r="E13" t="s">
        <v>127</v>
      </c>
      <c r="F13" t="s">
        <v>6491</v>
      </c>
      <c r="G13" t="s">
        <v>152</v>
      </c>
      <c r="H13" t="s">
        <v>174</v>
      </c>
      <c r="I13" t="s">
        <v>154</v>
      </c>
      <c r="J13">
        <v>20040218</v>
      </c>
    </row>
    <row r="14" spans="1:10">
      <c r="A14" t="s">
        <v>6492</v>
      </c>
      <c r="B14">
        <v>600583</v>
      </c>
      <c r="C14" t="s">
        <v>6493</v>
      </c>
      <c r="D14" t="s">
        <v>576</v>
      </c>
      <c r="E14" t="s">
        <v>118</v>
      </c>
      <c r="F14" t="s">
        <v>6494</v>
      </c>
      <c r="G14" t="s">
        <v>152</v>
      </c>
      <c r="H14" t="s">
        <v>174</v>
      </c>
      <c r="I14" t="s">
        <v>154</v>
      </c>
      <c r="J14">
        <v>20020205</v>
      </c>
    </row>
    <row r="15" spans="1:10">
      <c r="A15" t="s">
        <v>6495</v>
      </c>
      <c r="B15">
        <v>600688</v>
      </c>
      <c r="C15" t="s">
        <v>6496</v>
      </c>
      <c r="D15" t="s">
        <v>172</v>
      </c>
      <c r="E15" t="s">
        <v>130</v>
      </c>
      <c r="F15" t="s">
        <v>6497</v>
      </c>
      <c r="G15" t="s">
        <v>152</v>
      </c>
      <c r="H15" t="s">
        <v>174</v>
      </c>
      <c r="I15" t="s">
        <v>154</v>
      </c>
      <c r="J15">
        <v>19931108</v>
      </c>
    </row>
    <row r="16" spans="1:10">
      <c r="A16" t="s">
        <v>6498</v>
      </c>
      <c r="B16">
        <v>600759</v>
      </c>
      <c r="C16" t="s">
        <v>6499</v>
      </c>
      <c r="D16" t="s">
        <v>250</v>
      </c>
      <c r="E16" t="s">
        <v>118</v>
      </c>
      <c r="F16" t="s">
        <v>6500</v>
      </c>
      <c r="G16" t="s">
        <v>152</v>
      </c>
      <c r="H16" t="s">
        <v>174</v>
      </c>
      <c r="I16" t="s">
        <v>154</v>
      </c>
      <c r="J16">
        <v>19961008</v>
      </c>
    </row>
    <row r="17" spans="1:10">
      <c r="A17" s="3" t="s">
        <v>6501</v>
      </c>
      <c r="B17" s="3">
        <v>600777</v>
      </c>
      <c r="C17" s="3" t="s">
        <v>6502</v>
      </c>
      <c r="D17" s="3" t="s">
        <v>198</v>
      </c>
      <c r="E17" s="3" t="s">
        <v>118</v>
      </c>
      <c r="F17" s="3" t="s">
        <v>6503</v>
      </c>
      <c r="G17" s="3" t="s">
        <v>152</v>
      </c>
      <c r="H17" s="3" t="s">
        <v>174</v>
      </c>
      <c r="I17" s="3" t="s">
        <v>154</v>
      </c>
      <c r="J17" s="3">
        <v>19961121</v>
      </c>
    </row>
    <row r="18" spans="1:10">
      <c r="A18" t="s">
        <v>6504</v>
      </c>
      <c r="B18">
        <v>600871</v>
      </c>
      <c r="C18" t="s">
        <v>6505</v>
      </c>
      <c r="D18" t="s">
        <v>164</v>
      </c>
      <c r="E18" t="s">
        <v>118</v>
      </c>
      <c r="F18" t="s">
        <v>6506</v>
      </c>
      <c r="G18" t="s">
        <v>152</v>
      </c>
      <c r="H18" t="s">
        <v>174</v>
      </c>
      <c r="I18" t="s">
        <v>154</v>
      </c>
      <c r="J18">
        <v>19950411</v>
      </c>
    </row>
    <row r="19" spans="1:10">
      <c r="A19" s="1" t="s">
        <v>6507</v>
      </c>
      <c r="B19" s="1">
        <v>600938</v>
      </c>
      <c r="C19" s="1" t="s">
        <v>6508</v>
      </c>
      <c r="D19" s="1" t="s">
        <v>164</v>
      </c>
      <c r="E19" s="1" t="s">
        <v>118</v>
      </c>
      <c r="F19" s="1" t="s">
        <v>6509</v>
      </c>
      <c r="G19" s="1" t="s">
        <v>152</v>
      </c>
      <c r="H19" s="1" t="s">
        <v>174</v>
      </c>
      <c r="I19" s="1" t="s">
        <v>154</v>
      </c>
      <c r="J19" s="1">
        <v>20220421</v>
      </c>
    </row>
    <row r="20" spans="1:10">
      <c r="A20" t="s">
        <v>6510</v>
      </c>
      <c r="B20">
        <v>600968</v>
      </c>
      <c r="C20" t="s">
        <v>6511</v>
      </c>
      <c r="D20" t="s">
        <v>164</v>
      </c>
      <c r="E20" t="s">
        <v>118</v>
      </c>
      <c r="F20" t="s">
        <v>6512</v>
      </c>
      <c r="G20" t="s">
        <v>152</v>
      </c>
      <c r="H20" t="s">
        <v>174</v>
      </c>
      <c r="I20" t="s">
        <v>154</v>
      </c>
      <c r="J20">
        <v>20190626</v>
      </c>
    </row>
    <row r="21" spans="1:10">
      <c r="A21" t="s">
        <v>6513</v>
      </c>
      <c r="B21">
        <v>601808</v>
      </c>
      <c r="C21" t="s">
        <v>6514</v>
      </c>
      <c r="D21" t="s">
        <v>576</v>
      </c>
      <c r="E21" t="s">
        <v>118</v>
      </c>
      <c r="F21" t="s">
        <v>6515</v>
      </c>
      <c r="G21" t="s">
        <v>152</v>
      </c>
      <c r="H21" t="s">
        <v>174</v>
      </c>
      <c r="I21" t="s">
        <v>154</v>
      </c>
      <c r="J21">
        <v>20070928</v>
      </c>
    </row>
    <row r="22" spans="1:10">
      <c r="A22" t="s">
        <v>6516</v>
      </c>
      <c r="B22">
        <v>601857</v>
      </c>
      <c r="C22" t="s">
        <v>6517</v>
      </c>
      <c r="D22" t="s">
        <v>164</v>
      </c>
      <c r="E22" t="s">
        <v>118</v>
      </c>
      <c r="F22" t="s">
        <v>6518</v>
      </c>
      <c r="G22" t="s">
        <v>152</v>
      </c>
      <c r="H22" t="s">
        <v>174</v>
      </c>
      <c r="I22" t="s">
        <v>154</v>
      </c>
      <c r="J22">
        <v>20071105</v>
      </c>
    </row>
    <row r="23" spans="1:10">
      <c r="A23" t="s">
        <v>6519</v>
      </c>
      <c r="B23">
        <v>603003</v>
      </c>
      <c r="C23" t="s">
        <v>6520</v>
      </c>
      <c r="D23" t="s">
        <v>172</v>
      </c>
      <c r="E23" t="s">
        <v>127</v>
      </c>
      <c r="F23" t="s">
        <v>6521</v>
      </c>
      <c r="G23" t="s">
        <v>152</v>
      </c>
      <c r="H23" t="s">
        <v>174</v>
      </c>
      <c r="I23" t="s">
        <v>154</v>
      </c>
      <c r="J23">
        <v>20120817</v>
      </c>
    </row>
    <row r="24" spans="1:10">
      <c r="A24" t="s">
        <v>6522</v>
      </c>
      <c r="B24">
        <v>603353</v>
      </c>
      <c r="C24" t="s">
        <v>6523</v>
      </c>
      <c r="D24" t="s">
        <v>168</v>
      </c>
      <c r="E24" t="s">
        <v>127</v>
      </c>
      <c r="F24" t="s">
        <v>6524</v>
      </c>
      <c r="G24" t="s">
        <v>152</v>
      </c>
      <c r="H24" t="s">
        <v>174</v>
      </c>
      <c r="I24" t="s">
        <v>154</v>
      </c>
      <c r="J24">
        <v>20200407</v>
      </c>
    </row>
    <row r="25" spans="1:10">
      <c r="A25" t="s">
        <v>6525</v>
      </c>
      <c r="B25">
        <v>603619</v>
      </c>
      <c r="C25" t="s">
        <v>6526</v>
      </c>
      <c r="D25" t="s">
        <v>172</v>
      </c>
      <c r="E25" t="s">
        <v>118</v>
      </c>
      <c r="F25" t="s">
        <v>6527</v>
      </c>
      <c r="G25" t="s">
        <v>152</v>
      </c>
      <c r="H25" t="s">
        <v>174</v>
      </c>
      <c r="I25" t="s">
        <v>154</v>
      </c>
      <c r="J25">
        <v>20171117</v>
      </c>
    </row>
    <row r="26" spans="1:10">
      <c r="A26" t="s">
        <v>6528</v>
      </c>
      <c r="B26">
        <v>603727</v>
      </c>
      <c r="C26" t="s">
        <v>6529</v>
      </c>
      <c r="D26" t="s">
        <v>576</v>
      </c>
      <c r="E26" t="s">
        <v>118</v>
      </c>
      <c r="F26" t="s">
        <v>6530</v>
      </c>
      <c r="G26" t="s">
        <v>152</v>
      </c>
      <c r="H26" t="s">
        <v>174</v>
      </c>
      <c r="I26" t="s">
        <v>154</v>
      </c>
      <c r="J26">
        <v>20161122</v>
      </c>
    </row>
    <row r="27" spans="1:10">
      <c r="A27" t="s">
        <v>6531</v>
      </c>
      <c r="B27">
        <v>603798</v>
      </c>
      <c r="C27" t="s">
        <v>6532</v>
      </c>
      <c r="D27" t="s">
        <v>198</v>
      </c>
      <c r="E27" t="s">
        <v>130</v>
      </c>
      <c r="F27" t="s">
        <v>6533</v>
      </c>
      <c r="G27" t="s">
        <v>152</v>
      </c>
      <c r="H27" t="s">
        <v>174</v>
      </c>
      <c r="I27" t="s">
        <v>154</v>
      </c>
      <c r="J27">
        <v>20160406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M3" sqref="M3:N4"/>
    </sheetView>
  </sheetViews>
  <sheetFormatPr defaultColWidth="9" defaultRowHeight="13.5"/>
  <cols>
    <col min="3" max="3" width="12.65" customWidth="1"/>
    <col min="6" max="6" width="14.575" customWidth="1"/>
  </cols>
  <sheetData>
    <row r="1" spans="1:10">
      <c r="A1" t="s">
        <v>6534</v>
      </c>
      <c r="B1">
        <v>5</v>
      </c>
      <c r="C1" t="s">
        <v>6535</v>
      </c>
      <c r="D1" t="s">
        <v>243</v>
      </c>
      <c r="E1" t="s">
        <v>119</v>
      </c>
      <c r="F1" t="s">
        <v>6536</v>
      </c>
      <c r="G1" t="s">
        <v>152</v>
      </c>
      <c r="H1" t="s">
        <v>153</v>
      </c>
      <c r="I1" t="s">
        <v>154</v>
      </c>
      <c r="J1">
        <v>19901210</v>
      </c>
    </row>
    <row r="2" spans="1:10">
      <c r="A2" t="s">
        <v>6537</v>
      </c>
      <c r="B2">
        <v>35</v>
      </c>
      <c r="C2" t="s">
        <v>6538</v>
      </c>
      <c r="D2" t="s">
        <v>212</v>
      </c>
      <c r="E2" t="s">
        <v>119</v>
      </c>
      <c r="F2" t="s">
        <v>6539</v>
      </c>
      <c r="G2" t="s">
        <v>152</v>
      </c>
      <c r="H2" t="s">
        <v>153</v>
      </c>
      <c r="I2" t="s">
        <v>154</v>
      </c>
      <c r="J2">
        <v>19940408</v>
      </c>
    </row>
    <row r="3" spans="1:14">
      <c r="A3" t="s">
        <v>6540</v>
      </c>
      <c r="B3">
        <v>68</v>
      </c>
      <c r="C3" t="s">
        <v>6541</v>
      </c>
      <c r="D3" t="s">
        <v>243</v>
      </c>
      <c r="E3" t="s">
        <v>119</v>
      </c>
      <c r="F3" t="s">
        <v>6542</v>
      </c>
      <c r="G3" t="s">
        <v>152</v>
      </c>
      <c r="H3" t="s">
        <v>153</v>
      </c>
      <c r="I3" t="s">
        <v>154</v>
      </c>
      <c r="J3">
        <v>19970611</v>
      </c>
      <c r="M3" t="s">
        <v>4129</v>
      </c>
      <c r="N3">
        <v>42</v>
      </c>
    </row>
    <row r="4" spans="1:14">
      <c r="A4" t="s">
        <v>6543</v>
      </c>
      <c r="B4">
        <v>544</v>
      </c>
      <c r="C4" t="s">
        <v>6544</v>
      </c>
      <c r="D4" t="s">
        <v>292</v>
      </c>
      <c r="E4" t="s">
        <v>119</v>
      </c>
      <c r="F4" t="s">
        <v>6545</v>
      </c>
      <c r="G4" t="s">
        <v>152</v>
      </c>
      <c r="H4" t="s">
        <v>153</v>
      </c>
      <c r="I4" t="s">
        <v>154</v>
      </c>
      <c r="J4">
        <v>19931208</v>
      </c>
      <c r="M4" t="s">
        <v>4133</v>
      </c>
      <c r="N4" s="2">
        <f ca="1">CEILING(RAND()*N3,1)</f>
        <v>9</v>
      </c>
    </row>
    <row r="5" spans="1:10">
      <c r="A5" t="s">
        <v>6546</v>
      </c>
      <c r="B5">
        <v>546</v>
      </c>
      <c r="C5" t="s">
        <v>6547</v>
      </c>
      <c r="D5" t="s">
        <v>312</v>
      </c>
      <c r="E5" t="s">
        <v>119</v>
      </c>
      <c r="F5" t="s">
        <v>6548</v>
      </c>
      <c r="G5" t="s">
        <v>152</v>
      </c>
      <c r="H5" t="s">
        <v>153</v>
      </c>
      <c r="I5" t="s">
        <v>154</v>
      </c>
      <c r="J5">
        <v>19931215</v>
      </c>
    </row>
    <row r="6" spans="1:10">
      <c r="A6" t="s">
        <v>6549</v>
      </c>
      <c r="B6">
        <v>711</v>
      </c>
      <c r="C6" t="s">
        <v>6550</v>
      </c>
      <c r="D6" t="s">
        <v>194</v>
      </c>
      <c r="E6" t="s">
        <v>119</v>
      </c>
      <c r="F6" t="s">
        <v>6551</v>
      </c>
      <c r="G6" t="s">
        <v>152</v>
      </c>
      <c r="H6" t="s">
        <v>153</v>
      </c>
      <c r="I6" t="s">
        <v>154</v>
      </c>
      <c r="J6">
        <v>19970411</v>
      </c>
    </row>
    <row r="7" spans="1:10">
      <c r="A7" t="s">
        <v>6552</v>
      </c>
      <c r="B7">
        <v>803</v>
      </c>
      <c r="C7" t="s">
        <v>6553</v>
      </c>
      <c r="D7" t="s">
        <v>219</v>
      </c>
      <c r="E7" t="s">
        <v>119</v>
      </c>
      <c r="F7" t="s">
        <v>6554</v>
      </c>
      <c r="G7" t="s">
        <v>152</v>
      </c>
      <c r="H7" t="s">
        <v>153</v>
      </c>
      <c r="I7" t="s">
        <v>154</v>
      </c>
      <c r="J7">
        <v>19980303</v>
      </c>
    </row>
    <row r="8" spans="1:10">
      <c r="A8" t="s">
        <v>6555</v>
      </c>
      <c r="B8">
        <v>820</v>
      </c>
      <c r="C8" t="s">
        <v>6556</v>
      </c>
      <c r="D8" t="s">
        <v>406</v>
      </c>
      <c r="E8" t="s">
        <v>119</v>
      </c>
      <c r="F8" t="s">
        <v>6557</v>
      </c>
      <c r="G8" t="s">
        <v>152</v>
      </c>
      <c r="H8" t="s">
        <v>153</v>
      </c>
      <c r="I8" t="s">
        <v>154</v>
      </c>
      <c r="J8">
        <v>19980630</v>
      </c>
    </row>
    <row r="9" spans="1:10">
      <c r="A9" t="s">
        <v>6558</v>
      </c>
      <c r="B9">
        <v>826</v>
      </c>
      <c r="C9" t="s">
        <v>6559</v>
      </c>
      <c r="D9" t="s">
        <v>316</v>
      </c>
      <c r="E9" t="s">
        <v>119</v>
      </c>
      <c r="F9" t="s">
        <v>6560</v>
      </c>
      <c r="G9" t="s">
        <v>152</v>
      </c>
      <c r="H9" t="s">
        <v>153</v>
      </c>
      <c r="I9" t="s">
        <v>154</v>
      </c>
      <c r="J9">
        <v>19980225</v>
      </c>
    </row>
    <row r="10" spans="1:10">
      <c r="A10" t="s">
        <v>6561</v>
      </c>
      <c r="B10">
        <v>885</v>
      </c>
      <c r="C10" t="s">
        <v>6562</v>
      </c>
      <c r="D10" t="s">
        <v>292</v>
      </c>
      <c r="E10" t="s">
        <v>119</v>
      </c>
      <c r="F10" t="s">
        <v>6563</v>
      </c>
      <c r="G10" t="s">
        <v>152</v>
      </c>
      <c r="H10" t="s">
        <v>153</v>
      </c>
      <c r="I10" t="s">
        <v>154</v>
      </c>
      <c r="J10">
        <v>19990319</v>
      </c>
    </row>
    <row r="11" spans="1:10">
      <c r="A11" t="s">
        <v>6564</v>
      </c>
      <c r="B11">
        <v>920</v>
      </c>
      <c r="C11" t="s">
        <v>6565</v>
      </c>
      <c r="D11" t="s">
        <v>463</v>
      </c>
      <c r="E11" t="s">
        <v>119</v>
      </c>
      <c r="F11" t="s">
        <v>6566</v>
      </c>
      <c r="G11" t="s">
        <v>152</v>
      </c>
      <c r="H11" t="s">
        <v>153</v>
      </c>
      <c r="I11" t="s">
        <v>154</v>
      </c>
      <c r="J11">
        <v>19990616</v>
      </c>
    </row>
    <row r="12" spans="1:10">
      <c r="A12" t="s">
        <v>6567</v>
      </c>
      <c r="B12">
        <v>967</v>
      </c>
      <c r="C12" t="s">
        <v>6568</v>
      </c>
      <c r="D12" t="s">
        <v>423</v>
      </c>
      <c r="E12" t="s">
        <v>119</v>
      </c>
      <c r="F12" t="s">
        <v>6569</v>
      </c>
      <c r="G12" t="s">
        <v>152</v>
      </c>
      <c r="H12" t="s">
        <v>153</v>
      </c>
      <c r="I12" t="s">
        <v>154</v>
      </c>
      <c r="J12">
        <v>20000330</v>
      </c>
    </row>
    <row r="13" spans="1:10">
      <c r="A13" t="s">
        <v>6570</v>
      </c>
      <c r="B13">
        <v>1230</v>
      </c>
      <c r="C13" t="s">
        <v>6571</v>
      </c>
      <c r="D13" t="s">
        <v>160</v>
      </c>
      <c r="E13" t="s">
        <v>119</v>
      </c>
      <c r="F13" t="s">
        <v>6572</v>
      </c>
      <c r="G13" t="s">
        <v>152</v>
      </c>
      <c r="H13" t="s">
        <v>153</v>
      </c>
      <c r="I13" t="s">
        <v>154</v>
      </c>
      <c r="J13">
        <v>20220715</v>
      </c>
    </row>
    <row r="14" spans="1:10">
      <c r="A14" s="1" t="s">
        <v>6573</v>
      </c>
      <c r="B14" s="1">
        <v>600008</v>
      </c>
      <c r="C14" s="1" t="s">
        <v>6574</v>
      </c>
      <c r="D14" s="1" t="s">
        <v>164</v>
      </c>
      <c r="E14" s="1" t="s">
        <v>119</v>
      </c>
      <c r="F14" s="1" t="s">
        <v>6575</v>
      </c>
      <c r="G14" s="1" t="s">
        <v>152</v>
      </c>
      <c r="H14" s="1" t="s">
        <v>174</v>
      </c>
      <c r="I14" s="1" t="s">
        <v>154</v>
      </c>
      <c r="J14" s="1">
        <v>20000427</v>
      </c>
    </row>
    <row r="15" spans="1:10">
      <c r="A15" t="s">
        <v>6576</v>
      </c>
      <c r="B15">
        <v>600217</v>
      </c>
      <c r="C15" t="s">
        <v>6577</v>
      </c>
      <c r="D15" t="s">
        <v>419</v>
      </c>
      <c r="E15" t="s">
        <v>119</v>
      </c>
      <c r="F15" t="s">
        <v>6578</v>
      </c>
      <c r="G15" t="s">
        <v>152</v>
      </c>
      <c r="H15" t="s">
        <v>174</v>
      </c>
      <c r="I15" t="s">
        <v>154</v>
      </c>
      <c r="J15">
        <v>19991216</v>
      </c>
    </row>
    <row r="16" spans="1:10">
      <c r="A16" t="s">
        <v>6579</v>
      </c>
      <c r="B16">
        <v>600292</v>
      </c>
      <c r="C16" t="s">
        <v>6580</v>
      </c>
      <c r="D16" t="s">
        <v>937</v>
      </c>
      <c r="E16" t="s">
        <v>119</v>
      </c>
      <c r="F16" t="s">
        <v>6581</v>
      </c>
      <c r="G16" t="s">
        <v>152</v>
      </c>
      <c r="H16" t="s">
        <v>174</v>
      </c>
      <c r="I16" t="s">
        <v>154</v>
      </c>
      <c r="J16">
        <v>20001101</v>
      </c>
    </row>
    <row r="17" spans="1:10">
      <c r="A17" t="s">
        <v>6582</v>
      </c>
      <c r="B17">
        <v>600323</v>
      </c>
      <c r="C17" t="s">
        <v>6583</v>
      </c>
      <c r="D17" t="s">
        <v>223</v>
      </c>
      <c r="E17" t="s">
        <v>119</v>
      </c>
      <c r="F17" t="s">
        <v>6584</v>
      </c>
      <c r="G17" t="s">
        <v>152</v>
      </c>
      <c r="H17" t="s">
        <v>174</v>
      </c>
      <c r="I17" t="s">
        <v>154</v>
      </c>
      <c r="J17">
        <v>20001225</v>
      </c>
    </row>
    <row r="18" spans="1:10">
      <c r="A18" t="s">
        <v>6585</v>
      </c>
      <c r="B18">
        <v>600388</v>
      </c>
      <c r="C18" t="s">
        <v>6586</v>
      </c>
      <c r="D18" t="s">
        <v>150</v>
      </c>
      <c r="E18" t="s">
        <v>119</v>
      </c>
      <c r="F18" t="s">
        <v>6587</v>
      </c>
      <c r="G18" t="s">
        <v>152</v>
      </c>
      <c r="H18" t="s">
        <v>174</v>
      </c>
      <c r="I18" t="s">
        <v>154</v>
      </c>
      <c r="J18">
        <v>20001229</v>
      </c>
    </row>
    <row r="19" spans="1:10">
      <c r="A19" t="s">
        <v>6588</v>
      </c>
      <c r="B19">
        <v>600475</v>
      </c>
      <c r="C19" t="s">
        <v>6589</v>
      </c>
      <c r="D19" t="s">
        <v>212</v>
      </c>
      <c r="E19" t="s">
        <v>119</v>
      </c>
      <c r="F19" t="s">
        <v>6590</v>
      </c>
      <c r="G19" t="s">
        <v>152</v>
      </c>
      <c r="H19" t="s">
        <v>174</v>
      </c>
      <c r="I19" t="s">
        <v>154</v>
      </c>
      <c r="J19">
        <v>20030721</v>
      </c>
    </row>
    <row r="20" spans="1:10">
      <c r="A20" t="s">
        <v>6591</v>
      </c>
      <c r="B20">
        <v>600526</v>
      </c>
      <c r="C20" t="s">
        <v>6592</v>
      </c>
      <c r="D20" t="s">
        <v>423</v>
      </c>
      <c r="E20" t="s">
        <v>119</v>
      </c>
      <c r="F20" t="s">
        <v>6593</v>
      </c>
      <c r="G20" t="s">
        <v>152</v>
      </c>
      <c r="H20" t="s">
        <v>174</v>
      </c>
      <c r="I20" t="s">
        <v>154</v>
      </c>
      <c r="J20">
        <v>20020722</v>
      </c>
    </row>
    <row r="21" spans="1:10">
      <c r="A21" t="s">
        <v>6594</v>
      </c>
      <c r="B21">
        <v>600796</v>
      </c>
      <c r="C21" t="s">
        <v>6595</v>
      </c>
      <c r="D21" t="s">
        <v>423</v>
      </c>
      <c r="E21" t="s">
        <v>119</v>
      </c>
      <c r="F21" t="s">
        <v>6596</v>
      </c>
      <c r="G21" t="s">
        <v>152</v>
      </c>
      <c r="H21" t="s">
        <v>174</v>
      </c>
      <c r="I21" t="s">
        <v>154</v>
      </c>
      <c r="J21">
        <v>19970408</v>
      </c>
    </row>
    <row r="22" spans="1:10">
      <c r="A22" s="3" t="s">
        <v>6597</v>
      </c>
      <c r="B22" s="3">
        <v>600874</v>
      </c>
      <c r="C22" s="3" t="s">
        <v>6598</v>
      </c>
      <c r="D22" s="3" t="s">
        <v>576</v>
      </c>
      <c r="E22" s="3" t="s">
        <v>119</v>
      </c>
      <c r="F22" s="3" t="s">
        <v>6599</v>
      </c>
      <c r="G22" s="3" t="s">
        <v>152</v>
      </c>
      <c r="H22" s="3" t="s">
        <v>174</v>
      </c>
      <c r="I22" s="3" t="s">
        <v>154</v>
      </c>
      <c r="J22" s="3">
        <v>19950630</v>
      </c>
    </row>
    <row r="23" spans="1:10">
      <c r="A23" t="s">
        <v>6600</v>
      </c>
      <c r="B23">
        <v>601200</v>
      </c>
      <c r="C23" t="s">
        <v>6601</v>
      </c>
      <c r="D23" t="s">
        <v>172</v>
      </c>
      <c r="E23" t="s">
        <v>119</v>
      </c>
      <c r="F23" t="s">
        <v>6602</v>
      </c>
      <c r="G23" t="s">
        <v>152</v>
      </c>
      <c r="H23" t="s">
        <v>174</v>
      </c>
      <c r="I23" t="s">
        <v>154</v>
      </c>
      <c r="J23">
        <v>20170331</v>
      </c>
    </row>
    <row r="24" spans="1:10">
      <c r="A24" t="s">
        <v>6603</v>
      </c>
      <c r="B24">
        <v>601330</v>
      </c>
      <c r="C24" t="s">
        <v>6604</v>
      </c>
      <c r="D24" t="s">
        <v>243</v>
      </c>
      <c r="E24" t="s">
        <v>119</v>
      </c>
      <c r="F24" t="s">
        <v>6605</v>
      </c>
      <c r="G24" t="s">
        <v>152</v>
      </c>
      <c r="H24" t="s">
        <v>174</v>
      </c>
      <c r="I24" t="s">
        <v>154</v>
      </c>
      <c r="J24">
        <v>20180611</v>
      </c>
    </row>
    <row r="25" spans="1:10">
      <c r="A25" t="s">
        <v>6606</v>
      </c>
      <c r="B25">
        <v>601827</v>
      </c>
      <c r="C25" t="s">
        <v>6607</v>
      </c>
      <c r="D25" t="s">
        <v>937</v>
      </c>
      <c r="E25" t="s">
        <v>119</v>
      </c>
      <c r="F25" t="s">
        <v>6608</v>
      </c>
      <c r="G25" t="s">
        <v>152</v>
      </c>
      <c r="H25" t="s">
        <v>174</v>
      </c>
      <c r="I25" t="s">
        <v>154</v>
      </c>
      <c r="J25">
        <v>20200605</v>
      </c>
    </row>
    <row r="26" spans="1:10">
      <c r="A26" t="s">
        <v>6609</v>
      </c>
      <c r="B26">
        <v>603126</v>
      </c>
      <c r="C26" t="s">
        <v>6610</v>
      </c>
      <c r="D26" t="s">
        <v>576</v>
      </c>
      <c r="E26" t="s">
        <v>119</v>
      </c>
      <c r="F26" t="s">
        <v>6611</v>
      </c>
      <c r="G26" t="s">
        <v>152</v>
      </c>
      <c r="H26" t="s">
        <v>174</v>
      </c>
      <c r="I26" t="s">
        <v>154</v>
      </c>
      <c r="J26">
        <v>20140731</v>
      </c>
    </row>
    <row r="27" spans="1:10">
      <c r="A27" t="s">
        <v>6612</v>
      </c>
      <c r="B27">
        <v>603177</v>
      </c>
      <c r="C27" t="s">
        <v>6613</v>
      </c>
      <c r="D27" t="s">
        <v>423</v>
      </c>
      <c r="E27" t="s">
        <v>119</v>
      </c>
      <c r="F27" t="s">
        <v>6614</v>
      </c>
      <c r="G27" t="s">
        <v>152</v>
      </c>
      <c r="H27" t="s">
        <v>174</v>
      </c>
      <c r="I27" t="s">
        <v>154</v>
      </c>
      <c r="J27">
        <v>20170207</v>
      </c>
    </row>
    <row r="28" spans="1:10">
      <c r="A28" t="s">
        <v>6615</v>
      </c>
      <c r="B28">
        <v>603200</v>
      </c>
      <c r="C28" t="s">
        <v>6616</v>
      </c>
      <c r="D28" t="s">
        <v>172</v>
      </c>
      <c r="E28" t="s">
        <v>119</v>
      </c>
      <c r="F28" t="s">
        <v>6617</v>
      </c>
      <c r="G28" t="s">
        <v>152</v>
      </c>
      <c r="H28" t="s">
        <v>174</v>
      </c>
      <c r="I28" t="s">
        <v>154</v>
      </c>
      <c r="J28">
        <v>20170601</v>
      </c>
    </row>
    <row r="29" spans="1:10">
      <c r="A29" t="s">
        <v>6618</v>
      </c>
      <c r="B29">
        <v>603279</v>
      </c>
      <c r="C29" t="s">
        <v>6619</v>
      </c>
      <c r="D29" t="s">
        <v>198</v>
      </c>
      <c r="E29" t="s">
        <v>119</v>
      </c>
      <c r="F29" t="s">
        <v>6620</v>
      </c>
      <c r="G29" t="s">
        <v>152</v>
      </c>
      <c r="H29" t="s">
        <v>174</v>
      </c>
      <c r="I29" t="s">
        <v>154</v>
      </c>
      <c r="J29">
        <v>20190729</v>
      </c>
    </row>
    <row r="30" spans="1:10">
      <c r="A30" t="s">
        <v>6621</v>
      </c>
      <c r="B30">
        <v>603324</v>
      </c>
      <c r="C30" t="s">
        <v>6622</v>
      </c>
      <c r="D30" t="s">
        <v>172</v>
      </c>
      <c r="E30" t="s">
        <v>119</v>
      </c>
      <c r="F30" t="s">
        <v>6623</v>
      </c>
      <c r="G30" t="s">
        <v>152</v>
      </c>
      <c r="H30" t="s">
        <v>174</v>
      </c>
      <c r="I30" t="s">
        <v>154</v>
      </c>
      <c r="J30">
        <v>20210407</v>
      </c>
    </row>
    <row r="31" spans="1:10">
      <c r="A31" t="s">
        <v>6624</v>
      </c>
      <c r="B31">
        <v>603359</v>
      </c>
      <c r="C31" t="s">
        <v>6625</v>
      </c>
      <c r="D31" t="s">
        <v>212</v>
      </c>
      <c r="E31" t="s">
        <v>119</v>
      </c>
      <c r="F31" t="s">
        <v>6626</v>
      </c>
      <c r="G31" t="s">
        <v>152</v>
      </c>
      <c r="H31" t="s">
        <v>174</v>
      </c>
      <c r="I31" t="s">
        <v>154</v>
      </c>
      <c r="J31">
        <v>20170901</v>
      </c>
    </row>
    <row r="32" spans="1:10">
      <c r="A32" t="s">
        <v>6627</v>
      </c>
      <c r="B32">
        <v>603568</v>
      </c>
      <c r="C32" t="s">
        <v>6628</v>
      </c>
      <c r="D32" t="s">
        <v>423</v>
      </c>
      <c r="E32" t="s">
        <v>119</v>
      </c>
      <c r="F32" t="s">
        <v>6629</v>
      </c>
      <c r="G32" t="s">
        <v>152</v>
      </c>
      <c r="H32" t="s">
        <v>174</v>
      </c>
      <c r="I32" t="s">
        <v>154</v>
      </c>
      <c r="J32">
        <v>20150528</v>
      </c>
    </row>
    <row r="33" spans="1:10">
      <c r="A33" t="s">
        <v>6630</v>
      </c>
      <c r="B33">
        <v>603588</v>
      </c>
      <c r="C33" t="s">
        <v>6631</v>
      </c>
      <c r="D33" t="s">
        <v>164</v>
      </c>
      <c r="E33" t="s">
        <v>119</v>
      </c>
      <c r="F33" t="s">
        <v>6632</v>
      </c>
      <c r="G33" t="s">
        <v>152</v>
      </c>
      <c r="H33" t="s">
        <v>174</v>
      </c>
      <c r="I33" t="s">
        <v>154</v>
      </c>
      <c r="J33">
        <v>20141229</v>
      </c>
    </row>
    <row r="34" spans="1:10">
      <c r="A34" t="s">
        <v>6633</v>
      </c>
      <c r="B34">
        <v>603603</v>
      </c>
      <c r="C34" t="s">
        <v>6634</v>
      </c>
      <c r="D34" t="s">
        <v>164</v>
      </c>
      <c r="E34" t="s">
        <v>119</v>
      </c>
      <c r="F34" t="s">
        <v>6635</v>
      </c>
      <c r="G34" t="s">
        <v>152</v>
      </c>
      <c r="H34" t="s">
        <v>174</v>
      </c>
      <c r="I34" t="s">
        <v>154</v>
      </c>
      <c r="J34">
        <v>20170217</v>
      </c>
    </row>
    <row r="35" spans="1:10">
      <c r="A35" t="s">
        <v>6636</v>
      </c>
      <c r="B35">
        <v>603686</v>
      </c>
      <c r="C35" t="s">
        <v>6637</v>
      </c>
      <c r="D35" t="s">
        <v>150</v>
      </c>
      <c r="E35" t="s">
        <v>119</v>
      </c>
      <c r="F35" t="s">
        <v>6638</v>
      </c>
      <c r="G35" t="s">
        <v>152</v>
      </c>
      <c r="H35" t="s">
        <v>174</v>
      </c>
      <c r="I35" t="s">
        <v>154</v>
      </c>
      <c r="J35">
        <v>20150126</v>
      </c>
    </row>
    <row r="36" spans="1:10">
      <c r="A36" t="s">
        <v>6639</v>
      </c>
      <c r="B36">
        <v>603717</v>
      </c>
      <c r="C36" t="s">
        <v>6640</v>
      </c>
      <c r="D36" t="s">
        <v>937</v>
      </c>
      <c r="E36" t="s">
        <v>119</v>
      </c>
      <c r="F36" t="s">
        <v>6641</v>
      </c>
      <c r="G36" t="s">
        <v>152</v>
      </c>
      <c r="H36" t="s">
        <v>174</v>
      </c>
      <c r="I36" t="s">
        <v>154</v>
      </c>
      <c r="J36">
        <v>20170327</v>
      </c>
    </row>
    <row r="37" spans="1:10">
      <c r="A37" t="s">
        <v>6642</v>
      </c>
      <c r="B37">
        <v>603797</v>
      </c>
      <c r="C37" t="s">
        <v>6643</v>
      </c>
      <c r="D37" t="s">
        <v>223</v>
      </c>
      <c r="E37" t="s">
        <v>119</v>
      </c>
      <c r="F37" t="s">
        <v>6644</v>
      </c>
      <c r="G37" t="s">
        <v>152</v>
      </c>
      <c r="H37" t="s">
        <v>174</v>
      </c>
      <c r="I37" t="s">
        <v>154</v>
      </c>
      <c r="J37">
        <v>20170413</v>
      </c>
    </row>
    <row r="38" spans="1:10">
      <c r="A38" t="s">
        <v>6645</v>
      </c>
      <c r="B38">
        <v>603817</v>
      </c>
      <c r="C38" t="s">
        <v>6646</v>
      </c>
      <c r="D38" t="s">
        <v>150</v>
      </c>
      <c r="E38" t="s">
        <v>119</v>
      </c>
      <c r="F38" t="s">
        <v>6647</v>
      </c>
      <c r="G38" t="s">
        <v>152</v>
      </c>
      <c r="H38" t="s">
        <v>174</v>
      </c>
      <c r="I38" t="s">
        <v>154</v>
      </c>
      <c r="J38">
        <v>20170220</v>
      </c>
    </row>
    <row r="39" spans="1:10">
      <c r="A39" t="s">
        <v>6648</v>
      </c>
      <c r="B39">
        <v>603903</v>
      </c>
      <c r="C39" t="s">
        <v>6649</v>
      </c>
      <c r="D39" t="s">
        <v>164</v>
      </c>
      <c r="E39" t="s">
        <v>119</v>
      </c>
      <c r="F39" t="s">
        <v>6650</v>
      </c>
      <c r="G39" t="s">
        <v>152</v>
      </c>
      <c r="H39" t="s">
        <v>174</v>
      </c>
      <c r="I39" t="s">
        <v>154</v>
      </c>
      <c r="J39">
        <v>20170314</v>
      </c>
    </row>
    <row r="40" spans="1:10">
      <c r="A40" t="s">
        <v>6651</v>
      </c>
      <c r="B40">
        <v>603955</v>
      </c>
      <c r="C40" t="s">
        <v>6652</v>
      </c>
      <c r="D40" t="s">
        <v>212</v>
      </c>
      <c r="E40" t="s">
        <v>119</v>
      </c>
      <c r="F40" t="s">
        <v>6653</v>
      </c>
      <c r="G40" t="s">
        <v>152</v>
      </c>
      <c r="H40" t="s">
        <v>174</v>
      </c>
      <c r="I40" t="s">
        <v>154</v>
      </c>
      <c r="J40">
        <v>20170310</v>
      </c>
    </row>
    <row r="41" spans="1:10">
      <c r="A41" t="s">
        <v>6654</v>
      </c>
      <c r="B41">
        <v>605069</v>
      </c>
      <c r="C41" t="s">
        <v>6655</v>
      </c>
      <c r="D41" t="s">
        <v>164</v>
      </c>
      <c r="E41" t="s">
        <v>119</v>
      </c>
      <c r="F41" t="s">
        <v>6656</v>
      </c>
      <c r="G41" t="s">
        <v>152</v>
      </c>
      <c r="H41" t="s">
        <v>174</v>
      </c>
      <c r="I41" t="s">
        <v>154</v>
      </c>
      <c r="J41">
        <v>20210816</v>
      </c>
    </row>
    <row r="42" spans="1:10">
      <c r="A42" t="s">
        <v>6657</v>
      </c>
      <c r="B42">
        <v>605081</v>
      </c>
      <c r="C42" t="s">
        <v>6658</v>
      </c>
      <c r="D42" t="s">
        <v>172</v>
      </c>
      <c r="E42" t="s">
        <v>119</v>
      </c>
      <c r="F42" t="s">
        <v>6659</v>
      </c>
      <c r="G42" t="s">
        <v>152</v>
      </c>
      <c r="H42" t="s">
        <v>174</v>
      </c>
      <c r="I42" t="s">
        <v>154</v>
      </c>
      <c r="J42">
        <v>20210209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L2" sqref="L2:M3"/>
    </sheetView>
  </sheetViews>
  <sheetFormatPr defaultColWidth="9" defaultRowHeight="13.5" outlineLevelRow="6"/>
  <cols>
    <col min="3" max="3" width="11.225" customWidth="1"/>
  </cols>
  <sheetData>
    <row r="1" spans="1:10">
      <c r="A1" s="1" t="s">
        <v>6660</v>
      </c>
      <c r="B1" s="1">
        <v>523</v>
      </c>
      <c r="C1" s="1" t="s">
        <v>6661</v>
      </c>
      <c r="D1" s="1" t="s">
        <v>223</v>
      </c>
      <c r="E1" s="1" t="s">
        <v>120</v>
      </c>
      <c r="F1" s="1" t="s">
        <v>6662</v>
      </c>
      <c r="G1" s="1" t="s">
        <v>152</v>
      </c>
      <c r="H1" s="1" t="s">
        <v>153</v>
      </c>
      <c r="I1" s="1" t="s">
        <v>154</v>
      </c>
      <c r="J1" s="1">
        <v>19931108</v>
      </c>
    </row>
    <row r="2" spans="1:13">
      <c r="A2" t="s">
        <v>6663</v>
      </c>
      <c r="B2">
        <v>600249</v>
      </c>
      <c r="C2" t="s">
        <v>6664</v>
      </c>
      <c r="D2" t="s">
        <v>345</v>
      </c>
      <c r="E2" t="s">
        <v>120</v>
      </c>
      <c r="F2" t="s">
        <v>6665</v>
      </c>
      <c r="G2" t="s">
        <v>152</v>
      </c>
      <c r="H2" t="s">
        <v>174</v>
      </c>
      <c r="I2" t="s">
        <v>154</v>
      </c>
      <c r="J2">
        <v>20040130</v>
      </c>
      <c r="L2" t="s">
        <v>4129</v>
      </c>
      <c r="M2">
        <v>7</v>
      </c>
    </row>
    <row r="3" spans="1:13">
      <c r="A3" t="s">
        <v>6666</v>
      </c>
      <c r="B3">
        <v>600315</v>
      </c>
      <c r="C3" t="s">
        <v>6667</v>
      </c>
      <c r="D3" t="s">
        <v>172</v>
      </c>
      <c r="E3" t="s">
        <v>120</v>
      </c>
      <c r="F3" t="s">
        <v>6668</v>
      </c>
      <c r="G3" t="s">
        <v>152</v>
      </c>
      <c r="H3" t="s">
        <v>174</v>
      </c>
      <c r="I3" t="s">
        <v>154</v>
      </c>
      <c r="J3">
        <v>20010315</v>
      </c>
      <c r="L3" t="s">
        <v>4133</v>
      </c>
      <c r="M3" s="2">
        <f ca="1">CEILING(RAND()*M2,1)</f>
        <v>2</v>
      </c>
    </row>
    <row r="4" spans="1:10">
      <c r="A4" t="s">
        <v>6669</v>
      </c>
      <c r="B4">
        <v>603059</v>
      </c>
      <c r="C4" t="s">
        <v>6670</v>
      </c>
      <c r="D4" t="s">
        <v>212</v>
      </c>
      <c r="E4" t="s">
        <v>120</v>
      </c>
      <c r="F4" t="s">
        <v>6671</v>
      </c>
      <c r="G4" t="s">
        <v>152</v>
      </c>
      <c r="H4" t="s">
        <v>174</v>
      </c>
      <c r="I4" t="s">
        <v>154</v>
      </c>
      <c r="J4">
        <v>20180302</v>
      </c>
    </row>
    <row r="5" spans="1:10">
      <c r="A5" s="1" t="s">
        <v>6672</v>
      </c>
      <c r="B5" s="1">
        <v>603605</v>
      </c>
      <c r="C5" s="1" t="s">
        <v>6673</v>
      </c>
      <c r="D5" s="1" t="s">
        <v>423</v>
      </c>
      <c r="E5" s="1" t="s">
        <v>120</v>
      </c>
      <c r="F5" s="1" t="s">
        <v>6674</v>
      </c>
      <c r="G5" s="1" t="s">
        <v>152</v>
      </c>
      <c r="H5" s="1" t="s">
        <v>174</v>
      </c>
      <c r="I5" s="1" t="s">
        <v>154</v>
      </c>
      <c r="J5" s="1">
        <v>20171115</v>
      </c>
    </row>
    <row r="6" spans="1:10">
      <c r="A6" s="3" t="s">
        <v>6675</v>
      </c>
      <c r="B6" s="3">
        <v>603630</v>
      </c>
      <c r="C6" s="3" t="s">
        <v>6676</v>
      </c>
      <c r="D6" s="3" t="s">
        <v>223</v>
      </c>
      <c r="E6" s="3" t="s">
        <v>120</v>
      </c>
      <c r="F6" s="3" t="s">
        <v>6677</v>
      </c>
      <c r="G6" s="3" t="s">
        <v>152</v>
      </c>
      <c r="H6" s="3" t="s">
        <v>174</v>
      </c>
      <c r="I6" s="3" t="s">
        <v>154</v>
      </c>
      <c r="J6" s="3">
        <v>20170313</v>
      </c>
    </row>
    <row r="7" spans="1:10">
      <c r="A7" t="s">
        <v>6678</v>
      </c>
      <c r="B7">
        <v>603983</v>
      </c>
      <c r="C7" t="s">
        <v>6679</v>
      </c>
      <c r="D7" t="s">
        <v>223</v>
      </c>
      <c r="E7" t="s">
        <v>120</v>
      </c>
      <c r="F7" t="s">
        <v>6680</v>
      </c>
      <c r="G7" t="s">
        <v>152</v>
      </c>
      <c r="H7" t="s">
        <v>174</v>
      </c>
      <c r="I7" t="s">
        <v>154</v>
      </c>
      <c r="J7">
        <v>20190725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G19" sqref="G19"/>
    </sheetView>
  </sheetViews>
  <sheetFormatPr defaultColWidth="9" defaultRowHeight="13.5" outlineLevelRow="6"/>
  <cols>
    <col min="1" max="1" width="14" customWidth="1"/>
    <col min="6" max="6" width="36.875" customWidth="1"/>
  </cols>
  <sheetData>
    <row r="1" spans="1:10">
      <c r="A1" t="s">
        <v>6681</v>
      </c>
      <c r="B1">
        <v>7</v>
      </c>
      <c r="C1" t="s">
        <v>6682</v>
      </c>
      <c r="D1" t="s">
        <v>243</v>
      </c>
      <c r="E1" t="s">
        <v>114</v>
      </c>
      <c r="F1" t="s">
        <v>6683</v>
      </c>
      <c r="G1" t="s">
        <v>152</v>
      </c>
      <c r="H1" t="s">
        <v>153</v>
      </c>
      <c r="I1" t="s">
        <v>154</v>
      </c>
      <c r="J1">
        <v>19920413</v>
      </c>
    </row>
    <row r="2" spans="1:10">
      <c r="A2" t="s">
        <v>6684</v>
      </c>
      <c r="B2">
        <v>829</v>
      </c>
      <c r="C2" t="s">
        <v>6685</v>
      </c>
      <c r="D2" t="s">
        <v>406</v>
      </c>
      <c r="E2" t="s">
        <v>114</v>
      </c>
      <c r="F2" t="s">
        <v>6686</v>
      </c>
      <c r="G2" t="s">
        <v>152</v>
      </c>
      <c r="H2" t="s">
        <v>153</v>
      </c>
      <c r="I2" t="s">
        <v>154</v>
      </c>
      <c r="J2">
        <v>19971202</v>
      </c>
    </row>
    <row r="3" spans="1:14">
      <c r="A3" t="s">
        <v>6687</v>
      </c>
      <c r="B3">
        <v>861</v>
      </c>
      <c r="C3" t="s">
        <v>6688</v>
      </c>
      <c r="D3" t="s">
        <v>223</v>
      </c>
      <c r="E3" t="s">
        <v>114</v>
      </c>
      <c r="F3" t="s">
        <v>6689</v>
      </c>
      <c r="G3" t="s">
        <v>152</v>
      </c>
      <c r="H3" t="s">
        <v>153</v>
      </c>
      <c r="I3" t="s">
        <v>154</v>
      </c>
      <c r="J3">
        <v>19981028</v>
      </c>
      <c r="M3" t="s">
        <v>4129</v>
      </c>
      <c r="N3">
        <v>7</v>
      </c>
    </row>
    <row r="4" spans="1:14">
      <c r="A4" s="1" t="s">
        <v>6690</v>
      </c>
      <c r="B4" s="1">
        <v>882</v>
      </c>
      <c r="C4" s="1" t="s">
        <v>6691</v>
      </c>
      <c r="D4" s="1" t="s">
        <v>164</v>
      </c>
      <c r="E4" s="1" t="s">
        <v>114</v>
      </c>
      <c r="F4" s="1" t="s">
        <v>6692</v>
      </c>
      <c r="G4" s="1" t="s">
        <v>152</v>
      </c>
      <c r="H4" s="1" t="s">
        <v>153</v>
      </c>
      <c r="I4" s="1" t="s">
        <v>154</v>
      </c>
      <c r="J4" s="1">
        <v>19980616</v>
      </c>
      <c r="M4" t="s">
        <v>4133</v>
      </c>
      <c r="N4" s="2">
        <f ca="1">CEILING(RAND()*N3,1)</f>
        <v>6</v>
      </c>
    </row>
    <row r="5" spans="1:10">
      <c r="A5" t="s">
        <v>6693</v>
      </c>
      <c r="B5">
        <v>600122</v>
      </c>
      <c r="C5" t="s">
        <v>6694</v>
      </c>
      <c r="D5" t="s">
        <v>212</v>
      </c>
      <c r="E5" t="s">
        <v>114</v>
      </c>
      <c r="F5" t="s">
        <v>6695</v>
      </c>
      <c r="G5" t="s">
        <v>152</v>
      </c>
      <c r="H5" t="s">
        <v>174</v>
      </c>
      <c r="I5" t="s">
        <v>154</v>
      </c>
      <c r="J5">
        <v>19980420</v>
      </c>
    </row>
    <row r="6" spans="1:10">
      <c r="A6" t="s">
        <v>6696</v>
      </c>
      <c r="B6">
        <v>601828</v>
      </c>
      <c r="C6" t="s">
        <v>6697</v>
      </c>
      <c r="D6" t="s">
        <v>172</v>
      </c>
      <c r="E6" t="s">
        <v>114</v>
      </c>
      <c r="F6" t="s">
        <v>6698</v>
      </c>
      <c r="G6" t="s">
        <v>152</v>
      </c>
      <c r="H6" t="s">
        <v>174</v>
      </c>
      <c r="I6" t="s">
        <v>154</v>
      </c>
      <c r="J6">
        <v>20180117</v>
      </c>
    </row>
    <row r="7" spans="1:10">
      <c r="A7" t="s">
        <v>6699</v>
      </c>
      <c r="B7">
        <v>605136</v>
      </c>
      <c r="C7" t="s">
        <v>6700</v>
      </c>
      <c r="D7" t="s">
        <v>172</v>
      </c>
      <c r="E7" t="s">
        <v>114</v>
      </c>
      <c r="F7" t="s">
        <v>6701</v>
      </c>
      <c r="G7" t="s">
        <v>152</v>
      </c>
      <c r="H7" t="s">
        <v>174</v>
      </c>
      <c r="I7" t="s">
        <v>154</v>
      </c>
      <c r="J7">
        <v>20200929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79"/>
  <sheetViews>
    <sheetView zoomScaleSheetLayoutView="60" topLeftCell="A1000" workbookViewId="0">
      <selection activeCell="F1033" sqref="F1033"/>
    </sheetView>
  </sheetViews>
  <sheetFormatPr defaultColWidth="9" defaultRowHeight="13.5"/>
  <cols>
    <col min="1" max="1" width="15.375" customWidth="1"/>
    <col min="3" max="3" width="11.375" customWidth="1"/>
    <col min="4" max="4" width="10.25" customWidth="1"/>
    <col min="5" max="5" width="13.25" customWidth="1"/>
    <col min="6" max="6" width="31.75" customWidth="1"/>
    <col min="10" max="10" width="9.375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0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>
      <c r="A2" t="s">
        <v>4677</v>
      </c>
      <c r="B2">
        <v>1</v>
      </c>
      <c r="C2" t="s">
        <v>4678</v>
      </c>
      <c r="D2" t="s">
        <v>243</v>
      </c>
      <c r="E2" t="s">
        <v>62</v>
      </c>
      <c r="F2" t="s">
        <v>4679</v>
      </c>
      <c r="G2" t="s">
        <v>152</v>
      </c>
      <c r="H2" t="s">
        <v>153</v>
      </c>
      <c r="I2" t="s">
        <v>154</v>
      </c>
      <c r="J2">
        <v>19910403</v>
      </c>
    </row>
    <row r="3" spans="1:10">
      <c r="A3" t="s">
        <v>4123</v>
      </c>
      <c r="B3">
        <v>2</v>
      </c>
      <c r="C3" t="s">
        <v>4124</v>
      </c>
      <c r="D3" t="s">
        <v>243</v>
      </c>
      <c r="E3" t="s">
        <v>84</v>
      </c>
      <c r="F3" t="s">
        <v>4125</v>
      </c>
      <c r="G3" t="s">
        <v>152</v>
      </c>
      <c r="H3" t="s">
        <v>153</v>
      </c>
      <c r="I3" t="s">
        <v>154</v>
      </c>
      <c r="J3">
        <v>19910129</v>
      </c>
    </row>
    <row r="4" spans="1:10">
      <c r="A4" t="s">
        <v>5826</v>
      </c>
      <c r="B4">
        <v>4</v>
      </c>
      <c r="C4" t="s">
        <v>5827</v>
      </c>
      <c r="D4" t="s">
        <v>243</v>
      </c>
      <c r="E4" t="s">
        <v>123</v>
      </c>
      <c r="F4" t="s">
        <v>5828</v>
      </c>
      <c r="G4" t="s">
        <v>152</v>
      </c>
      <c r="H4" t="s">
        <v>153</v>
      </c>
      <c r="I4" t="s">
        <v>154</v>
      </c>
      <c r="J4">
        <v>19910114</v>
      </c>
    </row>
    <row r="5" spans="1:10">
      <c r="A5" t="s">
        <v>6534</v>
      </c>
      <c r="B5">
        <v>5</v>
      </c>
      <c r="C5" t="s">
        <v>6535</v>
      </c>
      <c r="D5" t="s">
        <v>243</v>
      </c>
      <c r="E5" t="s">
        <v>119</v>
      </c>
      <c r="F5" t="s">
        <v>6536</v>
      </c>
      <c r="G5" t="s">
        <v>152</v>
      </c>
      <c r="H5" t="s">
        <v>153</v>
      </c>
      <c r="I5" t="s">
        <v>154</v>
      </c>
      <c r="J5">
        <v>19901210</v>
      </c>
    </row>
    <row r="6" spans="1:10">
      <c r="A6" t="s">
        <v>4126</v>
      </c>
      <c r="B6">
        <v>6</v>
      </c>
      <c r="C6" t="s">
        <v>4127</v>
      </c>
      <c r="D6" t="s">
        <v>243</v>
      </c>
      <c r="E6" t="s">
        <v>79</v>
      </c>
      <c r="F6" t="s">
        <v>4128</v>
      </c>
      <c r="G6" t="s">
        <v>152</v>
      </c>
      <c r="H6" t="s">
        <v>153</v>
      </c>
      <c r="I6" t="s">
        <v>154</v>
      </c>
      <c r="J6">
        <v>19920427</v>
      </c>
    </row>
    <row r="7" spans="1:10">
      <c r="A7" t="s">
        <v>6681</v>
      </c>
      <c r="B7">
        <v>7</v>
      </c>
      <c r="C7" t="s">
        <v>6682</v>
      </c>
      <c r="D7" t="s">
        <v>243</v>
      </c>
      <c r="E7" t="s">
        <v>114</v>
      </c>
      <c r="F7" t="s">
        <v>6683</v>
      </c>
      <c r="G7" t="s">
        <v>152</v>
      </c>
      <c r="H7" t="s">
        <v>153</v>
      </c>
      <c r="I7" t="s">
        <v>154</v>
      </c>
      <c r="J7">
        <v>19920413</v>
      </c>
    </row>
    <row r="8" spans="1:10">
      <c r="A8" t="s">
        <v>5415</v>
      </c>
      <c r="B8">
        <v>8</v>
      </c>
      <c r="C8" t="s">
        <v>5416</v>
      </c>
      <c r="D8" t="s">
        <v>164</v>
      </c>
      <c r="E8" t="s">
        <v>128</v>
      </c>
      <c r="F8" t="s">
        <v>5417</v>
      </c>
      <c r="G8" t="s">
        <v>152</v>
      </c>
      <c r="H8" t="s">
        <v>153</v>
      </c>
      <c r="I8" t="s">
        <v>154</v>
      </c>
      <c r="J8">
        <v>19920507</v>
      </c>
    </row>
    <row r="9" spans="1:10">
      <c r="A9" t="s">
        <v>1222</v>
      </c>
      <c r="B9">
        <v>9</v>
      </c>
      <c r="C9" t="s">
        <v>1223</v>
      </c>
      <c r="D9" t="s">
        <v>243</v>
      </c>
      <c r="E9" t="s">
        <v>17</v>
      </c>
      <c r="F9" t="s">
        <v>1224</v>
      </c>
      <c r="G9" t="s">
        <v>152</v>
      </c>
      <c r="H9" t="s">
        <v>153</v>
      </c>
      <c r="I9" t="s">
        <v>154</v>
      </c>
      <c r="J9">
        <v>19910625</v>
      </c>
    </row>
    <row r="10" spans="1:10">
      <c r="A10" t="s">
        <v>5208</v>
      </c>
      <c r="B10">
        <v>10</v>
      </c>
      <c r="C10" t="s">
        <v>5209</v>
      </c>
      <c r="D10" t="s">
        <v>243</v>
      </c>
      <c r="E10" t="s">
        <v>121</v>
      </c>
      <c r="F10" t="s">
        <v>5210</v>
      </c>
      <c r="G10" t="s">
        <v>152</v>
      </c>
      <c r="H10" t="s">
        <v>153</v>
      </c>
      <c r="I10" t="s">
        <v>154</v>
      </c>
      <c r="J10">
        <v>19951027</v>
      </c>
    </row>
    <row r="11" spans="1:10">
      <c r="A11" t="s">
        <v>4130</v>
      </c>
      <c r="B11">
        <v>11</v>
      </c>
      <c r="C11" t="s">
        <v>4131</v>
      </c>
      <c r="D11" t="s">
        <v>243</v>
      </c>
      <c r="E11" t="s">
        <v>79</v>
      </c>
      <c r="F11" t="s">
        <v>4132</v>
      </c>
      <c r="G11" t="s">
        <v>152</v>
      </c>
      <c r="H11" t="s">
        <v>153</v>
      </c>
      <c r="I11" t="s">
        <v>154</v>
      </c>
      <c r="J11">
        <v>19920330</v>
      </c>
    </row>
    <row r="12" spans="1:10">
      <c r="A12" t="s">
        <v>5052</v>
      </c>
      <c r="B12">
        <v>12</v>
      </c>
      <c r="C12" t="s">
        <v>5053</v>
      </c>
      <c r="D12" t="s">
        <v>243</v>
      </c>
      <c r="E12" t="s">
        <v>45</v>
      </c>
      <c r="F12" t="s">
        <v>5054</v>
      </c>
      <c r="G12" t="s">
        <v>152</v>
      </c>
      <c r="H12" t="s">
        <v>153</v>
      </c>
      <c r="I12" t="s">
        <v>154</v>
      </c>
      <c r="J12">
        <v>19920228</v>
      </c>
    </row>
    <row r="13" spans="1:10">
      <c r="A13" t="s">
        <v>4134</v>
      </c>
      <c r="B13">
        <v>14</v>
      </c>
      <c r="C13" t="s">
        <v>4135</v>
      </c>
      <c r="D13" t="s">
        <v>243</v>
      </c>
      <c r="E13" t="s">
        <v>84</v>
      </c>
      <c r="F13" t="s">
        <v>4136</v>
      </c>
      <c r="G13" t="s">
        <v>152</v>
      </c>
      <c r="H13" t="s">
        <v>153</v>
      </c>
      <c r="I13" t="s">
        <v>154</v>
      </c>
      <c r="J13">
        <v>19920602</v>
      </c>
    </row>
    <row r="14" spans="1:10">
      <c r="A14" t="s">
        <v>2212</v>
      </c>
      <c r="B14">
        <v>16</v>
      </c>
      <c r="C14" t="s">
        <v>2213</v>
      </c>
      <c r="D14" t="s">
        <v>243</v>
      </c>
      <c r="E14" t="s">
        <v>8</v>
      </c>
      <c r="F14" t="s">
        <v>2214</v>
      </c>
      <c r="G14" t="s">
        <v>152</v>
      </c>
      <c r="H14" t="s">
        <v>153</v>
      </c>
      <c r="I14" t="s">
        <v>154</v>
      </c>
      <c r="J14">
        <v>19920327</v>
      </c>
    </row>
    <row r="15" spans="1:10">
      <c r="A15" t="s">
        <v>2623</v>
      </c>
      <c r="B15">
        <v>17</v>
      </c>
      <c r="C15" t="s">
        <v>2624</v>
      </c>
      <c r="D15" t="s">
        <v>243</v>
      </c>
      <c r="E15" t="s">
        <v>20</v>
      </c>
      <c r="F15" t="s">
        <v>2625</v>
      </c>
      <c r="G15" t="s">
        <v>152</v>
      </c>
      <c r="H15" t="s">
        <v>153</v>
      </c>
      <c r="I15" t="s">
        <v>154</v>
      </c>
      <c r="J15">
        <v>19920331</v>
      </c>
    </row>
    <row r="16" spans="1:10">
      <c r="A16" t="s">
        <v>241</v>
      </c>
      <c r="B16">
        <v>19</v>
      </c>
      <c r="C16" t="s">
        <v>242</v>
      </c>
      <c r="D16" t="s">
        <v>243</v>
      </c>
      <c r="E16" t="s">
        <v>46</v>
      </c>
      <c r="F16" t="s">
        <v>244</v>
      </c>
      <c r="G16" t="s">
        <v>152</v>
      </c>
      <c r="H16" t="s">
        <v>153</v>
      </c>
      <c r="I16" t="s">
        <v>154</v>
      </c>
      <c r="J16">
        <v>19921012</v>
      </c>
    </row>
    <row r="17" spans="1:10">
      <c r="A17" t="s">
        <v>1225</v>
      </c>
      <c r="B17">
        <v>20</v>
      </c>
      <c r="C17" t="s">
        <v>1226</v>
      </c>
      <c r="D17" t="s">
        <v>243</v>
      </c>
      <c r="E17" t="s">
        <v>42</v>
      </c>
      <c r="F17" t="s">
        <v>1227</v>
      </c>
      <c r="G17" t="s">
        <v>152</v>
      </c>
      <c r="H17" t="s">
        <v>153</v>
      </c>
      <c r="I17" t="s">
        <v>154</v>
      </c>
      <c r="J17">
        <v>19920428</v>
      </c>
    </row>
    <row r="18" spans="1:10">
      <c r="A18" t="s">
        <v>1228</v>
      </c>
      <c r="B18">
        <v>21</v>
      </c>
      <c r="C18" t="s">
        <v>1229</v>
      </c>
      <c r="D18" t="s">
        <v>243</v>
      </c>
      <c r="E18" t="s">
        <v>1</v>
      </c>
      <c r="F18" t="s">
        <v>1230</v>
      </c>
      <c r="G18" t="s">
        <v>152</v>
      </c>
      <c r="H18" t="s">
        <v>153</v>
      </c>
      <c r="I18" t="s">
        <v>154</v>
      </c>
      <c r="J18">
        <v>19940202</v>
      </c>
    </row>
    <row r="19" spans="1:10">
      <c r="A19" t="s">
        <v>5055</v>
      </c>
      <c r="B19">
        <v>23</v>
      </c>
      <c r="C19" t="s">
        <v>5056</v>
      </c>
      <c r="D19" t="s">
        <v>243</v>
      </c>
      <c r="E19" t="s">
        <v>75</v>
      </c>
      <c r="F19" t="s">
        <v>5057</v>
      </c>
      <c r="G19" t="s">
        <v>152</v>
      </c>
      <c r="H19" t="s">
        <v>153</v>
      </c>
      <c r="I19" t="s">
        <v>154</v>
      </c>
      <c r="J19">
        <v>19930429</v>
      </c>
    </row>
    <row r="20" spans="1:10">
      <c r="A20" t="s">
        <v>1789</v>
      </c>
      <c r="B20">
        <v>25</v>
      </c>
      <c r="C20" t="s">
        <v>1790</v>
      </c>
      <c r="D20" t="s">
        <v>243</v>
      </c>
      <c r="E20" t="s">
        <v>18</v>
      </c>
      <c r="F20" t="s">
        <v>1791</v>
      </c>
      <c r="G20" t="s">
        <v>152</v>
      </c>
      <c r="H20" t="s">
        <v>153</v>
      </c>
      <c r="I20" t="s">
        <v>154</v>
      </c>
      <c r="J20">
        <v>19930621</v>
      </c>
    </row>
    <row r="21" spans="1:10">
      <c r="A21" t="s">
        <v>2626</v>
      </c>
      <c r="B21">
        <v>26</v>
      </c>
      <c r="C21" t="s">
        <v>2627</v>
      </c>
      <c r="D21" t="s">
        <v>243</v>
      </c>
      <c r="E21" t="s">
        <v>20</v>
      </c>
      <c r="F21" t="s">
        <v>2628</v>
      </c>
      <c r="G21" t="s">
        <v>152</v>
      </c>
      <c r="H21" t="s">
        <v>153</v>
      </c>
      <c r="I21" t="s">
        <v>154</v>
      </c>
      <c r="J21">
        <v>19930603</v>
      </c>
    </row>
    <row r="22" spans="1:10">
      <c r="A22" t="s">
        <v>3409</v>
      </c>
      <c r="B22">
        <v>27</v>
      </c>
      <c r="C22" t="s">
        <v>3410</v>
      </c>
      <c r="D22" t="s">
        <v>243</v>
      </c>
      <c r="E22" t="s">
        <v>77</v>
      </c>
      <c r="F22" t="s">
        <v>3411</v>
      </c>
      <c r="G22" t="s">
        <v>152</v>
      </c>
      <c r="H22" t="s">
        <v>153</v>
      </c>
      <c r="I22" t="s">
        <v>154</v>
      </c>
      <c r="J22">
        <v>19930903</v>
      </c>
    </row>
    <row r="23" spans="1:10">
      <c r="A23" t="s">
        <v>2938</v>
      </c>
      <c r="B23">
        <v>28</v>
      </c>
      <c r="C23" t="s">
        <v>2939</v>
      </c>
      <c r="D23" t="s">
        <v>243</v>
      </c>
      <c r="E23" t="s">
        <v>95</v>
      </c>
      <c r="F23" t="s">
        <v>2940</v>
      </c>
      <c r="G23" t="s">
        <v>152</v>
      </c>
      <c r="H23" t="s">
        <v>153</v>
      </c>
      <c r="I23" t="s">
        <v>154</v>
      </c>
      <c r="J23">
        <v>19930809</v>
      </c>
    </row>
    <row r="24" spans="1:10">
      <c r="A24" t="s">
        <v>4137</v>
      </c>
      <c r="B24">
        <v>29</v>
      </c>
      <c r="C24" t="s">
        <v>4138</v>
      </c>
      <c r="D24" t="s">
        <v>243</v>
      </c>
      <c r="E24" t="s">
        <v>79</v>
      </c>
      <c r="F24" t="s">
        <v>4139</v>
      </c>
      <c r="G24" t="s">
        <v>152</v>
      </c>
      <c r="H24" t="s">
        <v>153</v>
      </c>
      <c r="I24" t="s">
        <v>154</v>
      </c>
      <c r="J24">
        <v>19930915</v>
      </c>
    </row>
    <row r="25" spans="1:10">
      <c r="A25" t="s">
        <v>1792</v>
      </c>
      <c r="B25">
        <v>30</v>
      </c>
      <c r="C25" t="s">
        <v>1793</v>
      </c>
      <c r="D25" t="s">
        <v>312</v>
      </c>
      <c r="E25" t="s">
        <v>28</v>
      </c>
      <c r="F25" t="s">
        <v>1794</v>
      </c>
      <c r="G25" t="s">
        <v>152</v>
      </c>
      <c r="H25" t="s">
        <v>153</v>
      </c>
      <c r="I25" t="s">
        <v>154</v>
      </c>
      <c r="J25">
        <v>19930929</v>
      </c>
    </row>
    <row r="26" spans="1:10">
      <c r="A26" t="s">
        <v>4140</v>
      </c>
      <c r="B26">
        <v>31</v>
      </c>
      <c r="C26" t="s">
        <v>4141</v>
      </c>
      <c r="D26" t="s">
        <v>243</v>
      </c>
      <c r="E26" t="s">
        <v>84</v>
      </c>
      <c r="F26" t="s">
        <v>4142</v>
      </c>
      <c r="G26" t="s">
        <v>152</v>
      </c>
      <c r="H26" t="s">
        <v>153</v>
      </c>
      <c r="I26" t="s">
        <v>154</v>
      </c>
      <c r="J26">
        <v>19931008</v>
      </c>
    </row>
    <row r="27" spans="1:10">
      <c r="A27" t="s">
        <v>5211</v>
      </c>
      <c r="B27">
        <v>32</v>
      </c>
      <c r="C27" t="s">
        <v>5212</v>
      </c>
      <c r="D27" t="s">
        <v>243</v>
      </c>
      <c r="E27" t="s">
        <v>121</v>
      </c>
      <c r="F27" t="s">
        <v>5213</v>
      </c>
      <c r="G27" t="s">
        <v>152</v>
      </c>
      <c r="H27" t="s">
        <v>153</v>
      </c>
      <c r="I27" t="s">
        <v>154</v>
      </c>
      <c r="J27">
        <v>19931028</v>
      </c>
    </row>
    <row r="28" spans="1:10">
      <c r="A28" t="s">
        <v>5829</v>
      </c>
      <c r="B28">
        <v>34</v>
      </c>
      <c r="C28" t="s">
        <v>5830</v>
      </c>
      <c r="D28" t="s">
        <v>243</v>
      </c>
      <c r="E28" t="s">
        <v>123</v>
      </c>
      <c r="F28" t="s">
        <v>5831</v>
      </c>
      <c r="G28" t="s">
        <v>152</v>
      </c>
      <c r="H28" t="s">
        <v>153</v>
      </c>
      <c r="I28" t="s">
        <v>154</v>
      </c>
      <c r="J28">
        <v>19940509</v>
      </c>
    </row>
    <row r="29" spans="1:10">
      <c r="A29" t="s">
        <v>6537</v>
      </c>
      <c r="B29">
        <v>35</v>
      </c>
      <c r="C29" t="s">
        <v>6538</v>
      </c>
      <c r="D29" t="s">
        <v>212</v>
      </c>
      <c r="E29" t="s">
        <v>119</v>
      </c>
      <c r="F29" t="s">
        <v>6539</v>
      </c>
      <c r="G29" t="s">
        <v>152</v>
      </c>
      <c r="H29" t="s">
        <v>153</v>
      </c>
      <c r="I29" t="s">
        <v>154</v>
      </c>
      <c r="J29">
        <v>19940408</v>
      </c>
    </row>
    <row r="30" spans="1:10">
      <c r="A30" t="s">
        <v>4143</v>
      </c>
      <c r="B30">
        <v>36</v>
      </c>
      <c r="C30" t="s">
        <v>4144</v>
      </c>
      <c r="D30" t="s">
        <v>243</v>
      </c>
      <c r="E30" t="s">
        <v>84</v>
      </c>
      <c r="F30" t="s">
        <v>4145</v>
      </c>
      <c r="G30" t="s">
        <v>152</v>
      </c>
      <c r="H30" t="s">
        <v>153</v>
      </c>
      <c r="I30" t="s">
        <v>154</v>
      </c>
      <c r="J30">
        <v>19940617</v>
      </c>
    </row>
    <row r="31" spans="1:10">
      <c r="A31" t="s">
        <v>3412</v>
      </c>
      <c r="B31">
        <v>37</v>
      </c>
      <c r="C31" t="s">
        <v>3413</v>
      </c>
      <c r="D31" t="s">
        <v>243</v>
      </c>
      <c r="E31" t="s">
        <v>77</v>
      </c>
      <c r="F31" t="s">
        <v>3414</v>
      </c>
      <c r="G31" t="s">
        <v>152</v>
      </c>
      <c r="H31" t="s">
        <v>153</v>
      </c>
      <c r="I31" t="s">
        <v>154</v>
      </c>
      <c r="J31">
        <v>19940701</v>
      </c>
    </row>
    <row r="32" spans="1:10">
      <c r="A32" t="s">
        <v>5001</v>
      </c>
      <c r="B32">
        <v>38</v>
      </c>
      <c r="C32" t="s">
        <v>5002</v>
      </c>
      <c r="D32" t="s">
        <v>243</v>
      </c>
      <c r="E32" t="s">
        <v>74</v>
      </c>
      <c r="F32" t="s">
        <v>5003</v>
      </c>
      <c r="G32" t="s">
        <v>152</v>
      </c>
      <c r="H32" t="s">
        <v>153</v>
      </c>
      <c r="I32" t="s">
        <v>154</v>
      </c>
      <c r="J32">
        <v>19940808</v>
      </c>
    </row>
    <row r="33" spans="1:10">
      <c r="A33" t="s">
        <v>5418</v>
      </c>
      <c r="B33">
        <v>39</v>
      </c>
      <c r="C33" t="s">
        <v>5419</v>
      </c>
      <c r="D33" t="s">
        <v>243</v>
      </c>
      <c r="E33" t="s">
        <v>128</v>
      </c>
      <c r="F33" t="s">
        <v>5420</v>
      </c>
      <c r="G33" t="s">
        <v>152</v>
      </c>
      <c r="H33" t="s">
        <v>153</v>
      </c>
      <c r="I33" t="s">
        <v>154</v>
      </c>
      <c r="J33">
        <v>19940408</v>
      </c>
    </row>
    <row r="34" spans="1:10">
      <c r="A34" t="s">
        <v>3415</v>
      </c>
      <c r="B34">
        <v>40</v>
      </c>
      <c r="C34" t="s">
        <v>3416</v>
      </c>
      <c r="D34" t="s">
        <v>243</v>
      </c>
      <c r="E34" t="s">
        <v>82</v>
      </c>
      <c r="F34" t="s">
        <v>3417</v>
      </c>
      <c r="G34" t="s">
        <v>152</v>
      </c>
      <c r="H34" t="s">
        <v>153</v>
      </c>
      <c r="I34" t="s">
        <v>154</v>
      </c>
      <c r="J34">
        <v>19940808</v>
      </c>
    </row>
    <row r="35" spans="1:10">
      <c r="A35" t="s">
        <v>4146</v>
      </c>
      <c r="B35">
        <v>42</v>
      </c>
      <c r="C35" t="s">
        <v>4147</v>
      </c>
      <c r="D35" t="s">
        <v>243</v>
      </c>
      <c r="E35" t="s">
        <v>84</v>
      </c>
      <c r="F35" t="s">
        <v>4148</v>
      </c>
      <c r="G35" t="s">
        <v>152</v>
      </c>
      <c r="H35" t="s">
        <v>153</v>
      </c>
      <c r="I35" t="s">
        <v>154</v>
      </c>
      <c r="J35">
        <v>19940921</v>
      </c>
    </row>
    <row r="36" spans="1:10">
      <c r="A36" t="s">
        <v>1231</v>
      </c>
      <c r="B36">
        <v>45</v>
      </c>
      <c r="C36" t="s">
        <v>1232</v>
      </c>
      <c r="D36" t="s">
        <v>243</v>
      </c>
      <c r="E36" t="s">
        <v>42</v>
      </c>
      <c r="F36" t="s">
        <v>1233</v>
      </c>
      <c r="G36" t="s">
        <v>152</v>
      </c>
      <c r="H36" t="s">
        <v>153</v>
      </c>
      <c r="I36" t="s">
        <v>154</v>
      </c>
      <c r="J36">
        <v>19940815</v>
      </c>
    </row>
    <row r="37" spans="1:10">
      <c r="A37" t="s">
        <v>4782</v>
      </c>
      <c r="B37">
        <v>46</v>
      </c>
      <c r="C37" t="s">
        <v>4783</v>
      </c>
      <c r="D37" t="s">
        <v>164</v>
      </c>
      <c r="E37" t="s">
        <v>73</v>
      </c>
      <c r="F37" t="s">
        <v>4784</v>
      </c>
      <c r="G37" t="s">
        <v>152</v>
      </c>
      <c r="H37" t="s">
        <v>153</v>
      </c>
      <c r="I37" t="s">
        <v>154</v>
      </c>
      <c r="J37">
        <v>19940912</v>
      </c>
    </row>
    <row r="38" spans="1:10">
      <c r="A38" t="s">
        <v>4149</v>
      </c>
      <c r="B38">
        <v>48</v>
      </c>
      <c r="C38" t="s">
        <v>4150</v>
      </c>
      <c r="D38" t="s">
        <v>243</v>
      </c>
      <c r="E38" t="s">
        <v>79</v>
      </c>
      <c r="F38" t="s">
        <v>4151</v>
      </c>
      <c r="G38" t="s">
        <v>152</v>
      </c>
      <c r="H38" t="s">
        <v>153</v>
      </c>
      <c r="I38" t="s">
        <v>154</v>
      </c>
      <c r="J38">
        <v>19941101</v>
      </c>
    </row>
    <row r="39" spans="1:10">
      <c r="A39" t="s">
        <v>1234</v>
      </c>
      <c r="B39">
        <v>49</v>
      </c>
      <c r="C39" t="s">
        <v>1235</v>
      </c>
      <c r="D39" t="s">
        <v>243</v>
      </c>
      <c r="E39" t="s">
        <v>17</v>
      </c>
      <c r="F39" t="s">
        <v>1236</v>
      </c>
      <c r="G39" t="s">
        <v>152</v>
      </c>
      <c r="H39" t="s">
        <v>153</v>
      </c>
      <c r="I39" t="s">
        <v>154</v>
      </c>
      <c r="J39">
        <v>19950320</v>
      </c>
    </row>
    <row r="40" spans="1:10">
      <c r="A40" t="s">
        <v>1237</v>
      </c>
      <c r="B40">
        <v>50</v>
      </c>
      <c r="C40" t="s">
        <v>1238</v>
      </c>
      <c r="D40" t="s">
        <v>243</v>
      </c>
      <c r="E40" t="s">
        <v>42</v>
      </c>
      <c r="F40" t="s">
        <v>1239</v>
      </c>
      <c r="G40" t="s">
        <v>152</v>
      </c>
      <c r="H40" t="s">
        <v>153</v>
      </c>
      <c r="I40" t="s">
        <v>154</v>
      </c>
      <c r="J40">
        <v>19950315</v>
      </c>
    </row>
    <row r="41" spans="1:10">
      <c r="A41" t="s">
        <v>5214</v>
      </c>
      <c r="B41">
        <v>55</v>
      </c>
      <c r="C41" t="s">
        <v>5215</v>
      </c>
      <c r="D41" t="s">
        <v>243</v>
      </c>
      <c r="E41" t="s">
        <v>115</v>
      </c>
      <c r="F41" t="s">
        <v>5216</v>
      </c>
      <c r="G41" t="s">
        <v>152</v>
      </c>
      <c r="H41" t="s">
        <v>153</v>
      </c>
      <c r="I41" t="s">
        <v>154</v>
      </c>
      <c r="J41">
        <v>19960415</v>
      </c>
    </row>
    <row r="42" spans="1:10">
      <c r="A42" t="s">
        <v>4152</v>
      </c>
      <c r="B42">
        <v>56</v>
      </c>
      <c r="C42" t="s">
        <v>4153</v>
      </c>
      <c r="D42" t="s">
        <v>243</v>
      </c>
      <c r="E42" t="s">
        <v>70</v>
      </c>
      <c r="F42" t="s">
        <v>4154</v>
      </c>
      <c r="G42" t="s">
        <v>152</v>
      </c>
      <c r="H42" t="s">
        <v>153</v>
      </c>
      <c r="I42" t="s">
        <v>154</v>
      </c>
      <c r="J42">
        <v>19960708</v>
      </c>
    </row>
    <row r="43" spans="1:10">
      <c r="A43" t="s">
        <v>6702</v>
      </c>
      <c r="B43">
        <v>58</v>
      </c>
      <c r="C43" t="s">
        <v>6703</v>
      </c>
      <c r="D43" t="s">
        <v>243</v>
      </c>
      <c r="E43" t="s">
        <v>99</v>
      </c>
      <c r="F43" t="s">
        <v>6704</v>
      </c>
      <c r="G43" t="s">
        <v>152</v>
      </c>
      <c r="H43" t="s">
        <v>153</v>
      </c>
      <c r="I43" t="s">
        <v>154</v>
      </c>
      <c r="J43">
        <v>19961226</v>
      </c>
    </row>
    <row r="44" spans="1:10">
      <c r="A44" t="s">
        <v>6453</v>
      </c>
      <c r="B44">
        <v>59</v>
      </c>
      <c r="C44" t="s">
        <v>6454</v>
      </c>
      <c r="D44" t="s">
        <v>236</v>
      </c>
      <c r="E44" t="s">
        <v>130</v>
      </c>
      <c r="F44" t="s">
        <v>6455</v>
      </c>
      <c r="G44" t="s">
        <v>152</v>
      </c>
      <c r="H44" t="s">
        <v>153</v>
      </c>
      <c r="I44" t="s">
        <v>154</v>
      </c>
      <c r="J44">
        <v>19970130</v>
      </c>
    </row>
    <row r="45" spans="1:10">
      <c r="A45" t="s">
        <v>960</v>
      </c>
      <c r="B45">
        <v>60</v>
      </c>
      <c r="C45" t="s">
        <v>961</v>
      </c>
      <c r="D45" t="s">
        <v>243</v>
      </c>
      <c r="E45" t="s">
        <v>35</v>
      </c>
      <c r="F45" t="s">
        <v>962</v>
      </c>
      <c r="G45" t="s">
        <v>152</v>
      </c>
      <c r="H45" t="s">
        <v>153</v>
      </c>
      <c r="I45" t="s">
        <v>154</v>
      </c>
      <c r="J45">
        <v>19970123</v>
      </c>
    </row>
    <row r="46" spans="1:10">
      <c r="A46" t="s">
        <v>245</v>
      </c>
      <c r="B46">
        <v>61</v>
      </c>
      <c r="C46" t="s">
        <v>246</v>
      </c>
      <c r="D46" t="s">
        <v>243</v>
      </c>
      <c r="E46" t="s">
        <v>46</v>
      </c>
      <c r="F46" t="s">
        <v>247</v>
      </c>
      <c r="G46" t="s">
        <v>152</v>
      </c>
      <c r="H46" t="s">
        <v>153</v>
      </c>
      <c r="I46" t="s">
        <v>154</v>
      </c>
      <c r="J46">
        <v>19970110</v>
      </c>
    </row>
    <row r="47" spans="1:10">
      <c r="A47" t="s">
        <v>1240</v>
      </c>
      <c r="B47">
        <v>62</v>
      </c>
      <c r="C47" t="s">
        <v>1241</v>
      </c>
      <c r="D47" t="s">
        <v>243</v>
      </c>
      <c r="E47" t="s">
        <v>42</v>
      </c>
      <c r="F47" t="s">
        <v>1242</v>
      </c>
      <c r="G47" t="s">
        <v>152</v>
      </c>
      <c r="H47" t="s">
        <v>153</v>
      </c>
      <c r="I47" t="s">
        <v>154</v>
      </c>
      <c r="J47">
        <v>19970130</v>
      </c>
    </row>
    <row r="48" spans="1:10">
      <c r="A48" t="s">
        <v>6222</v>
      </c>
      <c r="B48">
        <v>63</v>
      </c>
      <c r="C48" t="s">
        <v>6223</v>
      </c>
      <c r="D48" t="s">
        <v>243</v>
      </c>
      <c r="E48" t="s">
        <v>125</v>
      </c>
      <c r="F48" t="s">
        <v>6224</v>
      </c>
      <c r="G48" t="s">
        <v>152</v>
      </c>
      <c r="H48" t="s">
        <v>153</v>
      </c>
      <c r="I48" t="s">
        <v>154</v>
      </c>
      <c r="J48">
        <v>19971118</v>
      </c>
    </row>
    <row r="49" spans="1:10">
      <c r="A49" t="s">
        <v>5217</v>
      </c>
      <c r="B49">
        <v>65</v>
      </c>
      <c r="C49" t="s">
        <v>5218</v>
      </c>
      <c r="D49" t="s">
        <v>164</v>
      </c>
      <c r="E49" t="s">
        <v>121</v>
      </c>
      <c r="F49" t="s">
        <v>5219</v>
      </c>
      <c r="G49" t="s">
        <v>152</v>
      </c>
      <c r="H49" t="s">
        <v>153</v>
      </c>
      <c r="I49" t="s">
        <v>154</v>
      </c>
      <c r="J49">
        <v>19980605</v>
      </c>
    </row>
    <row r="50" spans="1:10">
      <c r="A50" t="s">
        <v>1243</v>
      </c>
      <c r="B50">
        <v>66</v>
      </c>
      <c r="C50" t="s">
        <v>1244</v>
      </c>
      <c r="D50" t="s">
        <v>243</v>
      </c>
      <c r="E50" t="s">
        <v>1</v>
      </c>
      <c r="F50" t="s">
        <v>1245</v>
      </c>
      <c r="G50" t="s">
        <v>152</v>
      </c>
      <c r="H50" t="s">
        <v>153</v>
      </c>
      <c r="I50" t="s">
        <v>154</v>
      </c>
      <c r="J50">
        <v>19970626</v>
      </c>
    </row>
    <row r="51" spans="1:10">
      <c r="A51" t="s">
        <v>6540</v>
      </c>
      <c r="B51">
        <v>68</v>
      </c>
      <c r="C51" t="s">
        <v>6541</v>
      </c>
      <c r="D51" t="s">
        <v>243</v>
      </c>
      <c r="E51" t="s">
        <v>119</v>
      </c>
      <c r="F51" t="s">
        <v>6542</v>
      </c>
      <c r="G51" t="s">
        <v>152</v>
      </c>
      <c r="H51" t="s">
        <v>153</v>
      </c>
      <c r="I51" t="s">
        <v>154</v>
      </c>
      <c r="J51">
        <v>19970611</v>
      </c>
    </row>
    <row r="52" spans="1:10">
      <c r="A52" t="s">
        <v>4608</v>
      </c>
      <c r="B52">
        <v>69</v>
      </c>
      <c r="C52" t="s">
        <v>4609</v>
      </c>
      <c r="D52" t="s">
        <v>243</v>
      </c>
      <c r="E52" t="s">
        <v>80</v>
      </c>
      <c r="F52" t="s">
        <v>4610</v>
      </c>
      <c r="G52" t="s">
        <v>152</v>
      </c>
      <c r="H52" t="s">
        <v>153</v>
      </c>
      <c r="I52" t="s">
        <v>154</v>
      </c>
      <c r="J52">
        <v>19970910</v>
      </c>
    </row>
    <row r="53" spans="1:10">
      <c r="A53" t="s">
        <v>6225</v>
      </c>
      <c r="B53">
        <v>70</v>
      </c>
      <c r="C53" t="s">
        <v>6226</v>
      </c>
      <c r="D53" t="s">
        <v>243</v>
      </c>
      <c r="E53" t="s">
        <v>125</v>
      </c>
      <c r="F53" t="s">
        <v>6227</v>
      </c>
      <c r="G53" t="s">
        <v>152</v>
      </c>
      <c r="H53" t="s">
        <v>153</v>
      </c>
      <c r="I53" t="s">
        <v>154</v>
      </c>
      <c r="J53">
        <v>20000511</v>
      </c>
    </row>
    <row r="54" spans="1:10">
      <c r="A54" t="s">
        <v>3271</v>
      </c>
      <c r="B54">
        <v>78</v>
      </c>
      <c r="C54" t="s">
        <v>3272</v>
      </c>
      <c r="D54" t="s">
        <v>243</v>
      </c>
      <c r="E54" t="s">
        <v>95</v>
      </c>
      <c r="F54" t="s">
        <v>3273</v>
      </c>
      <c r="G54" t="s">
        <v>152</v>
      </c>
      <c r="H54" t="s">
        <v>153</v>
      </c>
      <c r="I54" t="s">
        <v>154</v>
      </c>
      <c r="J54">
        <v>19981218</v>
      </c>
    </row>
    <row r="55" spans="1:10">
      <c r="A55" t="s">
        <v>3730</v>
      </c>
      <c r="B55">
        <v>88</v>
      </c>
      <c r="C55" t="s">
        <v>3731</v>
      </c>
      <c r="D55" t="s">
        <v>243</v>
      </c>
      <c r="E55" t="s">
        <v>83</v>
      </c>
      <c r="F55" t="s">
        <v>3732</v>
      </c>
      <c r="G55" t="s">
        <v>152</v>
      </c>
      <c r="H55" t="s">
        <v>153</v>
      </c>
      <c r="I55" t="s">
        <v>154</v>
      </c>
      <c r="J55">
        <v>19970728</v>
      </c>
    </row>
    <row r="56" spans="1:10">
      <c r="A56" t="s">
        <v>3733</v>
      </c>
      <c r="B56">
        <v>89</v>
      </c>
      <c r="C56" t="s">
        <v>3734</v>
      </c>
      <c r="D56" t="s">
        <v>243</v>
      </c>
      <c r="E56" t="s">
        <v>101</v>
      </c>
      <c r="F56" t="s">
        <v>3735</v>
      </c>
      <c r="G56" t="s">
        <v>152</v>
      </c>
      <c r="H56" t="s">
        <v>153</v>
      </c>
      <c r="I56" t="s">
        <v>154</v>
      </c>
      <c r="J56">
        <v>19980420</v>
      </c>
    </row>
    <row r="57" spans="1:10">
      <c r="A57" t="s">
        <v>5220</v>
      </c>
      <c r="B57">
        <v>90</v>
      </c>
      <c r="C57" t="s">
        <v>5221</v>
      </c>
      <c r="D57" t="s">
        <v>243</v>
      </c>
      <c r="E57" t="s">
        <v>121</v>
      </c>
      <c r="F57" t="s">
        <v>5222</v>
      </c>
      <c r="G57" t="s">
        <v>152</v>
      </c>
      <c r="H57" t="s">
        <v>153</v>
      </c>
      <c r="I57" t="s">
        <v>154</v>
      </c>
      <c r="J57">
        <v>19990721</v>
      </c>
    </row>
    <row r="58" spans="1:10">
      <c r="A58" t="s">
        <v>6456</v>
      </c>
      <c r="B58">
        <v>96</v>
      </c>
      <c r="C58" t="s">
        <v>6457</v>
      </c>
      <c r="D58" t="s">
        <v>243</v>
      </c>
      <c r="E58" t="s">
        <v>127</v>
      </c>
      <c r="F58" t="s">
        <v>6458</v>
      </c>
      <c r="G58" t="s">
        <v>152</v>
      </c>
      <c r="H58" t="s">
        <v>153</v>
      </c>
      <c r="I58" t="s">
        <v>154</v>
      </c>
      <c r="J58">
        <v>20000724</v>
      </c>
    </row>
    <row r="59" spans="1:10">
      <c r="A59" t="s">
        <v>3736</v>
      </c>
      <c r="B59">
        <v>99</v>
      </c>
      <c r="C59" t="s">
        <v>3737</v>
      </c>
      <c r="D59" t="s">
        <v>243</v>
      </c>
      <c r="E59" t="s">
        <v>103</v>
      </c>
      <c r="F59" t="s">
        <v>3738</v>
      </c>
      <c r="G59" t="s">
        <v>152</v>
      </c>
      <c r="H59" t="s">
        <v>153</v>
      </c>
      <c r="I59" t="s">
        <v>154</v>
      </c>
      <c r="J59">
        <v>20000731</v>
      </c>
    </row>
    <row r="60" spans="1:10">
      <c r="A60" t="s">
        <v>1246</v>
      </c>
      <c r="B60">
        <v>100</v>
      </c>
      <c r="C60" t="s">
        <v>1247</v>
      </c>
      <c r="D60" t="s">
        <v>223</v>
      </c>
      <c r="E60" t="s">
        <v>42</v>
      </c>
      <c r="F60" t="s">
        <v>1248</v>
      </c>
      <c r="G60" t="s">
        <v>152</v>
      </c>
      <c r="H60" t="s">
        <v>153</v>
      </c>
      <c r="I60" t="s">
        <v>154</v>
      </c>
      <c r="J60">
        <v>20040130</v>
      </c>
    </row>
    <row r="61" spans="1:10">
      <c r="A61" t="s">
        <v>3100</v>
      </c>
      <c r="B61">
        <v>150</v>
      </c>
      <c r="C61" t="s">
        <v>3101</v>
      </c>
      <c r="D61" t="s">
        <v>223</v>
      </c>
      <c r="E61" t="s">
        <v>76</v>
      </c>
      <c r="F61" t="s">
        <v>3102</v>
      </c>
      <c r="G61" t="s">
        <v>152</v>
      </c>
      <c r="H61" t="s">
        <v>153</v>
      </c>
      <c r="I61" t="s">
        <v>154</v>
      </c>
      <c r="J61">
        <v>20000807</v>
      </c>
    </row>
    <row r="62" spans="1:10">
      <c r="A62" t="s">
        <v>4419</v>
      </c>
      <c r="B62">
        <v>151</v>
      </c>
      <c r="C62" t="s">
        <v>4420</v>
      </c>
      <c r="D62" t="s">
        <v>164</v>
      </c>
      <c r="E62" t="s">
        <v>71</v>
      </c>
      <c r="F62" t="s">
        <v>4421</v>
      </c>
      <c r="G62" t="s">
        <v>152</v>
      </c>
      <c r="H62" t="s">
        <v>153</v>
      </c>
      <c r="I62" t="s">
        <v>154</v>
      </c>
      <c r="J62">
        <v>20000906</v>
      </c>
    </row>
    <row r="63" spans="1:10">
      <c r="A63" t="s">
        <v>2941</v>
      </c>
      <c r="B63">
        <v>153</v>
      </c>
      <c r="C63" t="s">
        <v>2942</v>
      </c>
      <c r="D63" t="s">
        <v>160</v>
      </c>
      <c r="E63" t="s">
        <v>81</v>
      </c>
      <c r="F63" t="s">
        <v>2943</v>
      </c>
      <c r="G63" t="s">
        <v>152</v>
      </c>
      <c r="H63" t="s">
        <v>153</v>
      </c>
      <c r="I63" t="s">
        <v>154</v>
      </c>
      <c r="J63">
        <v>20000920</v>
      </c>
    </row>
    <row r="64" spans="1:10">
      <c r="A64" t="s">
        <v>3418</v>
      </c>
      <c r="B64">
        <v>155</v>
      </c>
      <c r="C64" t="s">
        <v>3419</v>
      </c>
      <c r="D64" t="s">
        <v>219</v>
      </c>
      <c r="E64" t="s">
        <v>82</v>
      </c>
      <c r="F64" t="s">
        <v>3420</v>
      </c>
      <c r="G64" t="s">
        <v>152</v>
      </c>
      <c r="H64" t="s">
        <v>153</v>
      </c>
      <c r="I64" t="s">
        <v>154</v>
      </c>
      <c r="J64">
        <v>20000926</v>
      </c>
    </row>
    <row r="65" spans="1:10">
      <c r="A65" t="s">
        <v>6030</v>
      </c>
      <c r="B65">
        <v>156</v>
      </c>
      <c r="C65" t="s">
        <v>6031</v>
      </c>
      <c r="D65" t="s">
        <v>423</v>
      </c>
      <c r="E65" t="s">
        <v>124</v>
      </c>
      <c r="F65" t="s">
        <v>6032</v>
      </c>
      <c r="G65" t="s">
        <v>152</v>
      </c>
      <c r="H65" t="s">
        <v>153</v>
      </c>
      <c r="I65" t="s">
        <v>154</v>
      </c>
      <c r="J65">
        <v>20000906</v>
      </c>
    </row>
    <row r="66" spans="1:10">
      <c r="A66" t="s">
        <v>5421</v>
      </c>
      <c r="B66">
        <v>157</v>
      </c>
      <c r="C66" t="s">
        <v>5422</v>
      </c>
      <c r="D66" t="s">
        <v>168</v>
      </c>
      <c r="E66" t="s">
        <v>104</v>
      </c>
      <c r="F66" t="s">
        <v>5423</v>
      </c>
      <c r="G66" t="s">
        <v>152</v>
      </c>
      <c r="H66" t="s">
        <v>153</v>
      </c>
      <c r="I66" t="s">
        <v>154</v>
      </c>
      <c r="J66">
        <v>20001012</v>
      </c>
    </row>
    <row r="67" spans="1:10">
      <c r="A67" t="s">
        <v>5832</v>
      </c>
      <c r="B67">
        <v>158</v>
      </c>
      <c r="C67" t="s">
        <v>5833</v>
      </c>
      <c r="D67" t="s">
        <v>279</v>
      </c>
      <c r="E67" t="s">
        <v>123</v>
      </c>
      <c r="F67" t="s">
        <v>5834</v>
      </c>
      <c r="G67" t="s">
        <v>152</v>
      </c>
      <c r="H67" t="s">
        <v>153</v>
      </c>
      <c r="I67" t="s">
        <v>154</v>
      </c>
      <c r="J67">
        <v>20000724</v>
      </c>
    </row>
    <row r="68" spans="1:10">
      <c r="A68" t="s">
        <v>6459</v>
      </c>
      <c r="B68">
        <v>159</v>
      </c>
      <c r="C68" t="s">
        <v>6460</v>
      </c>
      <c r="D68" t="s">
        <v>202</v>
      </c>
      <c r="E68" t="s">
        <v>127</v>
      </c>
      <c r="F68" t="s">
        <v>6461</v>
      </c>
      <c r="G68" t="s">
        <v>152</v>
      </c>
      <c r="H68" t="s">
        <v>153</v>
      </c>
      <c r="I68" t="s">
        <v>154</v>
      </c>
      <c r="J68">
        <v>20000926</v>
      </c>
    </row>
    <row r="69" spans="1:10">
      <c r="A69" t="s">
        <v>4785</v>
      </c>
      <c r="B69">
        <v>166</v>
      </c>
      <c r="C69" t="s">
        <v>4786</v>
      </c>
      <c r="D69" t="s">
        <v>202</v>
      </c>
      <c r="E69" t="s">
        <v>87</v>
      </c>
      <c r="F69" t="s">
        <v>4787</v>
      </c>
      <c r="G69" t="s">
        <v>152</v>
      </c>
      <c r="H69" t="s">
        <v>153</v>
      </c>
      <c r="I69" t="s">
        <v>154</v>
      </c>
      <c r="J69">
        <v>20150126</v>
      </c>
    </row>
    <row r="70" spans="1:10">
      <c r="A70" t="s">
        <v>303</v>
      </c>
      <c r="B70">
        <v>301</v>
      </c>
      <c r="C70" t="s">
        <v>304</v>
      </c>
      <c r="D70" t="s">
        <v>212</v>
      </c>
      <c r="E70" t="s">
        <v>24</v>
      </c>
      <c r="F70" t="s">
        <v>305</v>
      </c>
      <c r="G70" t="s">
        <v>152</v>
      </c>
      <c r="H70" t="s">
        <v>153</v>
      </c>
      <c r="I70" t="s">
        <v>154</v>
      </c>
      <c r="J70">
        <v>20000529</v>
      </c>
    </row>
    <row r="71" spans="1:10">
      <c r="A71" t="s">
        <v>2215</v>
      </c>
      <c r="B71">
        <v>333</v>
      </c>
      <c r="C71" t="s">
        <v>2216</v>
      </c>
      <c r="D71" t="s">
        <v>223</v>
      </c>
      <c r="E71" t="s">
        <v>8</v>
      </c>
      <c r="F71" t="s">
        <v>2217</v>
      </c>
      <c r="G71" t="s">
        <v>152</v>
      </c>
      <c r="H71" t="s">
        <v>153</v>
      </c>
      <c r="I71" t="s">
        <v>154</v>
      </c>
      <c r="J71">
        <v>20130918</v>
      </c>
    </row>
    <row r="72" spans="1:10">
      <c r="A72" t="s">
        <v>1795</v>
      </c>
      <c r="B72">
        <v>338</v>
      </c>
      <c r="C72" t="s">
        <v>1796</v>
      </c>
      <c r="D72" t="s">
        <v>198</v>
      </c>
      <c r="E72" t="s">
        <v>28</v>
      </c>
      <c r="F72" t="s">
        <v>1797</v>
      </c>
      <c r="G72" t="s">
        <v>152</v>
      </c>
      <c r="H72" t="s">
        <v>153</v>
      </c>
      <c r="I72" t="s">
        <v>154</v>
      </c>
      <c r="J72">
        <v>20070430</v>
      </c>
    </row>
    <row r="73" spans="1:10">
      <c r="A73" t="s">
        <v>1249</v>
      </c>
      <c r="B73">
        <v>400</v>
      </c>
      <c r="C73" t="s">
        <v>1250</v>
      </c>
      <c r="D73" t="s">
        <v>292</v>
      </c>
      <c r="E73" t="s">
        <v>17</v>
      </c>
      <c r="F73" t="s">
        <v>1251</v>
      </c>
      <c r="G73" t="s">
        <v>152</v>
      </c>
      <c r="H73" t="s">
        <v>153</v>
      </c>
      <c r="I73" t="s">
        <v>154</v>
      </c>
      <c r="J73">
        <v>19970418</v>
      </c>
    </row>
    <row r="74" spans="1:10">
      <c r="A74" t="s">
        <v>5058</v>
      </c>
      <c r="B74">
        <v>401</v>
      </c>
      <c r="C74" t="s">
        <v>5059</v>
      </c>
      <c r="D74" t="s">
        <v>279</v>
      </c>
      <c r="E74" t="s">
        <v>75</v>
      </c>
      <c r="F74" t="s">
        <v>5060</v>
      </c>
      <c r="G74" t="s">
        <v>152</v>
      </c>
      <c r="H74" t="s">
        <v>153</v>
      </c>
      <c r="I74" t="s">
        <v>154</v>
      </c>
      <c r="J74">
        <v>19960614</v>
      </c>
    </row>
    <row r="75" spans="1:10">
      <c r="A75" t="s">
        <v>4155</v>
      </c>
      <c r="B75">
        <v>402</v>
      </c>
      <c r="C75" t="s">
        <v>4156</v>
      </c>
      <c r="D75" t="s">
        <v>164</v>
      </c>
      <c r="E75" t="s">
        <v>84</v>
      </c>
      <c r="F75" t="s">
        <v>4157</v>
      </c>
      <c r="G75" t="s">
        <v>152</v>
      </c>
      <c r="H75" t="s">
        <v>153</v>
      </c>
      <c r="I75" t="s">
        <v>154</v>
      </c>
      <c r="J75">
        <v>19960626</v>
      </c>
    </row>
    <row r="76" spans="1:10">
      <c r="A76" t="s">
        <v>3124</v>
      </c>
      <c r="B76">
        <v>403</v>
      </c>
      <c r="C76" t="s">
        <v>3125</v>
      </c>
      <c r="D76" t="s">
        <v>557</v>
      </c>
      <c r="E76" t="s">
        <v>76</v>
      </c>
      <c r="F76" t="s">
        <v>3126</v>
      </c>
      <c r="G76" t="s">
        <v>152</v>
      </c>
      <c r="H76" t="s">
        <v>153</v>
      </c>
      <c r="I76" t="s">
        <v>154</v>
      </c>
      <c r="J76">
        <v>19960628</v>
      </c>
    </row>
    <row r="77" spans="1:10">
      <c r="A77" t="s">
        <v>2218</v>
      </c>
      <c r="B77">
        <v>404</v>
      </c>
      <c r="C77" t="s">
        <v>2219</v>
      </c>
      <c r="D77" t="s">
        <v>406</v>
      </c>
      <c r="E77" t="s">
        <v>8</v>
      </c>
      <c r="F77" t="s">
        <v>2220</v>
      </c>
      <c r="G77" t="s">
        <v>152</v>
      </c>
      <c r="H77" t="s">
        <v>153</v>
      </c>
      <c r="I77" t="s">
        <v>154</v>
      </c>
      <c r="J77">
        <v>19960619</v>
      </c>
    </row>
    <row r="78" spans="1:10">
      <c r="A78" t="s">
        <v>3421</v>
      </c>
      <c r="B78">
        <v>407</v>
      </c>
      <c r="C78" t="s">
        <v>3422</v>
      </c>
      <c r="D78" t="s">
        <v>198</v>
      </c>
      <c r="E78" t="s">
        <v>91</v>
      </c>
      <c r="F78" t="s">
        <v>3423</v>
      </c>
      <c r="G78" t="s">
        <v>152</v>
      </c>
      <c r="H78" t="s">
        <v>153</v>
      </c>
      <c r="I78" t="s">
        <v>154</v>
      </c>
      <c r="J78">
        <v>19960703</v>
      </c>
    </row>
    <row r="79" spans="1:10">
      <c r="A79" t="s">
        <v>306</v>
      </c>
      <c r="B79">
        <v>408</v>
      </c>
      <c r="C79" t="s">
        <v>307</v>
      </c>
      <c r="D79" t="s">
        <v>308</v>
      </c>
      <c r="E79" t="s">
        <v>47</v>
      </c>
      <c r="F79" t="s">
        <v>309</v>
      </c>
      <c r="G79" t="s">
        <v>152</v>
      </c>
      <c r="H79" t="s">
        <v>153</v>
      </c>
      <c r="I79" t="s">
        <v>154</v>
      </c>
      <c r="J79">
        <v>19960628</v>
      </c>
    </row>
    <row r="80" spans="1:10">
      <c r="A80" t="s">
        <v>5835</v>
      </c>
      <c r="B80">
        <v>409</v>
      </c>
      <c r="C80" t="s">
        <v>5836</v>
      </c>
      <c r="D80" t="s">
        <v>198</v>
      </c>
      <c r="E80" t="s">
        <v>123</v>
      </c>
      <c r="F80" t="s">
        <v>5837</v>
      </c>
      <c r="G80" t="s">
        <v>152</v>
      </c>
      <c r="H80" t="s">
        <v>153</v>
      </c>
      <c r="I80" t="s">
        <v>154</v>
      </c>
      <c r="J80">
        <v>19960627</v>
      </c>
    </row>
    <row r="81" spans="1:10">
      <c r="A81" t="s">
        <v>5424</v>
      </c>
      <c r="B81">
        <v>410</v>
      </c>
      <c r="C81" t="s">
        <v>5425</v>
      </c>
      <c r="D81" t="s">
        <v>236</v>
      </c>
      <c r="E81" t="s">
        <v>134</v>
      </c>
      <c r="F81" t="s">
        <v>5426</v>
      </c>
      <c r="G81" t="s">
        <v>152</v>
      </c>
      <c r="H81" t="s">
        <v>153</v>
      </c>
      <c r="I81" t="s">
        <v>154</v>
      </c>
      <c r="J81">
        <v>19960718</v>
      </c>
    </row>
    <row r="82" spans="1:10">
      <c r="A82" t="s">
        <v>3277</v>
      </c>
      <c r="B82">
        <v>411</v>
      </c>
      <c r="C82" t="s">
        <v>3278</v>
      </c>
      <c r="D82" t="s">
        <v>423</v>
      </c>
      <c r="E82" t="s">
        <v>95</v>
      </c>
      <c r="F82" t="s">
        <v>3279</v>
      </c>
      <c r="G82" t="s">
        <v>152</v>
      </c>
      <c r="H82" t="s">
        <v>153</v>
      </c>
      <c r="I82" t="s">
        <v>154</v>
      </c>
      <c r="J82">
        <v>19960716</v>
      </c>
    </row>
    <row r="83" spans="1:10">
      <c r="A83" t="s">
        <v>1252</v>
      </c>
      <c r="B83">
        <v>413</v>
      </c>
      <c r="C83" t="s">
        <v>1253</v>
      </c>
      <c r="D83" t="s">
        <v>279</v>
      </c>
      <c r="E83" t="s">
        <v>42</v>
      </c>
      <c r="F83" t="s">
        <v>1254</v>
      </c>
      <c r="G83" t="s">
        <v>152</v>
      </c>
      <c r="H83" t="s">
        <v>153</v>
      </c>
      <c r="I83" t="s">
        <v>154</v>
      </c>
      <c r="J83">
        <v>19960925</v>
      </c>
    </row>
    <row r="84" spans="1:10">
      <c r="A84" t="s">
        <v>4788</v>
      </c>
      <c r="B84">
        <v>415</v>
      </c>
      <c r="C84" t="s">
        <v>4789</v>
      </c>
      <c r="D84" t="s">
        <v>202</v>
      </c>
      <c r="E84" t="s">
        <v>73</v>
      </c>
      <c r="F84" t="s">
        <v>4790</v>
      </c>
      <c r="G84" t="s">
        <v>152</v>
      </c>
      <c r="H84" t="s">
        <v>153</v>
      </c>
      <c r="I84" t="s">
        <v>154</v>
      </c>
      <c r="J84">
        <v>19960716</v>
      </c>
    </row>
    <row r="85" spans="1:10">
      <c r="A85" t="s">
        <v>4791</v>
      </c>
      <c r="B85">
        <v>416</v>
      </c>
      <c r="C85" t="s">
        <v>4792</v>
      </c>
      <c r="D85" t="s">
        <v>198</v>
      </c>
      <c r="E85" t="s">
        <v>73</v>
      </c>
      <c r="F85" t="s">
        <v>4793</v>
      </c>
      <c r="G85" t="s">
        <v>152</v>
      </c>
      <c r="H85" t="s">
        <v>153</v>
      </c>
      <c r="I85" t="s">
        <v>154</v>
      </c>
      <c r="J85">
        <v>19960719</v>
      </c>
    </row>
    <row r="86" spans="1:10">
      <c r="A86" t="s">
        <v>4422</v>
      </c>
      <c r="B86">
        <v>417</v>
      </c>
      <c r="C86" t="s">
        <v>4423</v>
      </c>
      <c r="D86" t="s">
        <v>160</v>
      </c>
      <c r="E86" t="s">
        <v>22</v>
      </c>
      <c r="F86" t="s">
        <v>4424</v>
      </c>
      <c r="G86" t="s">
        <v>152</v>
      </c>
      <c r="H86" t="s">
        <v>153</v>
      </c>
      <c r="I86" t="s">
        <v>154</v>
      </c>
      <c r="J86">
        <v>19960812</v>
      </c>
    </row>
    <row r="87" spans="1:10">
      <c r="A87" t="s">
        <v>4425</v>
      </c>
      <c r="B87">
        <v>419</v>
      </c>
      <c r="C87" t="s">
        <v>4426</v>
      </c>
      <c r="D87" t="s">
        <v>168</v>
      </c>
      <c r="E87" t="s">
        <v>22</v>
      </c>
      <c r="F87" t="s">
        <v>4427</v>
      </c>
      <c r="G87" t="s">
        <v>152</v>
      </c>
      <c r="H87" t="s">
        <v>153</v>
      </c>
      <c r="I87" t="s">
        <v>154</v>
      </c>
      <c r="J87">
        <v>19960816</v>
      </c>
    </row>
    <row r="88" spans="1:10">
      <c r="A88" t="s">
        <v>310</v>
      </c>
      <c r="B88">
        <v>420</v>
      </c>
      <c r="C88" t="s">
        <v>311</v>
      </c>
      <c r="D88" t="s">
        <v>312</v>
      </c>
      <c r="E88" t="s">
        <v>24</v>
      </c>
      <c r="F88" t="s">
        <v>313</v>
      </c>
      <c r="G88" t="s">
        <v>152</v>
      </c>
      <c r="H88" t="s">
        <v>153</v>
      </c>
      <c r="I88" t="s">
        <v>154</v>
      </c>
      <c r="J88">
        <v>19960802</v>
      </c>
    </row>
    <row r="89" spans="1:10">
      <c r="A89" t="s">
        <v>3424</v>
      </c>
      <c r="B89">
        <v>421</v>
      </c>
      <c r="C89" t="s">
        <v>3425</v>
      </c>
      <c r="D89" t="s">
        <v>212</v>
      </c>
      <c r="E89" t="s">
        <v>91</v>
      </c>
      <c r="F89" t="s">
        <v>3426</v>
      </c>
      <c r="G89" t="s">
        <v>152</v>
      </c>
      <c r="H89" t="s">
        <v>153</v>
      </c>
      <c r="I89" t="s">
        <v>154</v>
      </c>
      <c r="J89">
        <v>19960806</v>
      </c>
    </row>
    <row r="90" spans="1:10">
      <c r="A90" t="s">
        <v>314</v>
      </c>
      <c r="B90">
        <v>422</v>
      </c>
      <c r="C90" t="s">
        <v>315</v>
      </c>
      <c r="D90" t="s">
        <v>316</v>
      </c>
      <c r="E90" t="s">
        <v>47</v>
      </c>
      <c r="F90" t="s">
        <v>317</v>
      </c>
      <c r="G90" t="s">
        <v>152</v>
      </c>
      <c r="H90" t="s">
        <v>153</v>
      </c>
      <c r="I90" t="s">
        <v>154</v>
      </c>
      <c r="J90">
        <v>19960815</v>
      </c>
    </row>
    <row r="91" spans="1:10">
      <c r="A91" t="s">
        <v>3352</v>
      </c>
      <c r="B91">
        <v>423</v>
      </c>
      <c r="C91" t="s">
        <v>3353</v>
      </c>
      <c r="D91" t="s">
        <v>198</v>
      </c>
      <c r="E91" t="s">
        <v>67</v>
      </c>
      <c r="F91" t="s">
        <v>3354</v>
      </c>
      <c r="G91" t="s">
        <v>152</v>
      </c>
      <c r="H91" t="s">
        <v>153</v>
      </c>
      <c r="I91" t="s">
        <v>154</v>
      </c>
      <c r="J91">
        <v>19960729</v>
      </c>
    </row>
    <row r="92" spans="1:10">
      <c r="A92" t="s">
        <v>5427</v>
      </c>
      <c r="B92">
        <v>425</v>
      </c>
      <c r="C92" t="s">
        <v>5428</v>
      </c>
      <c r="D92" t="s">
        <v>212</v>
      </c>
      <c r="E92" t="s">
        <v>104</v>
      </c>
      <c r="F92" t="s">
        <v>5429</v>
      </c>
      <c r="G92" t="s">
        <v>152</v>
      </c>
      <c r="H92" t="s">
        <v>153</v>
      </c>
      <c r="I92" t="s">
        <v>154</v>
      </c>
      <c r="J92">
        <v>19960828</v>
      </c>
    </row>
    <row r="93" spans="1:10">
      <c r="A93" t="s">
        <v>963</v>
      </c>
      <c r="B93">
        <v>426</v>
      </c>
      <c r="C93" t="s">
        <v>964</v>
      </c>
      <c r="D93" t="s">
        <v>266</v>
      </c>
      <c r="E93" t="s">
        <v>35</v>
      </c>
      <c r="F93" t="s">
        <v>965</v>
      </c>
      <c r="G93" t="s">
        <v>152</v>
      </c>
      <c r="H93" t="s">
        <v>153</v>
      </c>
      <c r="I93" t="s">
        <v>154</v>
      </c>
      <c r="J93">
        <v>19960828</v>
      </c>
    </row>
    <row r="94" spans="1:10">
      <c r="A94" t="s">
        <v>4611</v>
      </c>
      <c r="B94">
        <v>428</v>
      </c>
      <c r="C94" t="s">
        <v>4612</v>
      </c>
      <c r="D94" t="s">
        <v>168</v>
      </c>
      <c r="E94" t="s">
        <v>86</v>
      </c>
      <c r="F94" t="s">
        <v>4613</v>
      </c>
      <c r="G94" t="s">
        <v>152</v>
      </c>
      <c r="H94" t="s">
        <v>153</v>
      </c>
      <c r="I94" t="s">
        <v>154</v>
      </c>
      <c r="J94">
        <v>19960808</v>
      </c>
    </row>
    <row r="95" spans="1:10">
      <c r="A95" t="s">
        <v>3739</v>
      </c>
      <c r="B95">
        <v>429</v>
      </c>
      <c r="C95" t="s">
        <v>3740</v>
      </c>
      <c r="D95" t="s">
        <v>223</v>
      </c>
      <c r="E95" t="s">
        <v>98</v>
      </c>
      <c r="F95" t="s">
        <v>3741</v>
      </c>
      <c r="G95" t="s">
        <v>152</v>
      </c>
      <c r="H95" t="s">
        <v>153</v>
      </c>
      <c r="I95" t="s">
        <v>154</v>
      </c>
      <c r="J95">
        <v>19980220</v>
      </c>
    </row>
    <row r="96" spans="1:10">
      <c r="A96" t="s">
        <v>4614</v>
      </c>
      <c r="B96">
        <v>430</v>
      </c>
      <c r="C96" t="s">
        <v>4615</v>
      </c>
      <c r="D96" t="s">
        <v>168</v>
      </c>
      <c r="E96" t="s">
        <v>80</v>
      </c>
      <c r="F96" t="s">
        <v>4616</v>
      </c>
      <c r="G96" t="s">
        <v>152</v>
      </c>
      <c r="H96" t="s">
        <v>153</v>
      </c>
      <c r="I96" t="s">
        <v>154</v>
      </c>
      <c r="J96">
        <v>19960829</v>
      </c>
    </row>
    <row r="97" spans="1:10">
      <c r="A97" t="s">
        <v>2713</v>
      </c>
      <c r="B97">
        <v>488</v>
      </c>
      <c r="C97" t="s">
        <v>2714</v>
      </c>
      <c r="D97" t="s">
        <v>198</v>
      </c>
      <c r="E97" t="s">
        <v>30</v>
      </c>
      <c r="F97" t="s">
        <v>2715</v>
      </c>
      <c r="G97" t="s">
        <v>152</v>
      </c>
      <c r="H97" t="s">
        <v>153</v>
      </c>
      <c r="I97" t="s">
        <v>154</v>
      </c>
      <c r="J97">
        <v>20001120</v>
      </c>
    </row>
    <row r="98" spans="1:10">
      <c r="A98" t="s">
        <v>5223</v>
      </c>
      <c r="B98">
        <v>498</v>
      </c>
      <c r="C98" t="s">
        <v>5224</v>
      </c>
      <c r="D98" t="s">
        <v>198</v>
      </c>
      <c r="E98" t="s">
        <v>121</v>
      </c>
      <c r="F98" t="s">
        <v>5225</v>
      </c>
      <c r="G98" t="s">
        <v>152</v>
      </c>
      <c r="H98" t="s">
        <v>153</v>
      </c>
      <c r="I98" t="s">
        <v>154</v>
      </c>
      <c r="J98">
        <v>19970609</v>
      </c>
    </row>
    <row r="99" spans="1:10">
      <c r="A99" t="s">
        <v>4428</v>
      </c>
      <c r="B99">
        <v>501</v>
      </c>
      <c r="C99" t="s">
        <v>4429</v>
      </c>
      <c r="D99" t="s">
        <v>316</v>
      </c>
      <c r="E99" t="s">
        <v>22</v>
      </c>
      <c r="F99" t="s">
        <v>4430</v>
      </c>
      <c r="G99" t="s">
        <v>152</v>
      </c>
      <c r="H99" t="s">
        <v>153</v>
      </c>
      <c r="I99" t="s">
        <v>154</v>
      </c>
      <c r="J99">
        <v>19921120</v>
      </c>
    </row>
    <row r="100" spans="1:10">
      <c r="A100" t="s">
        <v>5838</v>
      </c>
      <c r="B100">
        <v>503</v>
      </c>
      <c r="C100" t="s">
        <v>5839</v>
      </c>
      <c r="D100" t="s">
        <v>198</v>
      </c>
      <c r="E100" t="s">
        <v>123</v>
      </c>
      <c r="F100" t="s">
        <v>5840</v>
      </c>
      <c r="G100" t="s">
        <v>152</v>
      </c>
      <c r="H100" t="s">
        <v>153</v>
      </c>
      <c r="I100" t="s">
        <v>154</v>
      </c>
      <c r="J100">
        <v>19921130</v>
      </c>
    </row>
    <row r="101" spans="1:10">
      <c r="A101" t="s">
        <v>3157</v>
      </c>
      <c r="B101">
        <v>504</v>
      </c>
      <c r="C101" t="s">
        <v>3158</v>
      </c>
      <c r="D101" t="s">
        <v>168</v>
      </c>
      <c r="E101" t="s">
        <v>90</v>
      </c>
      <c r="F101" t="s">
        <v>3159</v>
      </c>
      <c r="G101" t="s">
        <v>152</v>
      </c>
      <c r="H101" t="s">
        <v>153</v>
      </c>
      <c r="I101" t="s">
        <v>154</v>
      </c>
      <c r="J101">
        <v>19921208</v>
      </c>
    </row>
    <row r="102" spans="1:10">
      <c r="A102" t="s">
        <v>2326</v>
      </c>
      <c r="B102">
        <v>505</v>
      </c>
      <c r="C102" t="s">
        <v>2327</v>
      </c>
      <c r="D102" t="s">
        <v>250</v>
      </c>
      <c r="E102" t="s">
        <v>19</v>
      </c>
      <c r="F102" t="s">
        <v>2328</v>
      </c>
      <c r="G102" t="s">
        <v>152</v>
      </c>
      <c r="H102" t="s">
        <v>153</v>
      </c>
      <c r="I102" t="s">
        <v>154</v>
      </c>
      <c r="J102">
        <v>19921221</v>
      </c>
    </row>
    <row r="103" spans="1:10">
      <c r="A103" t="s">
        <v>966</v>
      </c>
      <c r="B103">
        <v>506</v>
      </c>
      <c r="C103" t="s">
        <v>967</v>
      </c>
      <c r="D103" t="s">
        <v>198</v>
      </c>
      <c r="E103" t="s">
        <v>48</v>
      </c>
      <c r="F103" t="s">
        <v>968</v>
      </c>
      <c r="G103" t="s">
        <v>152</v>
      </c>
      <c r="H103" t="s">
        <v>153</v>
      </c>
      <c r="I103" t="s">
        <v>154</v>
      </c>
      <c r="J103">
        <v>19930312</v>
      </c>
    </row>
    <row r="104" spans="1:10">
      <c r="A104" t="s">
        <v>3742</v>
      </c>
      <c r="B104">
        <v>507</v>
      </c>
      <c r="C104" t="s">
        <v>3743</v>
      </c>
      <c r="D104" t="s">
        <v>223</v>
      </c>
      <c r="E104" t="s">
        <v>83</v>
      </c>
      <c r="F104" t="s">
        <v>3744</v>
      </c>
      <c r="G104" t="s">
        <v>152</v>
      </c>
      <c r="H104" t="s">
        <v>153</v>
      </c>
      <c r="I104" t="s">
        <v>154</v>
      </c>
      <c r="J104">
        <v>19930326</v>
      </c>
    </row>
    <row r="105" spans="1:10">
      <c r="A105" t="s">
        <v>1255</v>
      </c>
      <c r="B105">
        <v>509</v>
      </c>
      <c r="C105" t="s">
        <v>1256</v>
      </c>
      <c r="D105" t="s">
        <v>219</v>
      </c>
      <c r="E105" t="s">
        <v>42</v>
      </c>
      <c r="F105" t="s">
        <v>1257</v>
      </c>
      <c r="G105" t="s">
        <v>152</v>
      </c>
      <c r="H105" t="s">
        <v>153</v>
      </c>
      <c r="I105" t="s">
        <v>154</v>
      </c>
      <c r="J105">
        <v>19930507</v>
      </c>
    </row>
    <row r="106" spans="1:10">
      <c r="A106" t="s">
        <v>318</v>
      </c>
      <c r="B106">
        <v>510</v>
      </c>
      <c r="C106" t="s">
        <v>319</v>
      </c>
      <c r="D106" t="s">
        <v>219</v>
      </c>
      <c r="E106" t="s">
        <v>14</v>
      </c>
      <c r="F106" t="s">
        <v>320</v>
      </c>
      <c r="G106" t="s">
        <v>152</v>
      </c>
      <c r="H106" t="s">
        <v>153</v>
      </c>
      <c r="I106" t="s">
        <v>154</v>
      </c>
      <c r="J106">
        <v>19930507</v>
      </c>
    </row>
    <row r="107" spans="1:10">
      <c r="A107" t="s">
        <v>2953</v>
      </c>
      <c r="B107">
        <v>513</v>
      </c>
      <c r="C107" t="s">
        <v>2954</v>
      </c>
      <c r="D107" t="s">
        <v>223</v>
      </c>
      <c r="E107" t="s">
        <v>81</v>
      </c>
      <c r="F107" t="s">
        <v>2955</v>
      </c>
      <c r="G107" t="s">
        <v>152</v>
      </c>
      <c r="H107" t="s">
        <v>153</v>
      </c>
      <c r="I107" t="s">
        <v>154</v>
      </c>
      <c r="J107">
        <v>19931028</v>
      </c>
    </row>
    <row r="108" spans="1:10">
      <c r="A108" t="s">
        <v>4158</v>
      </c>
      <c r="B108">
        <v>514</v>
      </c>
      <c r="C108" t="s">
        <v>4159</v>
      </c>
      <c r="D108" t="s">
        <v>937</v>
      </c>
      <c r="E108" t="s">
        <v>79</v>
      </c>
      <c r="F108" t="s">
        <v>4160</v>
      </c>
      <c r="G108" t="s">
        <v>152</v>
      </c>
      <c r="H108" t="s">
        <v>153</v>
      </c>
      <c r="I108" t="s">
        <v>154</v>
      </c>
      <c r="J108">
        <v>19930712</v>
      </c>
    </row>
    <row r="109" spans="1:10">
      <c r="A109" t="s">
        <v>3181</v>
      </c>
      <c r="B109">
        <v>516</v>
      </c>
      <c r="C109" t="s">
        <v>3182</v>
      </c>
      <c r="D109" t="s">
        <v>419</v>
      </c>
      <c r="E109" t="s">
        <v>90</v>
      </c>
      <c r="F109" t="s">
        <v>3183</v>
      </c>
      <c r="G109" t="s">
        <v>152</v>
      </c>
      <c r="H109" t="s">
        <v>153</v>
      </c>
      <c r="I109" t="s">
        <v>154</v>
      </c>
      <c r="J109">
        <v>19930809</v>
      </c>
    </row>
    <row r="110" spans="1:10">
      <c r="A110" t="s">
        <v>4161</v>
      </c>
      <c r="B110">
        <v>517</v>
      </c>
      <c r="C110" t="s">
        <v>4162</v>
      </c>
      <c r="D110" t="s">
        <v>423</v>
      </c>
      <c r="E110" t="s">
        <v>79</v>
      </c>
      <c r="F110" t="s">
        <v>4163</v>
      </c>
      <c r="G110" t="s">
        <v>152</v>
      </c>
      <c r="H110" t="s">
        <v>153</v>
      </c>
      <c r="I110" t="s">
        <v>154</v>
      </c>
      <c r="J110">
        <v>19930806</v>
      </c>
    </row>
    <row r="111" spans="1:10">
      <c r="A111" t="s">
        <v>3112</v>
      </c>
      <c r="B111">
        <v>518</v>
      </c>
      <c r="C111" t="s">
        <v>3113</v>
      </c>
      <c r="D111" t="s">
        <v>212</v>
      </c>
      <c r="E111" t="s">
        <v>76</v>
      </c>
      <c r="F111" t="s">
        <v>3114</v>
      </c>
      <c r="G111" t="s">
        <v>152</v>
      </c>
      <c r="H111" t="s">
        <v>153</v>
      </c>
      <c r="I111" t="s">
        <v>154</v>
      </c>
      <c r="J111">
        <v>19930908</v>
      </c>
    </row>
    <row r="112" spans="1:10">
      <c r="A112" t="s">
        <v>5430</v>
      </c>
      <c r="B112">
        <v>519</v>
      </c>
      <c r="C112" t="s">
        <v>5431</v>
      </c>
      <c r="D112" t="s">
        <v>168</v>
      </c>
      <c r="E112" t="s">
        <v>122</v>
      </c>
      <c r="F112" t="s">
        <v>5432</v>
      </c>
      <c r="G112" t="s">
        <v>152</v>
      </c>
      <c r="H112" t="s">
        <v>153</v>
      </c>
      <c r="I112" t="s">
        <v>154</v>
      </c>
      <c r="J112">
        <v>19931008</v>
      </c>
    </row>
    <row r="113" spans="1:10">
      <c r="A113" t="s">
        <v>3745</v>
      </c>
      <c r="B113">
        <v>520</v>
      </c>
      <c r="C113" t="s">
        <v>3746</v>
      </c>
      <c r="D113" t="s">
        <v>316</v>
      </c>
      <c r="E113" t="s">
        <v>92</v>
      </c>
      <c r="F113" t="s">
        <v>3747</v>
      </c>
      <c r="G113" t="s">
        <v>152</v>
      </c>
      <c r="H113" t="s">
        <v>153</v>
      </c>
      <c r="I113" t="s">
        <v>154</v>
      </c>
      <c r="J113">
        <v>19931025</v>
      </c>
    </row>
    <row r="114" spans="1:10">
      <c r="A114" t="s">
        <v>2221</v>
      </c>
      <c r="B114">
        <v>521</v>
      </c>
      <c r="C114" t="s">
        <v>2222</v>
      </c>
      <c r="D114" t="s">
        <v>160</v>
      </c>
      <c r="E114" t="s">
        <v>8</v>
      </c>
      <c r="F114" t="s">
        <v>2223</v>
      </c>
      <c r="G114" t="s">
        <v>152</v>
      </c>
      <c r="H114" t="s">
        <v>153</v>
      </c>
      <c r="I114" t="s">
        <v>154</v>
      </c>
      <c r="J114">
        <v>19931018</v>
      </c>
    </row>
    <row r="115" spans="1:10">
      <c r="A115" t="s">
        <v>6660</v>
      </c>
      <c r="B115">
        <v>523</v>
      </c>
      <c r="C115" t="s">
        <v>6661</v>
      </c>
      <c r="D115" t="s">
        <v>223</v>
      </c>
      <c r="E115" t="s">
        <v>120</v>
      </c>
      <c r="F115" t="s">
        <v>6662</v>
      </c>
      <c r="G115" t="s">
        <v>152</v>
      </c>
      <c r="H115" t="s">
        <v>153</v>
      </c>
      <c r="I115" t="s">
        <v>154</v>
      </c>
      <c r="J115">
        <v>19931108</v>
      </c>
    </row>
    <row r="116" spans="1:10">
      <c r="A116" t="s">
        <v>4617</v>
      </c>
      <c r="B116">
        <v>524</v>
      </c>
      <c r="C116" t="s">
        <v>4618</v>
      </c>
      <c r="D116" t="s">
        <v>223</v>
      </c>
      <c r="E116" t="s">
        <v>72</v>
      </c>
      <c r="F116" t="s">
        <v>4619</v>
      </c>
      <c r="G116" t="s">
        <v>152</v>
      </c>
      <c r="H116" t="s">
        <v>153</v>
      </c>
      <c r="I116" t="s">
        <v>154</v>
      </c>
      <c r="J116">
        <v>19931118</v>
      </c>
    </row>
    <row r="117" spans="1:10">
      <c r="A117" t="s">
        <v>321</v>
      </c>
      <c r="B117">
        <v>525</v>
      </c>
      <c r="C117" t="s">
        <v>322</v>
      </c>
      <c r="D117" t="s">
        <v>212</v>
      </c>
      <c r="E117" t="s">
        <v>47</v>
      </c>
      <c r="F117" t="s">
        <v>323</v>
      </c>
      <c r="G117" t="s">
        <v>152</v>
      </c>
      <c r="H117" t="s">
        <v>153</v>
      </c>
      <c r="I117" t="s">
        <v>154</v>
      </c>
      <c r="J117">
        <v>19931028</v>
      </c>
    </row>
    <row r="118" spans="1:10">
      <c r="A118" t="s">
        <v>6105</v>
      </c>
      <c r="B118">
        <v>526</v>
      </c>
      <c r="C118" t="s">
        <v>6106</v>
      </c>
      <c r="D118" t="s">
        <v>150</v>
      </c>
      <c r="E118" t="s">
        <v>129</v>
      </c>
      <c r="F118" t="s">
        <v>6107</v>
      </c>
      <c r="G118" t="s">
        <v>152</v>
      </c>
      <c r="H118" t="s">
        <v>153</v>
      </c>
      <c r="I118" t="s">
        <v>154</v>
      </c>
      <c r="J118">
        <v>19931101</v>
      </c>
    </row>
    <row r="119" spans="1:10">
      <c r="A119" t="s">
        <v>5433</v>
      </c>
      <c r="B119">
        <v>528</v>
      </c>
      <c r="C119" t="s">
        <v>5434</v>
      </c>
      <c r="D119" t="s">
        <v>345</v>
      </c>
      <c r="E119" t="s">
        <v>104</v>
      </c>
      <c r="F119" t="s">
        <v>5435</v>
      </c>
      <c r="G119" t="s">
        <v>152</v>
      </c>
      <c r="H119" t="s">
        <v>153</v>
      </c>
      <c r="I119" t="s">
        <v>154</v>
      </c>
      <c r="J119">
        <v>19931118</v>
      </c>
    </row>
    <row r="120" spans="1:10">
      <c r="A120" t="s">
        <v>6156</v>
      </c>
      <c r="B120">
        <v>529</v>
      </c>
      <c r="C120" t="s">
        <v>6157</v>
      </c>
      <c r="D120" t="s">
        <v>223</v>
      </c>
      <c r="E120" t="s">
        <v>55</v>
      </c>
      <c r="F120" t="s">
        <v>6158</v>
      </c>
      <c r="G120" t="s">
        <v>152</v>
      </c>
      <c r="H120" t="s">
        <v>153</v>
      </c>
      <c r="I120" t="s">
        <v>154</v>
      </c>
      <c r="J120">
        <v>19931118</v>
      </c>
    </row>
    <row r="121" spans="1:10">
      <c r="A121" t="s">
        <v>5436</v>
      </c>
      <c r="B121">
        <v>530</v>
      </c>
      <c r="C121" t="s">
        <v>5437</v>
      </c>
      <c r="D121" t="s">
        <v>236</v>
      </c>
      <c r="E121" t="s">
        <v>135</v>
      </c>
      <c r="F121" t="s">
        <v>5438</v>
      </c>
      <c r="G121" t="s">
        <v>152</v>
      </c>
      <c r="H121" t="s">
        <v>153</v>
      </c>
      <c r="I121" t="s">
        <v>154</v>
      </c>
      <c r="J121">
        <v>19931208</v>
      </c>
    </row>
    <row r="122" spans="1:10">
      <c r="A122" t="s">
        <v>3427</v>
      </c>
      <c r="B122">
        <v>531</v>
      </c>
      <c r="C122" t="s">
        <v>3428</v>
      </c>
      <c r="D122" t="s">
        <v>223</v>
      </c>
      <c r="E122" t="s">
        <v>77</v>
      </c>
      <c r="F122" t="s">
        <v>3429</v>
      </c>
      <c r="G122" t="s">
        <v>152</v>
      </c>
      <c r="H122" t="s">
        <v>153</v>
      </c>
      <c r="I122" t="s">
        <v>154</v>
      </c>
      <c r="J122">
        <v>19940106</v>
      </c>
    </row>
    <row r="123" spans="1:10">
      <c r="A123" t="s">
        <v>4794</v>
      </c>
      <c r="B123">
        <v>532</v>
      </c>
      <c r="C123" t="s">
        <v>4795</v>
      </c>
      <c r="D123" t="s">
        <v>223</v>
      </c>
      <c r="E123" t="s">
        <v>73</v>
      </c>
      <c r="F123" t="s">
        <v>4796</v>
      </c>
      <c r="G123" t="s">
        <v>152</v>
      </c>
      <c r="H123" t="s">
        <v>153</v>
      </c>
      <c r="I123" t="s">
        <v>154</v>
      </c>
      <c r="J123">
        <v>19940103</v>
      </c>
    </row>
    <row r="124" spans="1:10">
      <c r="A124" t="s">
        <v>1258</v>
      </c>
      <c r="B124">
        <v>533</v>
      </c>
      <c r="C124" t="s">
        <v>1259</v>
      </c>
      <c r="D124" t="s">
        <v>223</v>
      </c>
      <c r="E124" t="s">
        <v>17</v>
      </c>
      <c r="F124" t="s">
        <v>1260</v>
      </c>
      <c r="G124" t="s">
        <v>152</v>
      </c>
      <c r="H124" t="s">
        <v>153</v>
      </c>
      <c r="I124" t="s">
        <v>154</v>
      </c>
      <c r="J124">
        <v>19940103</v>
      </c>
    </row>
    <row r="125" spans="1:10">
      <c r="A125" t="s">
        <v>3103</v>
      </c>
      <c r="B125">
        <v>534</v>
      </c>
      <c r="C125" t="s">
        <v>3104</v>
      </c>
      <c r="D125" t="s">
        <v>223</v>
      </c>
      <c r="E125" t="s">
        <v>76</v>
      </c>
      <c r="F125" t="s">
        <v>3105</v>
      </c>
      <c r="G125" t="s">
        <v>152</v>
      </c>
      <c r="H125" t="s">
        <v>153</v>
      </c>
      <c r="I125" t="s">
        <v>154</v>
      </c>
      <c r="J125">
        <v>19940110</v>
      </c>
    </row>
    <row r="126" spans="1:10">
      <c r="A126" t="s">
        <v>1261</v>
      </c>
      <c r="B126">
        <v>536</v>
      </c>
      <c r="C126" t="s">
        <v>1262</v>
      </c>
      <c r="D126" t="s">
        <v>150</v>
      </c>
      <c r="E126" t="s">
        <v>42</v>
      </c>
      <c r="F126" t="s">
        <v>1263</v>
      </c>
      <c r="G126" t="s">
        <v>152</v>
      </c>
      <c r="H126" t="s">
        <v>153</v>
      </c>
      <c r="I126" t="s">
        <v>154</v>
      </c>
      <c r="J126">
        <v>19931126</v>
      </c>
    </row>
    <row r="127" spans="1:10">
      <c r="A127" t="s">
        <v>3430</v>
      </c>
      <c r="B127">
        <v>537</v>
      </c>
      <c r="C127" t="s">
        <v>3431</v>
      </c>
      <c r="D127" t="s">
        <v>576</v>
      </c>
      <c r="E127" t="s">
        <v>82</v>
      </c>
      <c r="F127" t="s">
        <v>3432</v>
      </c>
      <c r="G127" t="s">
        <v>152</v>
      </c>
      <c r="H127" t="s">
        <v>153</v>
      </c>
      <c r="I127" t="s">
        <v>154</v>
      </c>
      <c r="J127">
        <v>19931210</v>
      </c>
    </row>
    <row r="128" spans="1:10">
      <c r="A128" t="s">
        <v>3388</v>
      </c>
      <c r="B128">
        <v>538</v>
      </c>
      <c r="C128" t="s">
        <v>3389</v>
      </c>
      <c r="D128" t="s">
        <v>184</v>
      </c>
      <c r="E128" t="s">
        <v>67</v>
      </c>
      <c r="F128" t="s">
        <v>3390</v>
      </c>
      <c r="G128" t="s">
        <v>152</v>
      </c>
      <c r="H128" t="s">
        <v>153</v>
      </c>
      <c r="I128" t="s">
        <v>154</v>
      </c>
      <c r="J128">
        <v>19931215</v>
      </c>
    </row>
    <row r="129" spans="1:10">
      <c r="A129" t="s">
        <v>3433</v>
      </c>
      <c r="B129">
        <v>539</v>
      </c>
      <c r="C129" t="s">
        <v>3434</v>
      </c>
      <c r="D129" t="s">
        <v>223</v>
      </c>
      <c r="E129" t="s">
        <v>77</v>
      </c>
      <c r="F129" t="s">
        <v>3435</v>
      </c>
      <c r="G129" t="s">
        <v>152</v>
      </c>
      <c r="H129" t="s">
        <v>153</v>
      </c>
      <c r="I129" t="s">
        <v>154</v>
      </c>
      <c r="J129">
        <v>19931126</v>
      </c>
    </row>
    <row r="130" spans="1:10">
      <c r="A130" t="s">
        <v>4797</v>
      </c>
      <c r="B130">
        <v>540</v>
      </c>
      <c r="C130" t="s">
        <v>4798</v>
      </c>
      <c r="D130" t="s">
        <v>463</v>
      </c>
      <c r="E130" t="s">
        <v>73</v>
      </c>
      <c r="F130" t="s">
        <v>4799</v>
      </c>
      <c r="G130" t="s">
        <v>152</v>
      </c>
      <c r="H130" t="s">
        <v>153</v>
      </c>
      <c r="I130" t="s">
        <v>154</v>
      </c>
      <c r="J130">
        <v>19940202</v>
      </c>
    </row>
    <row r="131" spans="1:10">
      <c r="A131" t="s">
        <v>2224</v>
      </c>
      <c r="B131">
        <v>541</v>
      </c>
      <c r="C131" t="s">
        <v>2225</v>
      </c>
      <c r="D131" t="s">
        <v>223</v>
      </c>
      <c r="E131" t="s">
        <v>8</v>
      </c>
      <c r="F131" t="s">
        <v>2226</v>
      </c>
      <c r="G131" t="s">
        <v>152</v>
      </c>
      <c r="H131" t="s">
        <v>153</v>
      </c>
      <c r="I131" t="s">
        <v>154</v>
      </c>
      <c r="J131">
        <v>19931123</v>
      </c>
    </row>
    <row r="132" spans="1:10">
      <c r="A132" t="s">
        <v>3436</v>
      </c>
      <c r="B132">
        <v>543</v>
      </c>
      <c r="C132" t="s">
        <v>3437</v>
      </c>
      <c r="D132" t="s">
        <v>160</v>
      </c>
      <c r="E132" t="s">
        <v>77</v>
      </c>
      <c r="F132" t="s">
        <v>3438</v>
      </c>
      <c r="G132" t="s">
        <v>152</v>
      </c>
      <c r="H132" t="s">
        <v>153</v>
      </c>
      <c r="I132" t="s">
        <v>154</v>
      </c>
      <c r="J132">
        <v>19931220</v>
      </c>
    </row>
    <row r="133" spans="1:10">
      <c r="A133" t="s">
        <v>6543</v>
      </c>
      <c r="B133">
        <v>544</v>
      </c>
      <c r="C133" t="s">
        <v>6544</v>
      </c>
      <c r="D133" t="s">
        <v>292</v>
      </c>
      <c r="E133" t="s">
        <v>119</v>
      </c>
      <c r="F133" t="s">
        <v>6545</v>
      </c>
      <c r="G133" t="s">
        <v>152</v>
      </c>
      <c r="H133" t="s">
        <v>153</v>
      </c>
      <c r="I133" t="s">
        <v>154</v>
      </c>
      <c r="J133">
        <v>19931208</v>
      </c>
    </row>
    <row r="134" spans="1:10">
      <c r="A134" t="s">
        <v>324</v>
      </c>
      <c r="B134">
        <v>545</v>
      </c>
      <c r="C134" t="s">
        <v>325</v>
      </c>
      <c r="D134" t="s">
        <v>312</v>
      </c>
      <c r="E134" t="s">
        <v>14</v>
      </c>
      <c r="F134" t="s">
        <v>326</v>
      </c>
      <c r="G134" t="s">
        <v>152</v>
      </c>
      <c r="H134" t="s">
        <v>153</v>
      </c>
      <c r="I134" t="s">
        <v>154</v>
      </c>
      <c r="J134">
        <v>19931215</v>
      </c>
    </row>
    <row r="135" spans="1:10">
      <c r="A135" t="s">
        <v>6546</v>
      </c>
      <c r="B135">
        <v>546</v>
      </c>
      <c r="C135" t="s">
        <v>6547</v>
      </c>
      <c r="D135" t="s">
        <v>312</v>
      </c>
      <c r="E135" t="s">
        <v>119</v>
      </c>
      <c r="F135" t="s">
        <v>6548</v>
      </c>
      <c r="G135" t="s">
        <v>152</v>
      </c>
      <c r="H135" t="s">
        <v>153</v>
      </c>
      <c r="I135" t="s">
        <v>154</v>
      </c>
      <c r="J135">
        <v>19931215</v>
      </c>
    </row>
    <row r="136" spans="1:10">
      <c r="A136" t="s">
        <v>6228</v>
      </c>
      <c r="B136">
        <v>547</v>
      </c>
      <c r="C136" t="s">
        <v>6229</v>
      </c>
      <c r="D136" t="s">
        <v>150</v>
      </c>
      <c r="E136" t="s">
        <v>125</v>
      </c>
      <c r="F136" t="s">
        <v>6230</v>
      </c>
      <c r="G136" t="s">
        <v>152</v>
      </c>
      <c r="H136" t="s">
        <v>153</v>
      </c>
      <c r="I136" t="s">
        <v>154</v>
      </c>
      <c r="J136">
        <v>19931130</v>
      </c>
    </row>
    <row r="137" spans="1:10">
      <c r="A137" t="s">
        <v>3748</v>
      </c>
      <c r="B137">
        <v>548</v>
      </c>
      <c r="C137" t="s">
        <v>3749</v>
      </c>
      <c r="D137" t="s">
        <v>168</v>
      </c>
      <c r="E137" t="s">
        <v>98</v>
      </c>
      <c r="F137" t="s">
        <v>3750</v>
      </c>
      <c r="G137" t="s">
        <v>152</v>
      </c>
      <c r="H137" t="s">
        <v>153</v>
      </c>
      <c r="I137" t="s">
        <v>154</v>
      </c>
      <c r="J137">
        <v>19931220</v>
      </c>
    </row>
    <row r="138" spans="1:10">
      <c r="A138" t="s">
        <v>1798</v>
      </c>
      <c r="B138">
        <v>550</v>
      </c>
      <c r="C138" t="s">
        <v>1799</v>
      </c>
      <c r="D138" t="s">
        <v>406</v>
      </c>
      <c r="E138" t="s">
        <v>36</v>
      </c>
      <c r="F138" t="s">
        <v>1800</v>
      </c>
      <c r="G138" t="s">
        <v>152</v>
      </c>
      <c r="H138" t="s">
        <v>153</v>
      </c>
      <c r="I138" t="s">
        <v>154</v>
      </c>
      <c r="J138">
        <v>19931201</v>
      </c>
    </row>
    <row r="139" spans="1:10">
      <c r="A139" t="s">
        <v>5439</v>
      </c>
      <c r="B139">
        <v>551</v>
      </c>
      <c r="C139" t="s">
        <v>5440</v>
      </c>
      <c r="D139" t="s">
        <v>212</v>
      </c>
      <c r="E139" t="s">
        <v>122</v>
      </c>
      <c r="F139" t="s">
        <v>5441</v>
      </c>
      <c r="G139" t="s">
        <v>152</v>
      </c>
      <c r="H139" t="s">
        <v>153</v>
      </c>
      <c r="I139" t="s">
        <v>154</v>
      </c>
      <c r="J139">
        <v>19940106</v>
      </c>
    </row>
    <row r="140" spans="1:10">
      <c r="A140" t="s">
        <v>6354</v>
      </c>
      <c r="B140">
        <v>552</v>
      </c>
      <c r="C140" t="s">
        <v>6355</v>
      </c>
      <c r="D140" t="s">
        <v>177</v>
      </c>
      <c r="E140" t="s">
        <v>126</v>
      </c>
      <c r="F140" t="s">
        <v>6356</v>
      </c>
      <c r="G140" t="s">
        <v>152</v>
      </c>
      <c r="H140" t="s">
        <v>153</v>
      </c>
      <c r="I140" t="s">
        <v>154</v>
      </c>
      <c r="J140">
        <v>19940106</v>
      </c>
    </row>
    <row r="141" spans="1:10">
      <c r="A141" t="s">
        <v>327</v>
      </c>
      <c r="B141">
        <v>553</v>
      </c>
      <c r="C141" t="s">
        <v>328</v>
      </c>
      <c r="D141" t="s">
        <v>316</v>
      </c>
      <c r="E141" t="s">
        <v>47</v>
      </c>
      <c r="F141" t="s">
        <v>329</v>
      </c>
      <c r="G141" t="s">
        <v>152</v>
      </c>
      <c r="H141" t="s">
        <v>153</v>
      </c>
      <c r="I141" t="s">
        <v>154</v>
      </c>
      <c r="J141">
        <v>19931203</v>
      </c>
    </row>
    <row r="142" spans="1:10">
      <c r="A142" t="s">
        <v>6462</v>
      </c>
      <c r="B142">
        <v>554</v>
      </c>
      <c r="C142" t="s">
        <v>6463</v>
      </c>
      <c r="D142" t="s">
        <v>198</v>
      </c>
      <c r="E142" t="s">
        <v>127</v>
      </c>
      <c r="F142" t="s">
        <v>6464</v>
      </c>
      <c r="G142" t="s">
        <v>152</v>
      </c>
      <c r="H142" t="s">
        <v>153</v>
      </c>
      <c r="I142" t="s">
        <v>154</v>
      </c>
      <c r="J142">
        <v>19931215</v>
      </c>
    </row>
    <row r="143" spans="1:10">
      <c r="A143" t="s">
        <v>5841</v>
      </c>
      <c r="B143">
        <v>555</v>
      </c>
      <c r="C143" t="s">
        <v>5842</v>
      </c>
      <c r="D143" t="s">
        <v>243</v>
      </c>
      <c r="E143" t="s">
        <v>123</v>
      </c>
      <c r="F143" t="s">
        <v>5843</v>
      </c>
      <c r="G143" t="s">
        <v>152</v>
      </c>
      <c r="H143" t="s">
        <v>153</v>
      </c>
      <c r="I143" t="s">
        <v>154</v>
      </c>
      <c r="J143">
        <v>19940408</v>
      </c>
    </row>
    <row r="144" spans="1:10">
      <c r="A144" t="s">
        <v>3751</v>
      </c>
      <c r="B144">
        <v>557</v>
      </c>
      <c r="C144" t="s">
        <v>3752</v>
      </c>
      <c r="D144" t="s">
        <v>332</v>
      </c>
      <c r="E144" t="s">
        <v>97</v>
      </c>
      <c r="F144" t="s">
        <v>3753</v>
      </c>
      <c r="G144" t="s">
        <v>152</v>
      </c>
      <c r="H144" t="s">
        <v>153</v>
      </c>
      <c r="I144" t="s">
        <v>154</v>
      </c>
      <c r="J144">
        <v>19940617</v>
      </c>
    </row>
    <row r="145" spans="1:10">
      <c r="A145" t="s">
        <v>6108</v>
      </c>
      <c r="B145">
        <v>558</v>
      </c>
      <c r="C145" t="s">
        <v>6109</v>
      </c>
      <c r="D145" t="s">
        <v>423</v>
      </c>
      <c r="E145" t="s">
        <v>129</v>
      </c>
      <c r="F145" t="s">
        <v>6110</v>
      </c>
      <c r="G145" t="s">
        <v>152</v>
      </c>
      <c r="H145" t="s">
        <v>153</v>
      </c>
      <c r="I145" t="s">
        <v>154</v>
      </c>
      <c r="J145">
        <v>19940509</v>
      </c>
    </row>
    <row r="146" spans="1:10">
      <c r="A146" t="s">
        <v>1801</v>
      </c>
      <c r="B146">
        <v>559</v>
      </c>
      <c r="C146" t="s">
        <v>1802</v>
      </c>
      <c r="D146" t="s">
        <v>423</v>
      </c>
      <c r="E146" t="s">
        <v>28</v>
      </c>
      <c r="F146" t="s">
        <v>1803</v>
      </c>
      <c r="G146" t="s">
        <v>152</v>
      </c>
      <c r="H146" t="s">
        <v>153</v>
      </c>
      <c r="I146" t="s">
        <v>154</v>
      </c>
      <c r="J146">
        <v>19940110</v>
      </c>
    </row>
    <row r="147" spans="1:10">
      <c r="A147" t="s">
        <v>4164</v>
      </c>
      <c r="B147">
        <v>560</v>
      </c>
      <c r="C147" t="s">
        <v>4165</v>
      </c>
      <c r="D147" t="s">
        <v>184</v>
      </c>
      <c r="E147" t="s">
        <v>70</v>
      </c>
      <c r="F147" t="s">
        <v>4166</v>
      </c>
      <c r="G147" t="s">
        <v>152</v>
      </c>
      <c r="H147" t="s">
        <v>153</v>
      </c>
      <c r="I147" t="s">
        <v>154</v>
      </c>
      <c r="J147">
        <v>19940202</v>
      </c>
    </row>
    <row r="148" spans="1:10">
      <c r="A148" t="s">
        <v>6231</v>
      </c>
      <c r="B148">
        <v>561</v>
      </c>
      <c r="C148" t="s">
        <v>6232</v>
      </c>
      <c r="D148" t="s">
        <v>419</v>
      </c>
      <c r="E148" t="s">
        <v>125</v>
      </c>
      <c r="F148" t="s">
        <v>6233</v>
      </c>
      <c r="G148" t="s">
        <v>152</v>
      </c>
      <c r="H148" t="s">
        <v>153</v>
      </c>
      <c r="I148" t="s">
        <v>154</v>
      </c>
      <c r="J148">
        <v>19940509</v>
      </c>
    </row>
    <row r="149" spans="1:10">
      <c r="A149" t="s">
        <v>4800</v>
      </c>
      <c r="B149">
        <v>563</v>
      </c>
      <c r="C149" t="s">
        <v>4801</v>
      </c>
      <c r="D149" t="s">
        <v>419</v>
      </c>
      <c r="E149" t="s">
        <v>73</v>
      </c>
      <c r="F149" t="s">
        <v>4802</v>
      </c>
      <c r="G149" t="s">
        <v>152</v>
      </c>
      <c r="H149" t="s">
        <v>153</v>
      </c>
      <c r="I149" t="s">
        <v>154</v>
      </c>
      <c r="J149">
        <v>19940110</v>
      </c>
    </row>
    <row r="150" spans="1:10">
      <c r="A150" t="s">
        <v>4431</v>
      </c>
      <c r="B150">
        <v>564</v>
      </c>
      <c r="C150" t="s">
        <v>4432</v>
      </c>
      <c r="D150" t="s">
        <v>419</v>
      </c>
      <c r="E150" t="s">
        <v>22</v>
      </c>
      <c r="F150" t="s">
        <v>4433</v>
      </c>
      <c r="G150" t="s">
        <v>152</v>
      </c>
      <c r="H150" t="s">
        <v>153</v>
      </c>
      <c r="I150" t="s">
        <v>154</v>
      </c>
      <c r="J150">
        <v>19940110</v>
      </c>
    </row>
    <row r="151" spans="1:10">
      <c r="A151" t="s">
        <v>5061</v>
      </c>
      <c r="B151">
        <v>565</v>
      </c>
      <c r="C151" t="s">
        <v>5062</v>
      </c>
      <c r="D151" t="s">
        <v>937</v>
      </c>
      <c r="E151" t="s">
        <v>88</v>
      </c>
      <c r="F151" t="s">
        <v>5063</v>
      </c>
      <c r="G151" t="s">
        <v>152</v>
      </c>
      <c r="H151" t="s">
        <v>153</v>
      </c>
      <c r="I151" t="s">
        <v>154</v>
      </c>
      <c r="J151">
        <v>19940408</v>
      </c>
    </row>
    <row r="152" spans="1:10">
      <c r="A152" t="s">
        <v>2959</v>
      </c>
      <c r="B152">
        <v>566</v>
      </c>
      <c r="C152" t="s">
        <v>2960</v>
      </c>
      <c r="D152" t="s">
        <v>250</v>
      </c>
      <c r="E152" t="s">
        <v>81</v>
      </c>
      <c r="F152" t="s">
        <v>2961</v>
      </c>
      <c r="G152" t="s">
        <v>152</v>
      </c>
      <c r="H152" t="s">
        <v>153</v>
      </c>
      <c r="I152" t="s">
        <v>154</v>
      </c>
      <c r="J152">
        <v>19940525</v>
      </c>
    </row>
    <row r="153" spans="1:10">
      <c r="A153" t="s">
        <v>4803</v>
      </c>
      <c r="B153">
        <v>567</v>
      </c>
      <c r="C153" t="s">
        <v>4804</v>
      </c>
      <c r="D153" t="s">
        <v>250</v>
      </c>
      <c r="E153" t="s">
        <v>73</v>
      </c>
      <c r="F153" t="s">
        <v>4805</v>
      </c>
      <c r="G153" t="s">
        <v>152</v>
      </c>
      <c r="H153" t="s">
        <v>153</v>
      </c>
      <c r="I153" t="s">
        <v>154</v>
      </c>
      <c r="J153">
        <v>19940525</v>
      </c>
    </row>
    <row r="154" spans="1:10">
      <c r="A154" t="s">
        <v>2329</v>
      </c>
      <c r="B154">
        <v>568</v>
      </c>
      <c r="C154" t="s">
        <v>2330</v>
      </c>
      <c r="D154" t="s">
        <v>219</v>
      </c>
      <c r="E154" t="s">
        <v>12</v>
      </c>
      <c r="F154" t="s">
        <v>2331</v>
      </c>
      <c r="G154" t="s">
        <v>152</v>
      </c>
      <c r="H154" t="s">
        <v>153</v>
      </c>
      <c r="I154" t="s">
        <v>154</v>
      </c>
      <c r="J154">
        <v>19940509</v>
      </c>
    </row>
    <row r="155" spans="1:10">
      <c r="A155" t="s">
        <v>5442</v>
      </c>
      <c r="B155">
        <v>570</v>
      </c>
      <c r="C155" t="s">
        <v>5443</v>
      </c>
      <c r="D155" t="s">
        <v>212</v>
      </c>
      <c r="E155" t="s">
        <v>133</v>
      </c>
      <c r="F155" t="s">
        <v>5444</v>
      </c>
      <c r="G155" t="s">
        <v>152</v>
      </c>
      <c r="H155" t="s">
        <v>153</v>
      </c>
      <c r="I155" t="s">
        <v>154</v>
      </c>
      <c r="J155">
        <v>19940701</v>
      </c>
    </row>
    <row r="156" spans="1:10">
      <c r="A156" t="s">
        <v>6357</v>
      </c>
      <c r="B156">
        <v>571</v>
      </c>
      <c r="C156" t="s">
        <v>6358</v>
      </c>
      <c r="D156" t="s">
        <v>250</v>
      </c>
      <c r="E156" t="s">
        <v>126</v>
      </c>
      <c r="F156" t="s">
        <v>6359</v>
      </c>
      <c r="G156" t="s">
        <v>152</v>
      </c>
      <c r="H156" t="s">
        <v>153</v>
      </c>
      <c r="I156" t="s">
        <v>154</v>
      </c>
      <c r="J156">
        <v>19940525</v>
      </c>
    </row>
    <row r="157" spans="1:10">
      <c r="A157" t="s">
        <v>1804</v>
      </c>
      <c r="B157">
        <v>572</v>
      </c>
      <c r="C157" t="s">
        <v>1805</v>
      </c>
      <c r="D157" t="s">
        <v>250</v>
      </c>
      <c r="E157" t="s">
        <v>36</v>
      </c>
      <c r="F157" t="s">
        <v>1806</v>
      </c>
      <c r="G157" t="s">
        <v>152</v>
      </c>
      <c r="H157" t="s">
        <v>153</v>
      </c>
      <c r="I157" t="s">
        <v>154</v>
      </c>
      <c r="J157">
        <v>19940808</v>
      </c>
    </row>
    <row r="158" spans="1:10">
      <c r="A158" t="s">
        <v>4167</v>
      </c>
      <c r="B158">
        <v>573</v>
      </c>
      <c r="C158" t="s">
        <v>4168</v>
      </c>
      <c r="D158" t="s">
        <v>223</v>
      </c>
      <c r="E158" t="s">
        <v>79</v>
      </c>
      <c r="F158" t="s">
        <v>4169</v>
      </c>
      <c r="G158" t="s">
        <v>152</v>
      </c>
      <c r="H158" t="s">
        <v>153</v>
      </c>
      <c r="I158" t="s">
        <v>154</v>
      </c>
      <c r="J158">
        <v>19940815</v>
      </c>
    </row>
    <row r="159" spans="1:10">
      <c r="A159" t="s">
        <v>2332</v>
      </c>
      <c r="B159">
        <v>576</v>
      </c>
      <c r="C159" t="s">
        <v>2333</v>
      </c>
      <c r="D159" t="s">
        <v>223</v>
      </c>
      <c r="E159" t="s">
        <v>19</v>
      </c>
      <c r="F159" t="s">
        <v>2334</v>
      </c>
      <c r="G159" t="s">
        <v>152</v>
      </c>
      <c r="H159" t="s">
        <v>153</v>
      </c>
      <c r="I159" t="s">
        <v>154</v>
      </c>
      <c r="J159">
        <v>19940907</v>
      </c>
    </row>
    <row r="160" spans="1:10">
      <c r="A160" t="s">
        <v>1807</v>
      </c>
      <c r="B160">
        <v>581</v>
      </c>
      <c r="C160" t="s">
        <v>1808</v>
      </c>
      <c r="D160" t="s">
        <v>212</v>
      </c>
      <c r="E160" t="s">
        <v>28</v>
      </c>
      <c r="F160" t="s">
        <v>1809</v>
      </c>
      <c r="G160" t="s">
        <v>152</v>
      </c>
      <c r="H160" t="s">
        <v>153</v>
      </c>
      <c r="I160" t="s">
        <v>154</v>
      </c>
      <c r="J160">
        <v>19980924</v>
      </c>
    </row>
    <row r="161" spans="1:10">
      <c r="A161" t="s">
        <v>3754</v>
      </c>
      <c r="B161">
        <v>582</v>
      </c>
      <c r="C161" t="s">
        <v>3755</v>
      </c>
      <c r="D161" t="s">
        <v>345</v>
      </c>
      <c r="E161" t="s">
        <v>83</v>
      </c>
      <c r="F161" t="s">
        <v>3756</v>
      </c>
      <c r="G161" t="s">
        <v>152</v>
      </c>
      <c r="H161" t="s">
        <v>153</v>
      </c>
      <c r="I161" t="s">
        <v>154</v>
      </c>
      <c r="J161">
        <v>19951102</v>
      </c>
    </row>
    <row r="162" spans="1:10">
      <c r="A162" t="s">
        <v>5445</v>
      </c>
      <c r="B162">
        <v>584</v>
      </c>
      <c r="C162" t="s">
        <v>5446</v>
      </c>
      <c r="D162" t="s">
        <v>212</v>
      </c>
      <c r="E162" t="s">
        <v>122</v>
      </c>
      <c r="F162" t="s">
        <v>5447</v>
      </c>
      <c r="G162" t="s">
        <v>152</v>
      </c>
      <c r="H162" t="s">
        <v>153</v>
      </c>
      <c r="I162" t="s">
        <v>154</v>
      </c>
      <c r="J162">
        <v>19951128</v>
      </c>
    </row>
    <row r="163" spans="1:10">
      <c r="A163" t="s">
        <v>6234</v>
      </c>
      <c r="B163">
        <v>586</v>
      </c>
      <c r="C163" t="s">
        <v>6235</v>
      </c>
      <c r="D163" t="s">
        <v>219</v>
      </c>
      <c r="E163" t="s">
        <v>125</v>
      </c>
      <c r="F163" t="s">
        <v>6236</v>
      </c>
      <c r="G163" t="s">
        <v>152</v>
      </c>
      <c r="H163" t="s">
        <v>153</v>
      </c>
      <c r="I163" t="s">
        <v>154</v>
      </c>
      <c r="J163">
        <v>19951220</v>
      </c>
    </row>
    <row r="164" spans="1:10">
      <c r="A164" t="s">
        <v>2629</v>
      </c>
      <c r="B164">
        <v>587</v>
      </c>
      <c r="C164" t="s">
        <v>2630</v>
      </c>
      <c r="D164" t="s">
        <v>194</v>
      </c>
      <c r="E164" t="s">
        <v>20</v>
      </c>
      <c r="F164" t="s">
        <v>2631</v>
      </c>
      <c r="G164" t="s">
        <v>152</v>
      </c>
      <c r="H164" t="s">
        <v>153</v>
      </c>
      <c r="I164" t="s">
        <v>154</v>
      </c>
      <c r="J164">
        <v>19960425</v>
      </c>
    </row>
    <row r="165" spans="1:10">
      <c r="A165" t="s">
        <v>1810</v>
      </c>
      <c r="B165">
        <v>589</v>
      </c>
      <c r="C165" t="s">
        <v>1811</v>
      </c>
      <c r="D165" t="s">
        <v>463</v>
      </c>
      <c r="E165" t="s">
        <v>28</v>
      </c>
      <c r="F165" t="s">
        <v>1812</v>
      </c>
      <c r="G165" t="s">
        <v>152</v>
      </c>
      <c r="H165" t="s">
        <v>153</v>
      </c>
      <c r="I165" t="s">
        <v>154</v>
      </c>
      <c r="J165">
        <v>19960308</v>
      </c>
    </row>
    <row r="166" spans="1:10">
      <c r="A166" t="s">
        <v>3328</v>
      </c>
      <c r="B166">
        <v>590</v>
      </c>
      <c r="C166" t="s">
        <v>3329</v>
      </c>
      <c r="D166" t="s">
        <v>168</v>
      </c>
      <c r="E166" t="s">
        <v>67</v>
      </c>
      <c r="F166" t="s">
        <v>3330</v>
      </c>
      <c r="G166" t="s">
        <v>152</v>
      </c>
      <c r="H166" t="s">
        <v>153</v>
      </c>
      <c r="I166" t="s">
        <v>154</v>
      </c>
      <c r="J166">
        <v>19960119</v>
      </c>
    </row>
    <row r="167" spans="1:10">
      <c r="A167" t="s">
        <v>3439</v>
      </c>
      <c r="B167">
        <v>591</v>
      </c>
      <c r="C167" t="s">
        <v>3440</v>
      </c>
      <c r="D167" t="s">
        <v>937</v>
      </c>
      <c r="E167" t="s">
        <v>82</v>
      </c>
      <c r="F167" t="s">
        <v>3441</v>
      </c>
      <c r="G167" t="s">
        <v>152</v>
      </c>
      <c r="H167" t="s">
        <v>153</v>
      </c>
      <c r="I167" t="s">
        <v>154</v>
      </c>
      <c r="J167">
        <v>19960208</v>
      </c>
    </row>
    <row r="168" spans="1:10">
      <c r="A168" t="s">
        <v>148</v>
      </c>
      <c r="B168">
        <v>592</v>
      </c>
      <c r="C168" t="s">
        <v>149</v>
      </c>
      <c r="D168" t="s">
        <v>150</v>
      </c>
      <c r="E168" t="s">
        <v>32</v>
      </c>
      <c r="F168" t="s">
        <v>151</v>
      </c>
      <c r="G168" t="s">
        <v>152</v>
      </c>
      <c r="H168" t="s">
        <v>153</v>
      </c>
      <c r="I168" t="s">
        <v>154</v>
      </c>
      <c r="J168">
        <v>19960327</v>
      </c>
    </row>
    <row r="169" spans="1:10">
      <c r="A169" t="s">
        <v>3442</v>
      </c>
      <c r="B169">
        <v>593</v>
      </c>
      <c r="C169" t="s">
        <v>3443</v>
      </c>
      <c r="D169" t="s">
        <v>219</v>
      </c>
      <c r="E169" t="s">
        <v>91</v>
      </c>
      <c r="F169" t="s">
        <v>3444</v>
      </c>
      <c r="G169" t="s">
        <v>152</v>
      </c>
      <c r="H169" t="s">
        <v>153</v>
      </c>
      <c r="I169" t="s">
        <v>154</v>
      </c>
      <c r="J169">
        <v>19960312</v>
      </c>
    </row>
    <row r="170" spans="1:10">
      <c r="A170" t="s">
        <v>5448</v>
      </c>
      <c r="B170">
        <v>595</v>
      </c>
      <c r="C170" t="s">
        <v>5449</v>
      </c>
      <c r="D170" t="s">
        <v>332</v>
      </c>
      <c r="E170" t="s">
        <v>135</v>
      </c>
      <c r="F170" t="s">
        <v>5450</v>
      </c>
      <c r="G170" t="s">
        <v>152</v>
      </c>
      <c r="H170" t="s">
        <v>153</v>
      </c>
      <c r="I170" t="s">
        <v>154</v>
      </c>
      <c r="J170">
        <v>19960419</v>
      </c>
    </row>
    <row r="171" spans="1:10">
      <c r="A171" t="s">
        <v>2335</v>
      </c>
      <c r="B171">
        <v>596</v>
      </c>
      <c r="C171" t="s">
        <v>2336</v>
      </c>
      <c r="D171" t="s">
        <v>160</v>
      </c>
      <c r="E171" t="s">
        <v>12</v>
      </c>
      <c r="F171" t="s">
        <v>2337</v>
      </c>
      <c r="G171" t="s">
        <v>152</v>
      </c>
      <c r="H171" t="s">
        <v>153</v>
      </c>
      <c r="I171" t="s">
        <v>154</v>
      </c>
      <c r="J171">
        <v>19960927</v>
      </c>
    </row>
    <row r="172" spans="1:10">
      <c r="A172" t="s">
        <v>3007</v>
      </c>
      <c r="B172">
        <v>597</v>
      </c>
      <c r="C172" t="s">
        <v>3008</v>
      </c>
      <c r="D172" t="s">
        <v>236</v>
      </c>
      <c r="E172" t="s">
        <v>81</v>
      </c>
      <c r="F172" t="s">
        <v>3009</v>
      </c>
      <c r="G172" t="s">
        <v>152</v>
      </c>
      <c r="H172" t="s">
        <v>153</v>
      </c>
      <c r="I172" t="s">
        <v>154</v>
      </c>
      <c r="J172">
        <v>19960523</v>
      </c>
    </row>
    <row r="173" spans="1:10">
      <c r="A173" t="s">
        <v>3445</v>
      </c>
      <c r="B173">
        <v>598</v>
      </c>
      <c r="C173" t="s">
        <v>3446</v>
      </c>
      <c r="D173" t="s">
        <v>219</v>
      </c>
      <c r="E173" t="s">
        <v>96</v>
      </c>
      <c r="F173" t="s">
        <v>3447</v>
      </c>
      <c r="G173" t="s">
        <v>152</v>
      </c>
      <c r="H173" t="s">
        <v>153</v>
      </c>
      <c r="I173" t="s">
        <v>154</v>
      </c>
      <c r="J173">
        <v>19960529</v>
      </c>
    </row>
    <row r="174" spans="1:10">
      <c r="A174" t="s">
        <v>1813</v>
      </c>
      <c r="B174">
        <v>599</v>
      </c>
      <c r="C174" t="s">
        <v>1814</v>
      </c>
      <c r="D174" t="s">
        <v>198</v>
      </c>
      <c r="E174" t="s">
        <v>28</v>
      </c>
      <c r="F174" t="s">
        <v>1815</v>
      </c>
      <c r="G174" t="s">
        <v>152</v>
      </c>
      <c r="H174" t="s">
        <v>153</v>
      </c>
      <c r="I174" t="s">
        <v>154</v>
      </c>
      <c r="J174">
        <v>19960430</v>
      </c>
    </row>
    <row r="175" spans="1:10">
      <c r="A175" t="s">
        <v>3448</v>
      </c>
      <c r="B175">
        <v>600</v>
      </c>
      <c r="C175" t="s">
        <v>3449</v>
      </c>
      <c r="D175" t="s">
        <v>279</v>
      </c>
      <c r="E175" t="s">
        <v>77</v>
      </c>
      <c r="F175" t="s">
        <v>3450</v>
      </c>
      <c r="G175" t="s">
        <v>152</v>
      </c>
      <c r="H175" t="s">
        <v>153</v>
      </c>
      <c r="I175" t="s">
        <v>154</v>
      </c>
      <c r="J175">
        <v>19960606</v>
      </c>
    </row>
    <row r="176" spans="1:10">
      <c r="A176" t="s">
        <v>3451</v>
      </c>
      <c r="B176">
        <v>601</v>
      </c>
      <c r="C176" t="s">
        <v>3452</v>
      </c>
      <c r="D176" t="s">
        <v>223</v>
      </c>
      <c r="E176" t="s">
        <v>68</v>
      </c>
      <c r="F176" t="s">
        <v>3453</v>
      </c>
      <c r="G176" t="s">
        <v>152</v>
      </c>
      <c r="H176" t="s">
        <v>153</v>
      </c>
      <c r="I176" t="s">
        <v>154</v>
      </c>
      <c r="J176">
        <v>19960830</v>
      </c>
    </row>
    <row r="177" spans="1:10">
      <c r="A177" t="s">
        <v>969</v>
      </c>
      <c r="B177">
        <v>603</v>
      </c>
      <c r="C177" t="s">
        <v>970</v>
      </c>
      <c r="D177" t="s">
        <v>164</v>
      </c>
      <c r="E177" t="s">
        <v>35</v>
      </c>
      <c r="F177" t="s">
        <v>971</v>
      </c>
      <c r="G177" t="s">
        <v>152</v>
      </c>
      <c r="H177" t="s">
        <v>153</v>
      </c>
      <c r="I177" t="s">
        <v>154</v>
      </c>
      <c r="J177">
        <v>19960823</v>
      </c>
    </row>
    <row r="178" spans="1:10">
      <c r="A178" t="s">
        <v>3454</v>
      </c>
      <c r="B178">
        <v>605</v>
      </c>
      <c r="C178" t="s">
        <v>3455</v>
      </c>
      <c r="D178" t="s">
        <v>164</v>
      </c>
      <c r="E178" t="s">
        <v>91</v>
      </c>
      <c r="F178" t="s">
        <v>3456</v>
      </c>
      <c r="G178" t="s">
        <v>152</v>
      </c>
      <c r="H178" t="s">
        <v>153</v>
      </c>
      <c r="I178" t="s">
        <v>154</v>
      </c>
      <c r="J178">
        <v>19960913</v>
      </c>
    </row>
    <row r="179" spans="1:10">
      <c r="A179" t="s">
        <v>5844</v>
      </c>
      <c r="B179">
        <v>606</v>
      </c>
      <c r="C179" t="s">
        <v>5845</v>
      </c>
      <c r="D179" t="s">
        <v>308</v>
      </c>
      <c r="E179" t="s">
        <v>116</v>
      </c>
      <c r="F179" t="s">
        <v>5846</v>
      </c>
      <c r="G179" t="s">
        <v>152</v>
      </c>
      <c r="H179" t="s">
        <v>153</v>
      </c>
      <c r="I179" t="s">
        <v>154</v>
      </c>
      <c r="J179">
        <v>19961004</v>
      </c>
    </row>
    <row r="180" spans="1:10">
      <c r="A180" t="s">
        <v>2716</v>
      </c>
      <c r="B180">
        <v>607</v>
      </c>
      <c r="C180" t="s">
        <v>2717</v>
      </c>
      <c r="D180" t="s">
        <v>423</v>
      </c>
      <c r="E180" t="s">
        <v>37</v>
      </c>
      <c r="F180" t="s">
        <v>2718</v>
      </c>
      <c r="G180" t="s">
        <v>152</v>
      </c>
      <c r="H180" t="s">
        <v>153</v>
      </c>
      <c r="I180" t="s">
        <v>154</v>
      </c>
      <c r="J180">
        <v>19960830</v>
      </c>
    </row>
    <row r="181" spans="1:10">
      <c r="A181" t="s">
        <v>4170</v>
      </c>
      <c r="B181">
        <v>608</v>
      </c>
      <c r="C181" t="s">
        <v>4171</v>
      </c>
      <c r="D181" t="s">
        <v>345</v>
      </c>
      <c r="E181" t="s">
        <v>79</v>
      </c>
      <c r="F181" t="s">
        <v>4172</v>
      </c>
      <c r="G181" t="s">
        <v>152</v>
      </c>
      <c r="H181" t="s">
        <v>153</v>
      </c>
      <c r="I181" t="s">
        <v>154</v>
      </c>
      <c r="J181">
        <v>19960919</v>
      </c>
    </row>
    <row r="182" spans="1:10">
      <c r="A182" t="s">
        <v>4173</v>
      </c>
      <c r="B182">
        <v>609</v>
      </c>
      <c r="C182" t="s">
        <v>4174</v>
      </c>
      <c r="D182" t="s">
        <v>164</v>
      </c>
      <c r="E182" t="s">
        <v>79</v>
      </c>
      <c r="F182" t="s">
        <v>4175</v>
      </c>
      <c r="G182" t="s">
        <v>152</v>
      </c>
      <c r="H182" t="s">
        <v>153</v>
      </c>
      <c r="I182" t="s">
        <v>154</v>
      </c>
      <c r="J182">
        <v>19961010</v>
      </c>
    </row>
    <row r="183" spans="1:10">
      <c r="A183" t="s">
        <v>4620</v>
      </c>
      <c r="B183">
        <v>610</v>
      </c>
      <c r="C183" t="s">
        <v>4621</v>
      </c>
      <c r="D183" t="s">
        <v>419</v>
      </c>
      <c r="E183" t="s">
        <v>72</v>
      </c>
      <c r="F183" t="s">
        <v>4622</v>
      </c>
      <c r="G183" t="s">
        <v>152</v>
      </c>
      <c r="H183" t="s">
        <v>153</v>
      </c>
      <c r="I183" t="s">
        <v>154</v>
      </c>
      <c r="J183">
        <v>19960926</v>
      </c>
    </row>
    <row r="184" spans="1:10">
      <c r="A184" t="s">
        <v>972</v>
      </c>
      <c r="B184">
        <v>612</v>
      </c>
      <c r="C184" t="s">
        <v>973</v>
      </c>
      <c r="D184" t="s">
        <v>292</v>
      </c>
      <c r="E184" t="s">
        <v>16</v>
      </c>
      <c r="F184" t="s">
        <v>974</v>
      </c>
      <c r="G184" t="s">
        <v>152</v>
      </c>
      <c r="H184" t="s">
        <v>153</v>
      </c>
      <c r="I184" t="s">
        <v>154</v>
      </c>
      <c r="J184">
        <v>19960926</v>
      </c>
    </row>
    <row r="185" spans="1:10">
      <c r="A185" t="s">
        <v>3151</v>
      </c>
      <c r="B185">
        <v>615</v>
      </c>
      <c r="C185" t="s">
        <v>3152</v>
      </c>
      <c r="D185" t="s">
        <v>316</v>
      </c>
      <c r="E185" t="s">
        <v>90</v>
      </c>
      <c r="F185" t="s">
        <v>3153</v>
      </c>
      <c r="G185" t="s">
        <v>152</v>
      </c>
      <c r="H185" t="s">
        <v>153</v>
      </c>
      <c r="I185" t="s">
        <v>154</v>
      </c>
      <c r="J185">
        <v>19961016</v>
      </c>
    </row>
    <row r="186" spans="1:10">
      <c r="A186" t="s">
        <v>4176</v>
      </c>
      <c r="B186">
        <v>616</v>
      </c>
      <c r="C186" t="s">
        <v>4177</v>
      </c>
      <c r="D186" t="s">
        <v>236</v>
      </c>
      <c r="E186" t="s">
        <v>84</v>
      </c>
      <c r="F186" t="s">
        <v>4178</v>
      </c>
      <c r="G186" t="s">
        <v>152</v>
      </c>
      <c r="H186" t="s">
        <v>153</v>
      </c>
      <c r="I186" t="s">
        <v>154</v>
      </c>
      <c r="J186">
        <v>19961108</v>
      </c>
    </row>
    <row r="187" spans="1:10">
      <c r="A187" t="s">
        <v>4806</v>
      </c>
      <c r="B187">
        <v>617</v>
      </c>
      <c r="C187" t="s">
        <v>4807</v>
      </c>
      <c r="D187" t="s">
        <v>202</v>
      </c>
      <c r="E187" t="s">
        <v>73</v>
      </c>
      <c r="F187" t="s">
        <v>4808</v>
      </c>
      <c r="G187" t="s">
        <v>152</v>
      </c>
      <c r="H187" t="s">
        <v>153</v>
      </c>
      <c r="I187" t="s">
        <v>154</v>
      </c>
      <c r="J187">
        <v>19961022</v>
      </c>
    </row>
    <row r="188" spans="1:10">
      <c r="A188" t="s">
        <v>5064</v>
      </c>
      <c r="B188">
        <v>619</v>
      </c>
      <c r="C188" t="s">
        <v>5065</v>
      </c>
      <c r="D188" t="s">
        <v>160</v>
      </c>
      <c r="E188" t="s">
        <v>94</v>
      </c>
      <c r="F188" t="s">
        <v>5066</v>
      </c>
      <c r="G188" t="s">
        <v>152</v>
      </c>
      <c r="H188" t="s">
        <v>153</v>
      </c>
      <c r="I188" t="s">
        <v>154</v>
      </c>
      <c r="J188">
        <v>19961023</v>
      </c>
    </row>
    <row r="189" spans="1:10">
      <c r="A189" t="s">
        <v>4179</v>
      </c>
      <c r="B189">
        <v>620</v>
      </c>
      <c r="C189" t="s">
        <v>4180</v>
      </c>
      <c r="D189" t="s">
        <v>164</v>
      </c>
      <c r="E189" t="s">
        <v>84</v>
      </c>
      <c r="F189" t="s">
        <v>4181</v>
      </c>
      <c r="G189" t="s">
        <v>152</v>
      </c>
      <c r="H189" t="s">
        <v>153</v>
      </c>
      <c r="I189" t="s">
        <v>154</v>
      </c>
      <c r="J189">
        <v>19961029</v>
      </c>
    </row>
    <row r="190" spans="1:10">
      <c r="A190" t="s">
        <v>4434</v>
      </c>
      <c r="B190">
        <v>622</v>
      </c>
      <c r="C190" t="s">
        <v>4435</v>
      </c>
      <c r="D190" t="s">
        <v>168</v>
      </c>
      <c r="E190" t="s">
        <v>85</v>
      </c>
      <c r="F190" t="s">
        <v>4436</v>
      </c>
      <c r="G190" t="s">
        <v>152</v>
      </c>
      <c r="H190" t="s">
        <v>153</v>
      </c>
      <c r="I190" t="s">
        <v>154</v>
      </c>
      <c r="J190">
        <v>19961107</v>
      </c>
    </row>
    <row r="191" spans="1:10">
      <c r="A191" t="s">
        <v>3340</v>
      </c>
      <c r="B191">
        <v>623</v>
      </c>
      <c r="C191" t="s">
        <v>3341</v>
      </c>
      <c r="D191" t="s">
        <v>312</v>
      </c>
      <c r="E191" t="s">
        <v>67</v>
      </c>
      <c r="F191" t="s">
        <v>3342</v>
      </c>
      <c r="G191" t="s">
        <v>152</v>
      </c>
      <c r="H191" t="s">
        <v>153</v>
      </c>
      <c r="I191" t="s">
        <v>154</v>
      </c>
      <c r="J191">
        <v>19961028</v>
      </c>
    </row>
    <row r="192" spans="1:10">
      <c r="A192" t="s">
        <v>1816</v>
      </c>
      <c r="B192">
        <v>625</v>
      </c>
      <c r="C192" t="s">
        <v>1817</v>
      </c>
      <c r="D192" t="s">
        <v>937</v>
      </c>
      <c r="E192" t="s">
        <v>36</v>
      </c>
      <c r="F192" t="s">
        <v>1818</v>
      </c>
      <c r="G192" t="s">
        <v>152</v>
      </c>
      <c r="H192" t="s">
        <v>153</v>
      </c>
      <c r="I192" t="s">
        <v>154</v>
      </c>
      <c r="J192">
        <v>19970610</v>
      </c>
    </row>
    <row r="193" spans="1:10">
      <c r="A193" t="s">
        <v>4437</v>
      </c>
      <c r="B193">
        <v>626</v>
      </c>
      <c r="C193" t="s">
        <v>4438</v>
      </c>
      <c r="D193" t="s">
        <v>212</v>
      </c>
      <c r="E193" t="s">
        <v>71</v>
      </c>
      <c r="F193" t="s">
        <v>4439</v>
      </c>
      <c r="G193" t="s">
        <v>152</v>
      </c>
      <c r="H193" t="s">
        <v>153</v>
      </c>
      <c r="I193" t="s">
        <v>154</v>
      </c>
      <c r="J193">
        <v>19961128</v>
      </c>
    </row>
    <row r="194" spans="1:10">
      <c r="A194" t="s">
        <v>4809</v>
      </c>
      <c r="B194">
        <v>627</v>
      </c>
      <c r="C194" t="s">
        <v>4810</v>
      </c>
      <c r="D194" t="s">
        <v>316</v>
      </c>
      <c r="E194" t="s">
        <v>38</v>
      </c>
      <c r="F194" t="s">
        <v>4811</v>
      </c>
      <c r="G194" t="s">
        <v>152</v>
      </c>
      <c r="H194" t="s">
        <v>153</v>
      </c>
      <c r="I194" t="s">
        <v>154</v>
      </c>
      <c r="J194">
        <v>19961112</v>
      </c>
    </row>
    <row r="195" spans="1:10">
      <c r="A195" t="s">
        <v>5226</v>
      </c>
      <c r="B195">
        <v>628</v>
      </c>
      <c r="C195" t="s">
        <v>5227</v>
      </c>
      <c r="D195" t="s">
        <v>219</v>
      </c>
      <c r="E195" t="s">
        <v>121</v>
      </c>
      <c r="F195" t="s">
        <v>5228</v>
      </c>
      <c r="G195" t="s">
        <v>152</v>
      </c>
      <c r="H195" t="s">
        <v>153</v>
      </c>
      <c r="I195" t="s">
        <v>154</v>
      </c>
      <c r="J195">
        <v>19961118</v>
      </c>
    </row>
    <row r="196" spans="1:10">
      <c r="A196" t="s">
        <v>975</v>
      </c>
      <c r="B196">
        <v>629</v>
      </c>
      <c r="C196" t="s">
        <v>976</v>
      </c>
      <c r="D196" t="s">
        <v>219</v>
      </c>
      <c r="E196" t="s">
        <v>41</v>
      </c>
      <c r="F196" t="s">
        <v>977</v>
      </c>
      <c r="G196" t="s">
        <v>152</v>
      </c>
      <c r="H196" t="s">
        <v>153</v>
      </c>
      <c r="I196" t="s">
        <v>154</v>
      </c>
      <c r="J196">
        <v>19961115</v>
      </c>
    </row>
    <row r="197" spans="1:10">
      <c r="A197" t="s">
        <v>978</v>
      </c>
      <c r="B197">
        <v>630</v>
      </c>
      <c r="C197" t="s">
        <v>979</v>
      </c>
      <c r="D197" t="s">
        <v>160</v>
      </c>
      <c r="E197" t="s">
        <v>26</v>
      </c>
      <c r="F197" t="s">
        <v>980</v>
      </c>
      <c r="G197" t="s">
        <v>152</v>
      </c>
      <c r="H197" t="s">
        <v>153</v>
      </c>
      <c r="I197" t="s">
        <v>154</v>
      </c>
      <c r="J197">
        <v>19961120</v>
      </c>
    </row>
    <row r="198" spans="1:10">
      <c r="A198" t="s">
        <v>4182</v>
      </c>
      <c r="B198">
        <v>631</v>
      </c>
      <c r="C198" t="s">
        <v>4183</v>
      </c>
      <c r="D198" t="s">
        <v>423</v>
      </c>
      <c r="E198" t="s">
        <v>79</v>
      </c>
      <c r="F198" t="s">
        <v>4184</v>
      </c>
      <c r="G198" t="s">
        <v>152</v>
      </c>
      <c r="H198" t="s">
        <v>153</v>
      </c>
      <c r="I198" t="s">
        <v>154</v>
      </c>
      <c r="J198">
        <v>19961122</v>
      </c>
    </row>
    <row r="199" spans="1:10">
      <c r="A199" t="s">
        <v>5004</v>
      </c>
      <c r="B199">
        <v>632</v>
      </c>
      <c r="C199" t="s">
        <v>5005</v>
      </c>
      <c r="D199" t="s">
        <v>150</v>
      </c>
      <c r="E199" t="s">
        <v>74</v>
      </c>
      <c r="F199" t="s">
        <v>5006</v>
      </c>
      <c r="G199" t="s">
        <v>152</v>
      </c>
      <c r="H199" t="s">
        <v>153</v>
      </c>
      <c r="I199" t="s">
        <v>154</v>
      </c>
      <c r="J199">
        <v>19961121</v>
      </c>
    </row>
    <row r="200" spans="1:10">
      <c r="A200" t="s">
        <v>981</v>
      </c>
      <c r="B200">
        <v>633</v>
      </c>
      <c r="C200" t="s">
        <v>982</v>
      </c>
      <c r="D200" t="s">
        <v>202</v>
      </c>
      <c r="E200" t="s">
        <v>41</v>
      </c>
      <c r="F200" t="s">
        <v>983</v>
      </c>
      <c r="G200" t="s">
        <v>152</v>
      </c>
      <c r="H200" t="s">
        <v>153</v>
      </c>
      <c r="I200" t="s">
        <v>154</v>
      </c>
      <c r="J200">
        <v>19961112</v>
      </c>
    </row>
    <row r="201" spans="1:10">
      <c r="A201" t="s">
        <v>330</v>
      </c>
      <c r="B201">
        <v>635</v>
      </c>
      <c r="C201" t="s">
        <v>331</v>
      </c>
      <c r="D201" t="s">
        <v>332</v>
      </c>
      <c r="E201" t="s">
        <v>14</v>
      </c>
      <c r="F201" t="s">
        <v>333</v>
      </c>
      <c r="G201" t="s">
        <v>152</v>
      </c>
      <c r="H201" t="s">
        <v>153</v>
      </c>
      <c r="I201" t="s">
        <v>154</v>
      </c>
      <c r="J201">
        <v>19961120</v>
      </c>
    </row>
    <row r="202" spans="1:10">
      <c r="A202" t="s">
        <v>1264</v>
      </c>
      <c r="B202">
        <v>636</v>
      </c>
      <c r="C202" t="s">
        <v>1265</v>
      </c>
      <c r="D202" t="s">
        <v>223</v>
      </c>
      <c r="E202" t="s">
        <v>42</v>
      </c>
      <c r="F202" t="s">
        <v>1266</v>
      </c>
      <c r="G202" t="s">
        <v>152</v>
      </c>
      <c r="H202" t="s">
        <v>153</v>
      </c>
      <c r="I202" t="s">
        <v>154</v>
      </c>
      <c r="J202">
        <v>19961129</v>
      </c>
    </row>
    <row r="203" spans="1:10">
      <c r="A203" t="s">
        <v>6465</v>
      </c>
      <c r="B203">
        <v>637</v>
      </c>
      <c r="C203" t="s">
        <v>6466</v>
      </c>
      <c r="D203" t="s">
        <v>223</v>
      </c>
      <c r="E203" t="s">
        <v>130</v>
      </c>
      <c r="F203" t="s">
        <v>6467</v>
      </c>
      <c r="G203" t="s">
        <v>152</v>
      </c>
      <c r="H203" t="s">
        <v>153</v>
      </c>
      <c r="I203" t="s">
        <v>154</v>
      </c>
      <c r="J203">
        <v>19961114</v>
      </c>
    </row>
    <row r="204" spans="1:10">
      <c r="A204" t="s">
        <v>5847</v>
      </c>
      <c r="B204">
        <v>638</v>
      </c>
      <c r="C204" t="s">
        <v>5848</v>
      </c>
      <c r="D204" t="s">
        <v>312</v>
      </c>
      <c r="E204" t="s">
        <v>123</v>
      </c>
      <c r="F204" t="s">
        <v>5849</v>
      </c>
      <c r="G204" t="s">
        <v>152</v>
      </c>
      <c r="H204" t="s">
        <v>153</v>
      </c>
      <c r="I204" t="s">
        <v>154</v>
      </c>
      <c r="J204">
        <v>19961126</v>
      </c>
    </row>
    <row r="205" spans="1:10">
      <c r="A205" t="s">
        <v>2338</v>
      </c>
      <c r="B205">
        <v>639</v>
      </c>
      <c r="C205" t="s">
        <v>2339</v>
      </c>
      <c r="D205" t="s">
        <v>198</v>
      </c>
      <c r="E205" t="s">
        <v>19</v>
      </c>
      <c r="F205" t="s">
        <v>2340</v>
      </c>
      <c r="G205" t="s">
        <v>152</v>
      </c>
      <c r="H205" t="s">
        <v>153</v>
      </c>
      <c r="I205" t="s">
        <v>154</v>
      </c>
      <c r="J205">
        <v>19961126</v>
      </c>
    </row>
    <row r="206" spans="1:10">
      <c r="A206" t="s">
        <v>3346</v>
      </c>
      <c r="B206">
        <v>650</v>
      </c>
      <c r="C206" t="s">
        <v>3347</v>
      </c>
      <c r="D206" t="s">
        <v>406</v>
      </c>
      <c r="E206" t="s">
        <v>67</v>
      </c>
      <c r="F206" t="s">
        <v>3348</v>
      </c>
      <c r="G206" t="s">
        <v>152</v>
      </c>
      <c r="H206" t="s">
        <v>153</v>
      </c>
      <c r="I206" t="s">
        <v>154</v>
      </c>
      <c r="J206">
        <v>19961210</v>
      </c>
    </row>
    <row r="207" spans="1:10">
      <c r="A207" t="s">
        <v>2227</v>
      </c>
      <c r="B207">
        <v>651</v>
      </c>
      <c r="C207" t="s">
        <v>2228</v>
      </c>
      <c r="D207" t="s">
        <v>223</v>
      </c>
      <c r="E207" t="s">
        <v>8</v>
      </c>
      <c r="F207" t="s">
        <v>2229</v>
      </c>
      <c r="G207" t="s">
        <v>152</v>
      </c>
      <c r="H207" t="s">
        <v>153</v>
      </c>
      <c r="I207" t="s">
        <v>154</v>
      </c>
      <c r="J207">
        <v>19961118</v>
      </c>
    </row>
    <row r="208" spans="1:10">
      <c r="A208" t="s">
        <v>4440</v>
      </c>
      <c r="B208">
        <v>652</v>
      </c>
      <c r="C208" t="s">
        <v>4441</v>
      </c>
      <c r="D208" t="s">
        <v>576</v>
      </c>
      <c r="E208" t="s">
        <v>85</v>
      </c>
      <c r="F208" t="s">
        <v>4442</v>
      </c>
      <c r="G208" t="s">
        <v>152</v>
      </c>
      <c r="H208" t="s">
        <v>153</v>
      </c>
      <c r="I208" t="s">
        <v>154</v>
      </c>
      <c r="J208">
        <v>19961128</v>
      </c>
    </row>
    <row r="209" spans="1:10">
      <c r="A209" t="s">
        <v>833</v>
      </c>
      <c r="B209">
        <v>655</v>
      </c>
      <c r="C209" t="s">
        <v>834</v>
      </c>
      <c r="D209" t="s">
        <v>198</v>
      </c>
      <c r="E209" t="s">
        <v>25</v>
      </c>
      <c r="F209" t="s">
        <v>835</v>
      </c>
      <c r="G209" t="s">
        <v>152</v>
      </c>
      <c r="H209" t="s">
        <v>153</v>
      </c>
      <c r="I209" t="s">
        <v>154</v>
      </c>
      <c r="J209">
        <v>19961128</v>
      </c>
    </row>
    <row r="210" spans="1:10">
      <c r="A210" t="s">
        <v>4185</v>
      </c>
      <c r="B210">
        <v>656</v>
      </c>
      <c r="C210" t="s">
        <v>4186</v>
      </c>
      <c r="D210" t="s">
        <v>937</v>
      </c>
      <c r="E210" t="s">
        <v>84</v>
      </c>
      <c r="F210" t="s">
        <v>4187</v>
      </c>
      <c r="G210" t="s">
        <v>152</v>
      </c>
      <c r="H210" t="s">
        <v>153</v>
      </c>
      <c r="I210" t="s">
        <v>154</v>
      </c>
      <c r="J210">
        <v>19961128</v>
      </c>
    </row>
    <row r="211" spans="1:10">
      <c r="A211" t="s">
        <v>984</v>
      </c>
      <c r="B211">
        <v>657</v>
      </c>
      <c r="C211" t="s">
        <v>985</v>
      </c>
      <c r="D211" t="s">
        <v>250</v>
      </c>
      <c r="E211" t="s">
        <v>41</v>
      </c>
      <c r="F211" t="s">
        <v>986</v>
      </c>
      <c r="G211" t="s">
        <v>152</v>
      </c>
      <c r="H211" t="s">
        <v>153</v>
      </c>
      <c r="I211" t="s">
        <v>154</v>
      </c>
      <c r="J211">
        <v>19961205</v>
      </c>
    </row>
    <row r="212" spans="1:10">
      <c r="A212" t="s">
        <v>2719</v>
      </c>
      <c r="B212">
        <v>659</v>
      </c>
      <c r="C212" t="s">
        <v>2720</v>
      </c>
      <c r="D212" t="s">
        <v>223</v>
      </c>
      <c r="E212" t="s">
        <v>37</v>
      </c>
      <c r="F212" t="s">
        <v>2721</v>
      </c>
      <c r="G212" t="s">
        <v>152</v>
      </c>
      <c r="H212" t="s">
        <v>153</v>
      </c>
      <c r="I212" t="s">
        <v>154</v>
      </c>
      <c r="J212">
        <v>19961203</v>
      </c>
    </row>
    <row r="213" spans="1:10">
      <c r="A213" t="s">
        <v>3106</v>
      </c>
      <c r="B213">
        <v>661</v>
      </c>
      <c r="C213" t="s">
        <v>3107</v>
      </c>
      <c r="D213" t="s">
        <v>312</v>
      </c>
      <c r="E213" t="s">
        <v>76</v>
      </c>
      <c r="F213" t="s">
        <v>3108</v>
      </c>
      <c r="G213" t="s">
        <v>152</v>
      </c>
      <c r="H213" t="s">
        <v>153</v>
      </c>
      <c r="I213" t="s">
        <v>154</v>
      </c>
      <c r="J213">
        <v>19961218</v>
      </c>
    </row>
    <row r="214" spans="1:10">
      <c r="A214" t="s">
        <v>155</v>
      </c>
      <c r="B214">
        <v>663</v>
      </c>
      <c r="C214" t="s">
        <v>156</v>
      </c>
      <c r="D214" t="s">
        <v>150</v>
      </c>
      <c r="E214" t="s">
        <v>32</v>
      </c>
      <c r="F214" t="s">
        <v>157</v>
      </c>
      <c r="G214" t="s">
        <v>152</v>
      </c>
      <c r="H214" t="s">
        <v>153</v>
      </c>
      <c r="I214" t="s">
        <v>154</v>
      </c>
      <c r="J214">
        <v>19961206</v>
      </c>
    </row>
    <row r="215" spans="1:10">
      <c r="A215" t="s">
        <v>6033</v>
      </c>
      <c r="B215">
        <v>665</v>
      </c>
      <c r="C215" t="s">
        <v>6034</v>
      </c>
      <c r="D215" t="s">
        <v>316</v>
      </c>
      <c r="E215" t="s">
        <v>124</v>
      </c>
      <c r="F215" t="s">
        <v>6035</v>
      </c>
      <c r="G215" t="s">
        <v>152</v>
      </c>
      <c r="H215" t="s">
        <v>153</v>
      </c>
      <c r="I215" t="s">
        <v>154</v>
      </c>
      <c r="J215">
        <v>19961210</v>
      </c>
    </row>
    <row r="216" spans="1:10">
      <c r="A216" t="s">
        <v>4812</v>
      </c>
      <c r="B216">
        <v>666</v>
      </c>
      <c r="C216" t="s">
        <v>4813</v>
      </c>
      <c r="D216" t="s">
        <v>164</v>
      </c>
      <c r="E216" t="s">
        <v>73</v>
      </c>
      <c r="F216" t="s">
        <v>4814</v>
      </c>
      <c r="G216" t="s">
        <v>152</v>
      </c>
      <c r="H216" t="s">
        <v>153</v>
      </c>
      <c r="I216" t="s">
        <v>154</v>
      </c>
      <c r="J216">
        <v>19961210</v>
      </c>
    </row>
    <row r="217" spans="1:10">
      <c r="A217" t="s">
        <v>4188</v>
      </c>
      <c r="B217">
        <v>667</v>
      </c>
      <c r="C217" t="s">
        <v>4189</v>
      </c>
      <c r="D217" t="s">
        <v>184</v>
      </c>
      <c r="E217" t="s">
        <v>84</v>
      </c>
      <c r="F217" t="s">
        <v>4190</v>
      </c>
      <c r="G217" t="s">
        <v>152</v>
      </c>
      <c r="H217" t="s">
        <v>153</v>
      </c>
      <c r="I217" t="s">
        <v>154</v>
      </c>
      <c r="J217">
        <v>19961205</v>
      </c>
    </row>
    <row r="218" spans="1:10">
      <c r="A218" t="s">
        <v>3253</v>
      </c>
      <c r="B218">
        <v>668</v>
      </c>
      <c r="C218" t="s">
        <v>3254</v>
      </c>
      <c r="D218" t="s">
        <v>198</v>
      </c>
      <c r="E218" t="s">
        <v>95</v>
      </c>
      <c r="F218" t="s">
        <v>3255</v>
      </c>
      <c r="G218" t="s">
        <v>152</v>
      </c>
      <c r="H218" t="s">
        <v>153</v>
      </c>
      <c r="I218" t="s">
        <v>154</v>
      </c>
      <c r="J218">
        <v>19961210</v>
      </c>
    </row>
    <row r="219" spans="1:10">
      <c r="A219" t="s">
        <v>3457</v>
      </c>
      <c r="B219">
        <v>669</v>
      </c>
      <c r="C219" t="s">
        <v>3458</v>
      </c>
      <c r="D219" t="s">
        <v>312</v>
      </c>
      <c r="E219" t="s">
        <v>91</v>
      </c>
      <c r="F219" t="s">
        <v>3459</v>
      </c>
      <c r="G219" t="s">
        <v>152</v>
      </c>
      <c r="H219" t="s">
        <v>153</v>
      </c>
      <c r="I219" t="s">
        <v>154</v>
      </c>
      <c r="J219">
        <v>19961210</v>
      </c>
    </row>
    <row r="220" spans="1:10">
      <c r="A220" t="s">
        <v>1267</v>
      </c>
      <c r="B220">
        <v>670</v>
      </c>
      <c r="C220" t="s">
        <v>1268</v>
      </c>
      <c r="D220" t="s">
        <v>316</v>
      </c>
      <c r="E220" t="s">
        <v>42</v>
      </c>
      <c r="F220" t="s">
        <v>1269</v>
      </c>
      <c r="G220" t="s">
        <v>152</v>
      </c>
      <c r="H220" t="s">
        <v>153</v>
      </c>
      <c r="I220" t="s">
        <v>154</v>
      </c>
      <c r="J220">
        <v>19961217</v>
      </c>
    </row>
    <row r="221" spans="1:10">
      <c r="A221" t="s">
        <v>4191</v>
      </c>
      <c r="B221">
        <v>671</v>
      </c>
      <c r="C221" t="s">
        <v>4192</v>
      </c>
      <c r="D221" t="s">
        <v>150</v>
      </c>
      <c r="E221" t="s">
        <v>79</v>
      </c>
      <c r="F221" t="s">
        <v>4193</v>
      </c>
      <c r="G221" t="s">
        <v>152</v>
      </c>
      <c r="H221" t="s">
        <v>153</v>
      </c>
      <c r="I221" t="s">
        <v>154</v>
      </c>
      <c r="J221">
        <v>19961218</v>
      </c>
    </row>
    <row r="222" spans="1:10">
      <c r="A222" t="s">
        <v>5067</v>
      </c>
      <c r="B222">
        <v>672</v>
      </c>
      <c r="C222" t="s">
        <v>5068</v>
      </c>
      <c r="D222" t="s">
        <v>177</v>
      </c>
      <c r="E222" t="s">
        <v>75</v>
      </c>
      <c r="F222" t="s">
        <v>5069</v>
      </c>
      <c r="G222" t="s">
        <v>152</v>
      </c>
      <c r="H222" t="s">
        <v>153</v>
      </c>
      <c r="I222" t="s">
        <v>154</v>
      </c>
      <c r="J222">
        <v>19961218</v>
      </c>
    </row>
    <row r="223" spans="1:10">
      <c r="A223" t="s">
        <v>5850</v>
      </c>
      <c r="B223">
        <v>676</v>
      </c>
      <c r="C223" t="s">
        <v>5851</v>
      </c>
      <c r="D223" t="s">
        <v>223</v>
      </c>
      <c r="E223" t="s">
        <v>116</v>
      </c>
      <c r="F223" t="s">
        <v>5852</v>
      </c>
      <c r="G223" t="s">
        <v>152</v>
      </c>
      <c r="H223" t="s">
        <v>153</v>
      </c>
      <c r="I223" t="s">
        <v>154</v>
      </c>
      <c r="J223">
        <v>19961224</v>
      </c>
    </row>
    <row r="224" spans="1:10">
      <c r="A224" t="s">
        <v>334</v>
      </c>
      <c r="B224">
        <v>677</v>
      </c>
      <c r="C224" t="s">
        <v>335</v>
      </c>
      <c r="D224" t="s">
        <v>198</v>
      </c>
      <c r="E224" t="s">
        <v>24</v>
      </c>
      <c r="F224" t="s">
        <v>336</v>
      </c>
      <c r="G224" t="s">
        <v>152</v>
      </c>
      <c r="H224" t="s">
        <v>153</v>
      </c>
      <c r="I224" t="s">
        <v>154</v>
      </c>
      <c r="J224">
        <v>19961226</v>
      </c>
    </row>
    <row r="225" spans="1:10">
      <c r="A225" t="s">
        <v>1819</v>
      </c>
      <c r="B225">
        <v>678</v>
      </c>
      <c r="C225" t="s">
        <v>1820</v>
      </c>
      <c r="D225" t="s">
        <v>316</v>
      </c>
      <c r="E225" t="s">
        <v>28</v>
      </c>
      <c r="F225" t="s">
        <v>1821</v>
      </c>
      <c r="G225" t="s">
        <v>152</v>
      </c>
      <c r="H225" t="s">
        <v>153</v>
      </c>
      <c r="I225" t="s">
        <v>154</v>
      </c>
      <c r="J225">
        <v>19970106</v>
      </c>
    </row>
    <row r="226" spans="1:10">
      <c r="A226" t="s">
        <v>4443</v>
      </c>
      <c r="B226">
        <v>679</v>
      </c>
      <c r="C226" t="s">
        <v>4444</v>
      </c>
      <c r="D226" t="s">
        <v>236</v>
      </c>
      <c r="E226" t="s">
        <v>22</v>
      </c>
      <c r="F226" t="s">
        <v>4445</v>
      </c>
      <c r="G226" t="s">
        <v>152</v>
      </c>
      <c r="H226" t="s">
        <v>153</v>
      </c>
      <c r="I226" t="s">
        <v>154</v>
      </c>
      <c r="J226">
        <v>19970124</v>
      </c>
    </row>
    <row r="227" spans="1:10">
      <c r="A227" t="s">
        <v>5451</v>
      </c>
      <c r="B227">
        <v>680</v>
      </c>
      <c r="C227" t="s">
        <v>5452</v>
      </c>
      <c r="D227" t="s">
        <v>198</v>
      </c>
      <c r="E227" t="s">
        <v>104</v>
      </c>
      <c r="F227" t="s">
        <v>5453</v>
      </c>
      <c r="G227" t="s">
        <v>152</v>
      </c>
      <c r="H227" t="s">
        <v>153</v>
      </c>
      <c r="I227" t="s">
        <v>154</v>
      </c>
      <c r="J227">
        <v>19970122</v>
      </c>
    </row>
    <row r="228" spans="1:10">
      <c r="A228" t="s">
        <v>5853</v>
      </c>
      <c r="B228">
        <v>681</v>
      </c>
      <c r="C228" t="s">
        <v>5854</v>
      </c>
      <c r="D228" t="s">
        <v>212</v>
      </c>
      <c r="E228" t="s">
        <v>116</v>
      </c>
      <c r="F228" t="s">
        <v>5855</v>
      </c>
      <c r="G228" t="s">
        <v>152</v>
      </c>
      <c r="H228" t="s">
        <v>153</v>
      </c>
      <c r="I228" t="s">
        <v>154</v>
      </c>
      <c r="J228">
        <v>19970121</v>
      </c>
    </row>
    <row r="229" spans="1:10">
      <c r="A229" t="s">
        <v>1270</v>
      </c>
      <c r="B229">
        <v>682</v>
      </c>
      <c r="C229" t="s">
        <v>1271</v>
      </c>
      <c r="D229" t="s">
        <v>198</v>
      </c>
      <c r="E229" t="s">
        <v>17</v>
      </c>
      <c r="F229" t="s">
        <v>1272</v>
      </c>
      <c r="G229" t="s">
        <v>152</v>
      </c>
      <c r="H229" t="s">
        <v>153</v>
      </c>
      <c r="I229" t="s">
        <v>154</v>
      </c>
      <c r="J229">
        <v>19970121</v>
      </c>
    </row>
    <row r="230" spans="1:10">
      <c r="A230" t="s">
        <v>337</v>
      </c>
      <c r="B230">
        <v>683</v>
      </c>
      <c r="C230" t="s">
        <v>338</v>
      </c>
      <c r="D230" t="s">
        <v>266</v>
      </c>
      <c r="E230" t="s">
        <v>14</v>
      </c>
      <c r="F230" t="s">
        <v>339</v>
      </c>
      <c r="G230" t="s">
        <v>152</v>
      </c>
      <c r="H230" t="s">
        <v>153</v>
      </c>
      <c r="I230" t="s">
        <v>154</v>
      </c>
      <c r="J230">
        <v>19970131</v>
      </c>
    </row>
    <row r="231" spans="1:10">
      <c r="A231" t="s">
        <v>3460</v>
      </c>
      <c r="B231">
        <v>685</v>
      </c>
      <c r="C231" t="s">
        <v>3461</v>
      </c>
      <c r="D231" t="s">
        <v>223</v>
      </c>
      <c r="E231" t="s">
        <v>96</v>
      </c>
      <c r="F231" t="s">
        <v>3462</v>
      </c>
      <c r="G231" t="s">
        <v>152</v>
      </c>
      <c r="H231" t="s">
        <v>153</v>
      </c>
      <c r="I231" t="s">
        <v>154</v>
      </c>
      <c r="J231">
        <v>19970123</v>
      </c>
    </row>
    <row r="232" spans="1:10">
      <c r="A232" t="s">
        <v>4815</v>
      </c>
      <c r="B232">
        <v>686</v>
      </c>
      <c r="C232" t="s">
        <v>4816</v>
      </c>
      <c r="D232" t="s">
        <v>312</v>
      </c>
      <c r="E232" t="s">
        <v>87</v>
      </c>
      <c r="F232" t="s">
        <v>4817</v>
      </c>
      <c r="G232" t="s">
        <v>152</v>
      </c>
      <c r="H232" t="s">
        <v>153</v>
      </c>
      <c r="I232" t="s">
        <v>154</v>
      </c>
      <c r="J232">
        <v>19970227</v>
      </c>
    </row>
    <row r="233" spans="1:10">
      <c r="A233" t="s">
        <v>987</v>
      </c>
      <c r="B233">
        <v>688</v>
      </c>
      <c r="C233" t="s">
        <v>988</v>
      </c>
      <c r="D233" t="s">
        <v>937</v>
      </c>
      <c r="E233" t="s">
        <v>35</v>
      </c>
      <c r="F233" t="s">
        <v>989</v>
      </c>
      <c r="G233" t="s">
        <v>152</v>
      </c>
      <c r="H233" t="s">
        <v>153</v>
      </c>
      <c r="I233" t="s">
        <v>154</v>
      </c>
      <c r="J233">
        <v>19970120</v>
      </c>
    </row>
    <row r="234" spans="1:10">
      <c r="A234" t="s">
        <v>3463</v>
      </c>
      <c r="B234">
        <v>690</v>
      </c>
      <c r="C234" t="s">
        <v>3464</v>
      </c>
      <c r="D234" t="s">
        <v>223</v>
      </c>
      <c r="E234" t="s">
        <v>77</v>
      </c>
      <c r="F234" t="s">
        <v>3465</v>
      </c>
      <c r="G234" t="s">
        <v>152</v>
      </c>
      <c r="H234" t="s">
        <v>153</v>
      </c>
      <c r="I234" t="s">
        <v>154</v>
      </c>
      <c r="J234">
        <v>19970128</v>
      </c>
    </row>
    <row r="235" spans="1:10">
      <c r="A235" t="s">
        <v>340</v>
      </c>
      <c r="B235">
        <v>691</v>
      </c>
      <c r="C235" t="s">
        <v>341</v>
      </c>
      <c r="D235" t="s">
        <v>177</v>
      </c>
      <c r="E235" t="s">
        <v>14</v>
      </c>
      <c r="F235" t="s">
        <v>342</v>
      </c>
      <c r="G235" t="s">
        <v>152</v>
      </c>
      <c r="H235" t="s">
        <v>153</v>
      </c>
      <c r="I235" t="s">
        <v>154</v>
      </c>
      <c r="J235">
        <v>19970228</v>
      </c>
    </row>
    <row r="236" spans="1:10">
      <c r="A236" t="s">
        <v>3466</v>
      </c>
      <c r="B236">
        <v>692</v>
      </c>
      <c r="C236" t="s">
        <v>3467</v>
      </c>
      <c r="D236" t="s">
        <v>236</v>
      </c>
      <c r="E236" t="s">
        <v>91</v>
      </c>
      <c r="F236" t="s">
        <v>3468</v>
      </c>
      <c r="G236" t="s">
        <v>152</v>
      </c>
      <c r="H236" t="s">
        <v>153</v>
      </c>
      <c r="I236" t="s">
        <v>154</v>
      </c>
      <c r="J236">
        <v>19970227</v>
      </c>
    </row>
    <row r="237" spans="1:10">
      <c r="A237" t="s">
        <v>2722</v>
      </c>
      <c r="B237">
        <v>695</v>
      </c>
      <c r="C237" t="s">
        <v>2723</v>
      </c>
      <c r="D237" t="s">
        <v>576</v>
      </c>
      <c r="E237" t="s">
        <v>37</v>
      </c>
      <c r="F237" t="s">
        <v>2724</v>
      </c>
      <c r="G237" t="s">
        <v>152</v>
      </c>
      <c r="H237" t="s">
        <v>153</v>
      </c>
      <c r="I237" t="s">
        <v>154</v>
      </c>
      <c r="J237">
        <v>19970218</v>
      </c>
    </row>
    <row r="238" spans="1:10">
      <c r="A238" t="s">
        <v>3757</v>
      </c>
      <c r="B238">
        <v>697</v>
      </c>
      <c r="C238" t="s">
        <v>3758</v>
      </c>
      <c r="D238" t="s">
        <v>419</v>
      </c>
      <c r="E238" t="s">
        <v>102</v>
      </c>
      <c r="F238" t="s">
        <v>3759</v>
      </c>
      <c r="G238" t="s">
        <v>152</v>
      </c>
      <c r="H238" t="s">
        <v>153</v>
      </c>
      <c r="I238" t="s">
        <v>154</v>
      </c>
      <c r="J238">
        <v>19970325</v>
      </c>
    </row>
    <row r="239" spans="1:10">
      <c r="A239" t="s">
        <v>6468</v>
      </c>
      <c r="B239">
        <v>698</v>
      </c>
      <c r="C239" t="s">
        <v>6469</v>
      </c>
      <c r="D239" t="s">
        <v>236</v>
      </c>
      <c r="E239" t="s">
        <v>130</v>
      </c>
      <c r="F239" t="s">
        <v>6470</v>
      </c>
      <c r="G239" t="s">
        <v>152</v>
      </c>
      <c r="H239" t="s">
        <v>153</v>
      </c>
      <c r="I239" t="s">
        <v>154</v>
      </c>
      <c r="J239">
        <v>19970220</v>
      </c>
    </row>
    <row r="240" spans="1:10">
      <c r="A240" t="s">
        <v>1822</v>
      </c>
      <c r="B240">
        <v>700</v>
      </c>
      <c r="C240" t="s">
        <v>1823</v>
      </c>
      <c r="D240" t="s">
        <v>212</v>
      </c>
      <c r="E240" t="s">
        <v>28</v>
      </c>
      <c r="F240" t="s">
        <v>1824</v>
      </c>
      <c r="G240" t="s">
        <v>152</v>
      </c>
      <c r="H240" t="s">
        <v>153</v>
      </c>
      <c r="I240" t="s">
        <v>154</v>
      </c>
      <c r="J240">
        <v>19970228</v>
      </c>
    </row>
    <row r="241" spans="1:10">
      <c r="A241" t="s">
        <v>4446</v>
      </c>
      <c r="B241">
        <v>701</v>
      </c>
      <c r="C241" t="s">
        <v>4447</v>
      </c>
      <c r="D241" t="s">
        <v>150</v>
      </c>
      <c r="E241" t="s">
        <v>71</v>
      </c>
      <c r="F241" t="s">
        <v>4448</v>
      </c>
      <c r="G241" t="s">
        <v>152</v>
      </c>
      <c r="H241" t="s">
        <v>153</v>
      </c>
      <c r="I241" t="s">
        <v>154</v>
      </c>
      <c r="J241">
        <v>19970226</v>
      </c>
    </row>
    <row r="242" spans="1:10">
      <c r="A242" t="s">
        <v>214</v>
      </c>
      <c r="B242">
        <v>702</v>
      </c>
      <c r="C242" t="s">
        <v>215</v>
      </c>
      <c r="D242" t="s">
        <v>168</v>
      </c>
      <c r="E242" t="s">
        <v>39</v>
      </c>
      <c r="F242" t="s">
        <v>216</v>
      </c>
      <c r="G242" t="s">
        <v>152</v>
      </c>
      <c r="H242" t="s">
        <v>153</v>
      </c>
      <c r="I242" t="s">
        <v>154</v>
      </c>
      <c r="J242">
        <v>19970318</v>
      </c>
    </row>
    <row r="243" spans="1:10">
      <c r="A243" t="s">
        <v>343</v>
      </c>
      <c r="B243">
        <v>703</v>
      </c>
      <c r="C243" t="s">
        <v>344</v>
      </c>
      <c r="D243" t="s">
        <v>345</v>
      </c>
      <c r="E243" t="s">
        <v>24</v>
      </c>
      <c r="F243" t="s">
        <v>346</v>
      </c>
      <c r="G243" t="s">
        <v>152</v>
      </c>
      <c r="H243" t="s">
        <v>153</v>
      </c>
      <c r="I243" t="s">
        <v>154</v>
      </c>
      <c r="J243">
        <v>19970328</v>
      </c>
    </row>
    <row r="244" spans="1:10">
      <c r="A244" t="s">
        <v>3280</v>
      </c>
      <c r="B244">
        <v>705</v>
      </c>
      <c r="C244" t="s">
        <v>3281</v>
      </c>
      <c r="D244" t="s">
        <v>423</v>
      </c>
      <c r="E244" t="s">
        <v>95</v>
      </c>
      <c r="F244" t="s">
        <v>3282</v>
      </c>
      <c r="G244" t="s">
        <v>152</v>
      </c>
      <c r="H244" t="s">
        <v>153</v>
      </c>
      <c r="I244" t="s">
        <v>154</v>
      </c>
      <c r="J244">
        <v>19970410</v>
      </c>
    </row>
    <row r="245" spans="1:10">
      <c r="A245" t="s">
        <v>347</v>
      </c>
      <c r="B245">
        <v>707</v>
      </c>
      <c r="C245" t="s">
        <v>348</v>
      </c>
      <c r="D245" t="s">
        <v>316</v>
      </c>
      <c r="E245" t="s">
        <v>14</v>
      </c>
      <c r="F245" t="s">
        <v>349</v>
      </c>
      <c r="G245" t="s">
        <v>152</v>
      </c>
      <c r="H245" t="s">
        <v>153</v>
      </c>
      <c r="I245" t="s">
        <v>154</v>
      </c>
      <c r="J245">
        <v>19970415</v>
      </c>
    </row>
    <row r="246" spans="1:10">
      <c r="A246" t="s">
        <v>836</v>
      </c>
      <c r="B246">
        <v>708</v>
      </c>
      <c r="C246" t="s">
        <v>837</v>
      </c>
      <c r="D246" t="s">
        <v>316</v>
      </c>
      <c r="E246" t="s">
        <v>15</v>
      </c>
      <c r="F246" t="s">
        <v>838</v>
      </c>
      <c r="G246" t="s">
        <v>152</v>
      </c>
      <c r="H246" t="s">
        <v>153</v>
      </c>
      <c r="I246" t="s">
        <v>154</v>
      </c>
      <c r="J246">
        <v>19970326</v>
      </c>
    </row>
    <row r="247" spans="1:10">
      <c r="A247" t="s">
        <v>839</v>
      </c>
      <c r="B247">
        <v>709</v>
      </c>
      <c r="C247" t="s">
        <v>840</v>
      </c>
      <c r="D247" t="s">
        <v>279</v>
      </c>
      <c r="E247" t="s">
        <v>25</v>
      </c>
      <c r="F247" t="s">
        <v>841</v>
      </c>
      <c r="G247" t="s">
        <v>152</v>
      </c>
      <c r="H247" t="s">
        <v>153</v>
      </c>
      <c r="I247" t="s">
        <v>154</v>
      </c>
      <c r="J247">
        <v>19970416</v>
      </c>
    </row>
    <row r="248" spans="1:10">
      <c r="A248" t="s">
        <v>3196</v>
      </c>
      <c r="B248">
        <v>710</v>
      </c>
      <c r="C248" t="s">
        <v>3197</v>
      </c>
      <c r="D248" t="s">
        <v>219</v>
      </c>
      <c r="E248" t="s">
        <v>90</v>
      </c>
      <c r="F248" t="s">
        <v>3198</v>
      </c>
      <c r="G248" t="s">
        <v>152</v>
      </c>
      <c r="H248" t="s">
        <v>153</v>
      </c>
      <c r="I248" t="s">
        <v>154</v>
      </c>
      <c r="J248">
        <v>19970422</v>
      </c>
    </row>
    <row r="249" spans="1:10">
      <c r="A249" t="s">
        <v>6549</v>
      </c>
      <c r="B249">
        <v>711</v>
      </c>
      <c r="C249" t="s">
        <v>6550</v>
      </c>
      <c r="D249" t="s">
        <v>194</v>
      </c>
      <c r="E249" t="s">
        <v>119</v>
      </c>
      <c r="F249" t="s">
        <v>6551</v>
      </c>
      <c r="G249" t="s">
        <v>152</v>
      </c>
      <c r="H249" t="s">
        <v>153</v>
      </c>
      <c r="I249" t="s">
        <v>154</v>
      </c>
      <c r="J249">
        <v>19970411</v>
      </c>
    </row>
    <row r="250" spans="1:10">
      <c r="A250" t="s">
        <v>4818</v>
      </c>
      <c r="B250">
        <v>712</v>
      </c>
      <c r="C250" t="s">
        <v>4819</v>
      </c>
      <c r="D250" t="s">
        <v>223</v>
      </c>
      <c r="E250" t="s">
        <v>87</v>
      </c>
      <c r="F250" t="s">
        <v>4820</v>
      </c>
      <c r="G250" t="s">
        <v>152</v>
      </c>
      <c r="H250" t="s">
        <v>153</v>
      </c>
      <c r="I250" t="s">
        <v>154</v>
      </c>
      <c r="J250">
        <v>19970415</v>
      </c>
    </row>
    <row r="251" spans="1:10">
      <c r="A251" t="s">
        <v>158</v>
      </c>
      <c r="B251">
        <v>713</v>
      </c>
      <c r="C251" t="s">
        <v>159</v>
      </c>
      <c r="D251" t="s">
        <v>160</v>
      </c>
      <c r="E251" t="s">
        <v>13</v>
      </c>
      <c r="F251" t="s">
        <v>161</v>
      </c>
      <c r="G251" t="s">
        <v>152</v>
      </c>
      <c r="H251" t="s">
        <v>153</v>
      </c>
      <c r="I251" t="s">
        <v>154</v>
      </c>
      <c r="J251">
        <v>19970422</v>
      </c>
    </row>
    <row r="252" spans="1:10">
      <c r="A252" t="s">
        <v>4449</v>
      </c>
      <c r="B252">
        <v>715</v>
      </c>
      <c r="C252" t="s">
        <v>4450</v>
      </c>
      <c r="D252" t="s">
        <v>236</v>
      </c>
      <c r="E252" t="s">
        <v>22</v>
      </c>
      <c r="F252" t="s">
        <v>4451</v>
      </c>
      <c r="G252" t="s">
        <v>152</v>
      </c>
      <c r="H252" t="s">
        <v>153</v>
      </c>
      <c r="I252" t="s">
        <v>154</v>
      </c>
      <c r="J252">
        <v>19970508</v>
      </c>
    </row>
    <row r="253" spans="1:10">
      <c r="A253" t="s">
        <v>2341</v>
      </c>
      <c r="B253">
        <v>716</v>
      </c>
      <c r="C253" t="s">
        <v>2342</v>
      </c>
      <c r="D253" t="s">
        <v>345</v>
      </c>
      <c r="E253" t="s">
        <v>19</v>
      </c>
      <c r="F253" t="s">
        <v>2343</v>
      </c>
      <c r="G253" t="s">
        <v>152</v>
      </c>
      <c r="H253" t="s">
        <v>153</v>
      </c>
      <c r="I253" t="s">
        <v>154</v>
      </c>
      <c r="J253">
        <v>19970418</v>
      </c>
    </row>
    <row r="254" spans="1:10">
      <c r="A254" t="s">
        <v>842</v>
      </c>
      <c r="B254">
        <v>717</v>
      </c>
      <c r="C254" t="s">
        <v>843</v>
      </c>
      <c r="D254" t="s">
        <v>223</v>
      </c>
      <c r="E254" t="s">
        <v>25</v>
      </c>
      <c r="F254" t="s">
        <v>844</v>
      </c>
      <c r="G254" t="s">
        <v>152</v>
      </c>
      <c r="H254" t="s">
        <v>153</v>
      </c>
      <c r="I254" t="s">
        <v>154</v>
      </c>
      <c r="J254">
        <v>19970508</v>
      </c>
    </row>
    <row r="255" spans="1:10">
      <c r="A255" t="s">
        <v>4194</v>
      </c>
      <c r="B255">
        <v>718</v>
      </c>
      <c r="C255" t="s">
        <v>4195</v>
      </c>
      <c r="D255" t="s">
        <v>312</v>
      </c>
      <c r="E255" t="s">
        <v>79</v>
      </c>
      <c r="F255" t="s">
        <v>4196</v>
      </c>
      <c r="G255" t="s">
        <v>152</v>
      </c>
      <c r="H255" t="s">
        <v>153</v>
      </c>
      <c r="I255" t="s">
        <v>154</v>
      </c>
      <c r="J255">
        <v>19970408</v>
      </c>
    </row>
    <row r="256" spans="1:10">
      <c r="A256" t="s">
        <v>6159</v>
      </c>
      <c r="B256">
        <v>719</v>
      </c>
      <c r="C256" t="s">
        <v>6160</v>
      </c>
      <c r="D256" t="s">
        <v>292</v>
      </c>
      <c r="E256" t="s">
        <v>55</v>
      </c>
      <c r="F256" t="s">
        <v>6161</v>
      </c>
      <c r="G256" t="s">
        <v>152</v>
      </c>
      <c r="H256" t="s">
        <v>153</v>
      </c>
      <c r="I256" t="s">
        <v>154</v>
      </c>
      <c r="J256">
        <v>19970331</v>
      </c>
    </row>
    <row r="257" spans="1:10">
      <c r="A257" t="s">
        <v>3760</v>
      </c>
      <c r="B257">
        <v>720</v>
      </c>
      <c r="C257" t="s">
        <v>3761</v>
      </c>
      <c r="D257" t="s">
        <v>198</v>
      </c>
      <c r="E257" t="s">
        <v>50</v>
      </c>
      <c r="F257" t="s">
        <v>3762</v>
      </c>
      <c r="G257" t="s">
        <v>152</v>
      </c>
      <c r="H257" t="s">
        <v>153</v>
      </c>
      <c r="I257" t="s">
        <v>154</v>
      </c>
      <c r="J257">
        <v>19970509</v>
      </c>
    </row>
    <row r="258" spans="1:10">
      <c r="A258" t="s">
        <v>4623</v>
      </c>
      <c r="B258">
        <v>721</v>
      </c>
      <c r="C258" t="s">
        <v>4624</v>
      </c>
      <c r="D258" t="s">
        <v>419</v>
      </c>
      <c r="E258" t="s">
        <v>86</v>
      </c>
      <c r="F258" t="s">
        <v>4625</v>
      </c>
      <c r="G258" t="s">
        <v>152</v>
      </c>
      <c r="H258" t="s">
        <v>153</v>
      </c>
      <c r="I258" t="s">
        <v>154</v>
      </c>
      <c r="J258">
        <v>19970430</v>
      </c>
    </row>
    <row r="259" spans="1:10">
      <c r="A259" t="s">
        <v>5070</v>
      </c>
      <c r="B259">
        <v>722</v>
      </c>
      <c r="C259" t="s">
        <v>5071</v>
      </c>
      <c r="D259" t="s">
        <v>168</v>
      </c>
      <c r="E259" t="s">
        <v>94</v>
      </c>
      <c r="F259" t="s">
        <v>5072</v>
      </c>
      <c r="G259" t="s">
        <v>152</v>
      </c>
      <c r="H259" t="s">
        <v>153</v>
      </c>
      <c r="I259" t="s">
        <v>154</v>
      </c>
      <c r="J259">
        <v>19970522</v>
      </c>
    </row>
    <row r="260" spans="1:10">
      <c r="A260" t="s">
        <v>6360</v>
      </c>
      <c r="B260">
        <v>723</v>
      </c>
      <c r="C260" t="s">
        <v>6361</v>
      </c>
      <c r="D260" t="s">
        <v>557</v>
      </c>
      <c r="E260" t="s">
        <v>117</v>
      </c>
      <c r="F260" t="s">
        <v>6362</v>
      </c>
      <c r="G260" t="s">
        <v>152</v>
      </c>
      <c r="H260" t="s">
        <v>153</v>
      </c>
      <c r="I260" t="s">
        <v>154</v>
      </c>
      <c r="J260">
        <v>19970515</v>
      </c>
    </row>
    <row r="261" spans="1:10">
      <c r="A261" t="s">
        <v>1273</v>
      </c>
      <c r="B261">
        <v>725</v>
      </c>
      <c r="C261" t="s">
        <v>1274</v>
      </c>
      <c r="D261" t="s">
        <v>164</v>
      </c>
      <c r="E261" t="s">
        <v>42</v>
      </c>
      <c r="F261" t="s">
        <v>1275</v>
      </c>
      <c r="G261" t="s">
        <v>152</v>
      </c>
      <c r="H261" t="s">
        <v>153</v>
      </c>
      <c r="I261" t="s">
        <v>154</v>
      </c>
      <c r="J261">
        <v>20010112</v>
      </c>
    </row>
    <row r="262" spans="1:10">
      <c r="A262" t="s">
        <v>350</v>
      </c>
      <c r="B262">
        <v>726</v>
      </c>
      <c r="C262" t="s">
        <v>351</v>
      </c>
      <c r="D262" t="s">
        <v>198</v>
      </c>
      <c r="E262" t="s">
        <v>33</v>
      </c>
      <c r="F262" t="s">
        <v>352</v>
      </c>
      <c r="G262" t="s">
        <v>152</v>
      </c>
      <c r="H262" t="s">
        <v>153</v>
      </c>
      <c r="I262" t="s">
        <v>154</v>
      </c>
      <c r="J262">
        <v>20001225</v>
      </c>
    </row>
    <row r="263" spans="1:10">
      <c r="A263" t="s">
        <v>1276</v>
      </c>
      <c r="B263">
        <v>727</v>
      </c>
      <c r="C263" t="s">
        <v>1277</v>
      </c>
      <c r="D263" t="s">
        <v>212</v>
      </c>
      <c r="E263" t="s">
        <v>42</v>
      </c>
      <c r="F263" t="s">
        <v>1278</v>
      </c>
      <c r="G263" t="s">
        <v>152</v>
      </c>
      <c r="H263" t="s">
        <v>153</v>
      </c>
      <c r="I263" t="s">
        <v>154</v>
      </c>
      <c r="J263">
        <v>19970520</v>
      </c>
    </row>
    <row r="264" spans="1:10">
      <c r="A264" t="s">
        <v>4821</v>
      </c>
      <c r="B264">
        <v>728</v>
      </c>
      <c r="C264" t="s">
        <v>4822</v>
      </c>
      <c r="D264" t="s">
        <v>160</v>
      </c>
      <c r="E264" t="s">
        <v>87</v>
      </c>
      <c r="F264" t="s">
        <v>4823</v>
      </c>
      <c r="G264" t="s">
        <v>152</v>
      </c>
      <c r="H264" t="s">
        <v>153</v>
      </c>
      <c r="I264" t="s">
        <v>154</v>
      </c>
      <c r="J264">
        <v>19970616</v>
      </c>
    </row>
    <row r="265" spans="1:10">
      <c r="A265" t="s">
        <v>2344</v>
      </c>
      <c r="B265">
        <v>729</v>
      </c>
      <c r="C265" t="s">
        <v>2345</v>
      </c>
      <c r="D265" t="s">
        <v>164</v>
      </c>
      <c r="E265" t="s">
        <v>49</v>
      </c>
      <c r="F265" t="s">
        <v>2346</v>
      </c>
      <c r="G265" t="s">
        <v>152</v>
      </c>
      <c r="H265" t="s">
        <v>153</v>
      </c>
      <c r="I265" t="s">
        <v>154</v>
      </c>
      <c r="J265">
        <v>19970716</v>
      </c>
    </row>
    <row r="266" spans="1:10">
      <c r="A266" t="s">
        <v>353</v>
      </c>
      <c r="B266">
        <v>731</v>
      </c>
      <c r="C266" t="s">
        <v>354</v>
      </c>
      <c r="D266" t="s">
        <v>219</v>
      </c>
      <c r="E266" t="s">
        <v>47</v>
      </c>
      <c r="F266" t="s">
        <v>355</v>
      </c>
      <c r="G266" t="s">
        <v>152</v>
      </c>
      <c r="H266" t="s">
        <v>153</v>
      </c>
      <c r="I266" t="s">
        <v>154</v>
      </c>
      <c r="J266">
        <v>19970617</v>
      </c>
    </row>
    <row r="267" spans="1:10">
      <c r="A267" t="s">
        <v>4197</v>
      </c>
      <c r="B267">
        <v>732</v>
      </c>
      <c r="C267" t="s">
        <v>4198</v>
      </c>
      <c r="D267" t="s">
        <v>150</v>
      </c>
      <c r="E267" t="s">
        <v>79</v>
      </c>
      <c r="F267" t="s">
        <v>4199</v>
      </c>
      <c r="G267" t="s">
        <v>152</v>
      </c>
      <c r="H267" t="s">
        <v>153</v>
      </c>
      <c r="I267" t="s">
        <v>154</v>
      </c>
      <c r="J267">
        <v>19970704</v>
      </c>
    </row>
    <row r="268" spans="1:10">
      <c r="A268" t="s">
        <v>1279</v>
      </c>
      <c r="B268">
        <v>733</v>
      </c>
      <c r="C268" t="s">
        <v>1280</v>
      </c>
      <c r="D268" t="s">
        <v>463</v>
      </c>
      <c r="E268" t="s">
        <v>42</v>
      </c>
      <c r="F268" t="s">
        <v>1281</v>
      </c>
      <c r="G268" t="s">
        <v>152</v>
      </c>
      <c r="H268" t="s">
        <v>153</v>
      </c>
      <c r="I268" t="s">
        <v>154</v>
      </c>
      <c r="J268">
        <v>19970703</v>
      </c>
    </row>
    <row r="269" spans="1:10">
      <c r="A269" t="s">
        <v>248</v>
      </c>
      <c r="B269">
        <v>735</v>
      </c>
      <c r="C269" t="s">
        <v>249</v>
      </c>
      <c r="D269" t="s">
        <v>250</v>
      </c>
      <c r="E269" t="s">
        <v>46</v>
      </c>
      <c r="F269" t="s">
        <v>251</v>
      </c>
      <c r="G269" t="s">
        <v>152</v>
      </c>
      <c r="H269" t="s">
        <v>153</v>
      </c>
      <c r="I269" t="s">
        <v>154</v>
      </c>
      <c r="J269">
        <v>19970611</v>
      </c>
    </row>
    <row r="270" spans="1:10">
      <c r="A270" t="s">
        <v>4200</v>
      </c>
      <c r="B270">
        <v>736</v>
      </c>
      <c r="C270" t="s">
        <v>4201</v>
      </c>
      <c r="D270" t="s">
        <v>937</v>
      </c>
      <c r="E270" t="s">
        <v>84</v>
      </c>
      <c r="F270" t="s">
        <v>4202</v>
      </c>
      <c r="G270" t="s">
        <v>152</v>
      </c>
      <c r="H270" t="s">
        <v>153</v>
      </c>
      <c r="I270" t="s">
        <v>154</v>
      </c>
      <c r="J270">
        <v>19970425</v>
      </c>
    </row>
    <row r="271" spans="1:10">
      <c r="A271" t="s">
        <v>990</v>
      </c>
      <c r="B271">
        <v>737</v>
      </c>
      <c r="C271" t="s">
        <v>991</v>
      </c>
      <c r="D271" t="s">
        <v>557</v>
      </c>
      <c r="E271" t="s">
        <v>26</v>
      </c>
      <c r="F271" t="s">
        <v>992</v>
      </c>
      <c r="G271" t="s">
        <v>152</v>
      </c>
      <c r="H271" t="s">
        <v>153</v>
      </c>
      <c r="I271" t="s">
        <v>154</v>
      </c>
      <c r="J271">
        <v>19970428</v>
      </c>
    </row>
    <row r="272" spans="1:10">
      <c r="A272" t="s">
        <v>3763</v>
      </c>
      <c r="B272">
        <v>738</v>
      </c>
      <c r="C272" t="s">
        <v>3764</v>
      </c>
      <c r="D272" t="s">
        <v>212</v>
      </c>
      <c r="E272" t="s">
        <v>102</v>
      </c>
      <c r="F272" t="s">
        <v>3765</v>
      </c>
      <c r="G272" t="s">
        <v>152</v>
      </c>
      <c r="H272" t="s">
        <v>153</v>
      </c>
      <c r="I272" t="s">
        <v>154</v>
      </c>
      <c r="J272">
        <v>19970626</v>
      </c>
    </row>
    <row r="273" spans="1:10">
      <c r="A273" t="s">
        <v>3049</v>
      </c>
      <c r="B273">
        <v>739</v>
      </c>
      <c r="C273" t="s">
        <v>3050</v>
      </c>
      <c r="D273" t="s">
        <v>423</v>
      </c>
      <c r="E273" t="s">
        <v>81</v>
      </c>
      <c r="F273" t="s">
        <v>3051</v>
      </c>
      <c r="G273" t="s">
        <v>152</v>
      </c>
      <c r="H273" t="s">
        <v>153</v>
      </c>
      <c r="I273" t="s">
        <v>154</v>
      </c>
      <c r="J273">
        <v>19970509</v>
      </c>
    </row>
    <row r="274" spans="1:10">
      <c r="A274" t="s">
        <v>4824</v>
      </c>
      <c r="B274">
        <v>750</v>
      </c>
      <c r="C274" t="s">
        <v>4825</v>
      </c>
      <c r="D274" t="s">
        <v>345</v>
      </c>
      <c r="E274" t="s">
        <v>87</v>
      </c>
      <c r="F274" t="s">
        <v>4826</v>
      </c>
      <c r="G274" t="s">
        <v>152</v>
      </c>
      <c r="H274" t="s">
        <v>153</v>
      </c>
      <c r="I274" t="s">
        <v>154</v>
      </c>
      <c r="J274">
        <v>19970709</v>
      </c>
    </row>
    <row r="275" spans="1:10">
      <c r="A275" t="s">
        <v>993</v>
      </c>
      <c r="B275">
        <v>751</v>
      </c>
      <c r="C275" t="s">
        <v>994</v>
      </c>
      <c r="D275" t="s">
        <v>236</v>
      </c>
      <c r="E275" t="s">
        <v>35</v>
      </c>
      <c r="F275" t="s">
        <v>995</v>
      </c>
      <c r="G275" t="s">
        <v>152</v>
      </c>
      <c r="H275" t="s">
        <v>153</v>
      </c>
      <c r="I275" t="s">
        <v>154</v>
      </c>
      <c r="J275">
        <v>19970626</v>
      </c>
    </row>
    <row r="276" spans="1:10">
      <c r="A276" t="s">
        <v>2347</v>
      </c>
      <c r="B276">
        <v>752</v>
      </c>
      <c r="C276" t="s">
        <v>2348</v>
      </c>
      <c r="D276" t="s">
        <v>1001</v>
      </c>
      <c r="E276" t="s">
        <v>49</v>
      </c>
      <c r="F276" t="s">
        <v>2349</v>
      </c>
      <c r="G276" t="s">
        <v>152</v>
      </c>
      <c r="H276" t="s">
        <v>153</v>
      </c>
      <c r="I276" t="s">
        <v>154</v>
      </c>
      <c r="J276">
        <v>19970625</v>
      </c>
    </row>
    <row r="277" spans="1:10">
      <c r="A277" t="s">
        <v>1825</v>
      </c>
      <c r="B277">
        <v>753</v>
      </c>
      <c r="C277" t="s">
        <v>1826</v>
      </c>
      <c r="D277" t="s">
        <v>150</v>
      </c>
      <c r="E277" t="s">
        <v>18</v>
      </c>
      <c r="F277" t="s">
        <v>1827</v>
      </c>
      <c r="G277" t="s">
        <v>152</v>
      </c>
      <c r="H277" t="s">
        <v>153</v>
      </c>
      <c r="I277" t="s">
        <v>154</v>
      </c>
      <c r="J277">
        <v>19970626</v>
      </c>
    </row>
    <row r="278" spans="1:10">
      <c r="A278" t="s">
        <v>3766</v>
      </c>
      <c r="B278">
        <v>755</v>
      </c>
      <c r="C278" t="s">
        <v>3767</v>
      </c>
      <c r="D278" t="s">
        <v>557</v>
      </c>
      <c r="E278" t="s">
        <v>98</v>
      </c>
      <c r="F278" t="s">
        <v>3768</v>
      </c>
      <c r="G278" t="s">
        <v>152</v>
      </c>
      <c r="H278" t="s">
        <v>153</v>
      </c>
      <c r="I278" t="s">
        <v>154</v>
      </c>
      <c r="J278">
        <v>19970627</v>
      </c>
    </row>
    <row r="279" spans="1:10">
      <c r="A279" t="s">
        <v>3010</v>
      </c>
      <c r="B279">
        <v>756</v>
      </c>
      <c r="C279" t="s">
        <v>3011</v>
      </c>
      <c r="D279" t="s">
        <v>198</v>
      </c>
      <c r="E279" t="s">
        <v>81</v>
      </c>
      <c r="F279" t="s">
        <v>3012</v>
      </c>
      <c r="G279" t="s">
        <v>152</v>
      </c>
      <c r="H279" t="s">
        <v>153</v>
      </c>
      <c r="I279" t="s">
        <v>154</v>
      </c>
      <c r="J279">
        <v>19970806</v>
      </c>
    </row>
    <row r="280" spans="1:10">
      <c r="A280" t="s">
        <v>1828</v>
      </c>
      <c r="B280">
        <v>757</v>
      </c>
      <c r="C280" t="s">
        <v>1829</v>
      </c>
      <c r="D280" t="s">
        <v>219</v>
      </c>
      <c r="E280" t="s">
        <v>28</v>
      </c>
      <c r="F280" t="s">
        <v>1830</v>
      </c>
      <c r="G280" t="s">
        <v>152</v>
      </c>
      <c r="H280" t="s">
        <v>153</v>
      </c>
      <c r="I280" t="s">
        <v>154</v>
      </c>
      <c r="J280">
        <v>19970627</v>
      </c>
    </row>
    <row r="281" spans="1:10">
      <c r="A281" t="s">
        <v>996</v>
      </c>
      <c r="B281">
        <v>758</v>
      </c>
      <c r="C281" t="s">
        <v>997</v>
      </c>
      <c r="D281" t="s">
        <v>164</v>
      </c>
      <c r="E281" t="s">
        <v>35</v>
      </c>
      <c r="F281" t="s">
        <v>998</v>
      </c>
      <c r="G281" t="s">
        <v>152</v>
      </c>
      <c r="H281" t="s">
        <v>153</v>
      </c>
      <c r="I281" t="s">
        <v>154</v>
      </c>
      <c r="J281">
        <v>19970416</v>
      </c>
    </row>
    <row r="282" spans="1:10">
      <c r="A282" t="s">
        <v>4452</v>
      </c>
      <c r="B282">
        <v>759</v>
      </c>
      <c r="C282" t="s">
        <v>4453</v>
      </c>
      <c r="D282" t="s">
        <v>316</v>
      </c>
      <c r="E282" t="s">
        <v>54</v>
      </c>
      <c r="F282" t="s">
        <v>4454</v>
      </c>
      <c r="G282" t="s">
        <v>152</v>
      </c>
      <c r="H282" t="s">
        <v>153</v>
      </c>
      <c r="I282" t="s">
        <v>154</v>
      </c>
      <c r="J282">
        <v>19970519</v>
      </c>
    </row>
    <row r="283" spans="1:10">
      <c r="A283" t="s">
        <v>845</v>
      </c>
      <c r="B283">
        <v>761</v>
      </c>
      <c r="C283" t="s">
        <v>846</v>
      </c>
      <c r="D283" t="s">
        <v>236</v>
      </c>
      <c r="E283" t="s">
        <v>25</v>
      </c>
      <c r="F283" t="s">
        <v>847</v>
      </c>
      <c r="G283" t="s">
        <v>152</v>
      </c>
      <c r="H283" t="s">
        <v>153</v>
      </c>
      <c r="I283" t="s">
        <v>154</v>
      </c>
      <c r="J283">
        <v>19980115</v>
      </c>
    </row>
    <row r="284" spans="1:10">
      <c r="A284" t="s">
        <v>999</v>
      </c>
      <c r="B284">
        <v>762</v>
      </c>
      <c r="C284" t="s">
        <v>1000</v>
      </c>
      <c r="D284" t="s">
        <v>1001</v>
      </c>
      <c r="E284" t="s">
        <v>41</v>
      </c>
      <c r="F284" t="s">
        <v>1002</v>
      </c>
      <c r="G284" t="s">
        <v>152</v>
      </c>
      <c r="H284" t="s">
        <v>153</v>
      </c>
      <c r="I284" t="s">
        <v>154</v>
      </c>
      <c r="J284">
        <v>19970708</v>
      </c>
    </row>
    <row r="285" spans="1:10">
      <c r="A285" t="s">
        <v>2983</v>
      </c>
      <c r="B285">
        <v>766</v>
      </c>
      <c r="C285" t="s">
        <v>2984</v>
      </c>
      <c r="D285" t="s">
        <v>312</v>
      </c>
      <c r="E285" t="s">
        <v>81</v>
      </c>
      <c r="F285" t="s">
        <v>2985</v>
      </c>
      <c r="G285" t="s">
        <v>152</v>
      </c>
      <c r="H285" t="s">
        <v>153</v>
      </c>
      <c r="I285" t="s">
        <v>154</v>
      </c>
      <c r="J285">
        <v>19970430</v>
      </c>
    </row>
    <row r="286" spans="1:10">
      <c r="A286" t="s">
        <v>3469</v>
      </c>
      <c r="B286">
        <v>767</v>
      </c>
      <c r="C286" t="s">
        <v>3470</v>
      </c>
      <c r="D286" t="s">
        <v>557</v>
      </c>
      <c r="E286" t="s">
        <v>77</v>
      </c>
      <c r="F286" t="s">
        <v>3471</v>
      </c>
      <c r="G286" t="s">
        <v>152</v>
      </c>
      <c r="H286" t="s">
        <v>153</v>
      </c>
      <c r="I286" t="s">
        <v>154</v>
      </c>
      <c r="J286">
        <v>19970609</v>
      </c>
    </row>
    <row r="287" spans="1:10">
      <c r="A287" t="s">
        <v>3769</v>
      </c>
      <c r="B287">
        <v>768</v>
      </c>
      <c r="C287" t="s">
        <v>3770</v>
      </c>
      <c r="D287" t="s">
        <v>419</v>
      </c>
      <c r="E287" t="s">
        <v>102</v>
      </c>
      <c r="F287" t="s">
        <v>3771</v>
      </c>
      <c r="G287" t="s">
        <v>152</v>
      </c>
      <c r="H287" t="s">
        <v>153</v>
      </c>
      <c r="I287" t="s">
        <v>154</v>
      </c>
      <c r="J287">
        <v>19970626</v>
      </c>
    </row>
    <row r="288" spans="1:10">
      <c r="A288" t="s">
        <v>4827</v>
      </c>
      <c r="B288">
        <v>776</v>
      </c>
      <c r="C288" t="s">
        <v>4828</v>
      </c>
      <c r="D288" t="s">
        <v>223</v>
      </c>
      <c r="E288" t="s">
        <v>87</v>
      </c>
      <c r="F288" t="s">
        <v>4829</v>
      </c>
      <c r="G288" t="s">
        <v>152</v>
      </c>
      <c r="H288" t="s">
        <v>153</v>
      </c>
      <c r="I288" t="s">
        <v>154</v>
      </c>
      <c r="J288">
        <v>19970611</v>
      </c>
    </row>
    <row r="289" spans="1:10">
      <c r="A289" t="s">
        <v>5454</v>
      </c>
      <c r="B289">
        <v>777</v>
      </c>
      <c r="C289" t="s">
        <v>5455</v>
      </c>
      <c r="D289" t="s">
        <v>212</v>
      </c>
      <c r="E289" t="s">
        <v>135</v>
      </c>
      <c r="F289" t="s">
        <v>5456</v>
      </c>
      <c r="G289" t="s">
        <v>152</v>
      </c>
      <c r="H289" t="s">
        <v>153</v>
      </c>
      <c r="I289" t="s">
        <v>154</v>
      </c>
      <c r="J289">
        <v>19970710</v>
      </c>
    </row>
    <row r="290" spans="1:10">
      <c r="A290" t="s">
        <v>848</v>
      </c>
      <c r="B290">
        <v>778</v>
      </c>
      <c r="C290" t="s">
        <v>849</v>
      </c>
      <c r="D290" t="s">
        <v>279</v>
      </c>
      <c r="E290" t="s">
        <v>34</v>
      </c>
      <c r="F290" t="s">
        <v>850</v>
      </c>
      <c r="G290" t="s">
        <v>152</v>
      </c>
      <c r="H290" t="s">
        <v>153</v>
      </c>
      <c r="I290" t="s">
        <v>154</v>
      </c>
      <c r="J290">
        <v>19970606</v>
      </c>
    </row>
    <row r="291" spans="1:10">
      <c r="A291" t="s">
        <v>5229</v>
      </c>
      <c r="B291">
        <v>779</v>
      </c>
      <c r="C291" t="s">
        <v>5230</v>
      </c>
      <c r="D291" t="s">
        <v>177</v>
      </c>
      <c r="E291" t="s">
        <v>121</v>
      </c>
      <c r="F291" t="s">
        <v>5231</v>
      </c>
      <c r="G291" t="s">
        <v>152</v>
      </c>
      <c r="H291" t="s">
        <v>153</v>
      </c>
      <c r="I291" t="s">
        <v>154</v>
      </c>
      <c r="J291">
        <v>19970528</v>
      </c>
    </row>
    <row r="292" spans="1:10">
      <c r="A292" t="s">
        <v>356</v>
      </c>
      <c r="B292">
        <v>782</v>
      </c>
      <c r="C292" t="s">
        <v>357</v>
      </c>
      <c r="D292" t="s">
        <v>223</v>
      </c>
      <c r="E292" t="s">
        <v>24</v>
      </c>
      <c r="F292" t="s">
        <v>358</v>
      </c>
      <c r="G292" t="s">
        <v>152</v>
      </c>
      <c r="H292" t="s">
        <v>153</v>
      </c>
      <c r="I292" t="s">
        <v>154</v>
      </c>
      <c r="J292">
        <v>19970619</v>
      </c>
    </row>
    <row r="293" spans="1:10">
      <c r="A293" t="s">
        <v>4830</v>
      </c>
      <c r="B293">
        <v>783</v>
      </c>
      <c r="C293" t="s">
        <v>4831</v>
      </c>
      <c r="D293" t="s">
        <v>316</v>
      </c>
      <c r="E293" t="s">
        <v>87</v>
      </c>
      <c r="F293" t="s">
        <v>4832</v>
      </c>
      <c r="G293" t="s">
        <v>152</v>
      </c>
      <c r="H293" t="s">
        <v>153</v>
      </c>
      <c r="I293" t="s">
        <v>154</v>
      </c>
      <c r="J293">
        <v>19970731</v>
      </c>
    </row>
    <row r="294" spans="1:10">
      <c r="A294" t="s">
        <v>4455</v>
      </c>
      <c r="B294">
        <v>785</v>
      </c>
      <c r="C294" t="s">
        <v>4456</v>
      </c>
      <c r="D294" t="s">
        <v>316</v>
      </c>
      <c r="E294" t="s">
        <v>22</v>
      </c>
      <c r="F294" t="s">
        <v>4457</v>
      </c>
      <c r="G294" t="s">
        <v>152</v>
      </c>
      <c r="H294" t="s">
        <v>153</v>
      </c>
      <c r="I294" t="s">
        <v>154</v>
      </c>
      <c r="J294">
        <v>19970711</v>
      </c>
    </row>
    <row r="295" spans="1:10">
      <c r="A295" t="s">
        <v>5073</v>
      </c>
      <c r="B295">
        <v>786</v>
      </c>
      <c r="C295" t="s">
        <v>5074</v>
      </c>
      <c r="D295" t="s">
        <v>164</v>
      </c>
      <c r="E295" t="s">
        <v>94</v>
      </c>
      <c r="F295" t="s">
        <v>5075</v>
      </c>
      <c r="G295" t="s">
        <v>152</v>
      </c>
      <c r="H295" t="s">
        <v>153</v>
      </c>
      <c r="I295" t="s">
        <v>154</v>
      </c>
      <c r="J295">
        <v>19970606</v>
      </c>
    </row>
    <row r="296" spans="1:10">
      <c r="A296" t="s">
        <v>3088</v>
      </c>
      <c r="B296">
        <v>788</v>
      </c>
      <c r="C296" t="s">
        <v>3089</v>
      </c>
      <c r="D296" t="s">
        <v>937</v>
      </c>
      <c r="E296" t="s">
        <v>81</v>
      </c>
      <c r="F296" t="s">
        <v>3090</v>
      </c>
      <c r="G296" t="s">
        <v>152</v>
      </c>
      <c r="H296" t="s">
        <v>153</v>
      </c>
      <c r="I296" t="s">
        <v>154</v>
      </c>
      <c r="J296">
        <v>19970616</v>
      </c>
    </row>
    <row r="297" spans="1:10">
      <c r="A297" t="s">
        <v>5076</v>
      </c>
      <c r="B297">
        <v>789</v>
      </c>
      <c r="C297" t="s">
        <v>5077</v>
      </c>
      <c r="D297" t="s">
        <v>406</v>
      </c>
      <c r="E297" t="s">
        <v>75</v>
      </c>
      <c r="F297" t="s">
        <v>5078</v>
      </c>
      <c r="G297" t="s">
        <v>152</v>
      </c>
      <c r="H297" t="s">
        <v>153</v>
      </c>
      <c r="I297" t="s">
        <v>154</v>
      </c>
      <c r="J297">
        <v>19970923</v>
      </c>
    </row>
    <row r="298" spans="1:10">
      <c r="A298" t="s">
        <v>3376</v>
      </c>
      <c r="B298">
        <v>790</v>
      </c>
      <c r="C298" t="s">
        <v>3377</v>
      </c>
      <c r="D298" t="s">
        <v>219</v>
      </c>
      <c r="E298" t="s">
        <v>67</v>
      </c>
      <c r="F298" t="s">
        <v>3378</v>
      </c>
      <c r="G298" t="s">
        <v>152</v>
      </c>
      <c r="H298" t="s">
        <v>153</v>
      </c>
      <c r="I298" t="s">
        <v>154</v>
      </c>
      <c r="J298">
        <v>19980327</v>
      </c>
    </row>
    <row r="299" spans="1:10">
      <c r="A299" t="s">
        <v>3472</v>
      </c>
      <c r="B299">
        <v>791</v>
      </c>
      <c r="C299" t="s">
        <v>3473</v>
      </c>
      <c r="D299" t="s">
        <v>177</v>
      </c>
      <c r="E299" t="s">
        <v>68</v>
      </c>
      <c r="F299" t="s">
        <v>3474</v>
      </c>
      <c r="G299" t="s">
        <v>152</v>
      </c>
      <c r="H299" t="s">
        <v>153</v>
      </c>
      <c r="I299" t="s">
        <v>154</v>
      </c>
      <c r="J299">
        <v>19971014</v>
      </c>
    </row>
    <row r="300" spans="1:10">
      <c r="A300" t="s">
        <v>359</v>
      </c>
      <c r="B300">
        <v>792</v>
      </c>
      <c r="C300" t="s">
        <v>360</v>
      </c>
      <c r="D300" t="s">
        <v>308</v>
      </c>
      <c r="E300" t="s">
        <v>47</v>
      </c>
      <c r="F300" t="s">
        <v>361</v>
      </c>
      <c r="G300" t="s">
        <v>152</v>
      </c>
      <c r="H300" t="s">
        <v>153</v>
      </c>
      <c r="I300" t="s">
        <v>154</v>
      </c>
      <c r="J300">
        <v>19970904</v>
      </c>
    </row>
    <row r="301" spans="1:10">
      <c r="A301" t="s">
        <v>6162</v>
      </c>
      <c r="B301">
        <v>793</v>
      </c>
      <c r="C301" t="s">
        <v>6163</v>
      </c>
      <c r="D301" t="s">
        <v>250</v>
      </c>
      <c r="E301" t="s">
        <v>55</v>
      </c>
      <c r="F301" t="s">
        <v>6164</v>
      </c>
      <c r="G301" t="s">
        <v>152</v>
      </c>
      <c r="H301" t="s">
        <v>153</v>
      </c>
      <c r="I301" t="s">
        <v>154</v>
      </c>
      <c r="J301">
        <v>19970729</v>
      </c>
    </row>
    <row r="302" spans="1:10">
      <c r="A302" t="s">
        <v>1003</v>
      </c>
      <c r="B302">
        <v>795</v>
      </c>
      <c r="C302" t="s">
        <v>1004</v>
      </c>
      <c r="D302" t="s">
        <v>423</v>
      </c>
      <c r="E302" t="s">
        <v>52</v>
      </c>
      <c r="F302" t="s">
        <v>1005</v>
      </c>
      <c r="G302" t="s">
        <v>152</v>
      </c>
      <c r="H302" t="s">
        <v>153</v>
      </c>
      <c r="I302" t="s">
        <v>154</v>
      </c>
      <c r="J302">
        <v>19970808</v>
      </c>
    </row>
    <row r="303" spans="1:10">
      <c r="A303" t="s">
        <v>4626</v>
      </c>
      <c r="B303">
        <v>796</v>
      </c>
      <c r="C303" t="s">
        <v>4627</v>
      </c>
      <c r="D303" t="s">
        <v>250</v>
      </c>
      <c r="E303" t="s">
        <v>72</v>
      </c>
      <c r="F303" t="s">
        <v>4628</v>
      </c>
      <c r="G303" t="s">
        <v>152</v>
      </c>
      <c r="H303" t="s">
        <v>153</v>
      </c>
      <c r="I303" t="s">
        <v>154</v>
      </c>
      <c r="J303">
        <v>19970703</v>
      </c>
    </row>
    <row r="304" spans="1:10">
      <c r="A304" t="s">
        <v>4203</v>
      </c>
      <c r="B304">
        <v>797</v>
      </c>
      <c r="C304" t="s">
        <v>4204</v>
      </c>
      <c r="D304" t="s">
        <v>150</v>
      </c>
      <c r="E304" t="s">
        <v>84</v>
      </c>
      <c r="F304" t="s">
        <v>4205</v>
      </c>
      <c r="G304" t="s">
        <v>152</v>
      </c>
      <c r="H304" t="s">
        <v>153</v>
      </c>
      <c r="I304" t="s">
        <v>154</v>
      </c>
      <c r="J304">
        <v>19970715</v>
      </c>
    </row>
    <row r="305" spans="1:10">
      <c r="A305" t="s">
        <v>162</v>
      </c>
      <c r="B305">
        <v>798</v>
      </c>
      <c r="C305" t="s">
        <v>163</v>
      </c>
      <c r="D305" t="s">
        <v>164</v>
      </c>
      <c r="E305" t="s">
        <v>23</v>
      </c>
      <c r="F305" t="s">
        <v>165</v>
      </c>
      <c r="G305" t="s">
        <v>152</v>
      </c>
      <c r="H305" t="s">
        <v>153</v>
      </c>
      <c r="I305" t="s">
        <v>154</v>
      </c>
      <c r="J305">
        <v>19980212</v>
      </c>
    </row>
    <row r="306" spans="1:10">
      <c r="A306" t="s">
        <v>2350</v>
      </c>
      <c r="B306">
        <v>799</v>
      </c>
      <c r="C306" t="s">
        <v>2351</v>
      </c>
      <c r="D306" t="s">
        <v>168</v>
      </c>
      <c r="E306" t="s">
        <v>12</v>
      </c>
      <c r="F306" t="s">
        <v>2352</v>
      </c>
      <c r="G306" t="s">
        <v>152</v>
      </c>
      <c r="H306" t="s">
        <v>153</v>
      </c>
      <c r="I306" t="s">
        <v>154</v>
      </c>
      <c r="J306">
        <v>19970718</v>
      </c>
    </row>
    <row r="307" spans="1:10">
      <c r="A307" t="s">
        <v>1831</v>
      </c>
      <c r="B307">
        <v>800</v>
      </c>
      <c r="C307" t="s">
        <v>1832</v>
      </c>
      <c r="D307" t="s">
        <v>312</v>
      </c>
      <c r="E307" t="s">
        <v>36</v>
      </c>
      <c r="F307" t="s">
        <v>1833</v>
      </c>
      <c r="G307" t="s">
        <v>152</v>
      </c>
      <c r="H307" t="s">
        <v>153</v>
      </c>
      <c r="I307" t="s">
        <v>154</v>
      </c>
      <c r="J307">
        <v>19970618</v>
      </c>
    </row>
    <row r="308" spans="1:10">
      <c r="A308" t="s">
        <v>2230</v>
      </c>
      <c r="B308">
        <v>801</v>
      </c>
      <c r="C308" t="s">
        <v>2231</v>
      </c>
      <c r="D308" t="s">
        <v>219</v>
      </c>
      <c r="E308" t="s">
        <v>8</v>
      </c>
      <c r="F308" t="s">
        <v>2232</v>
      </c>
      <c r="G308" t="s">
        <v>152</v>
      </c>
      <c r="H308" t="s">
        <v>153</v>
      </c>
      <c r="I308" t="s">
        <v>154</v>
      </c>
      <c r="J308">
        <v>19980506</v>
      </c>
    </row>
    <row r="309" spans="1:10">
      <c r="A309" t="s">
        <v>6036</v>
      </c>
      <c r="B309">
        <v>802</v>
      </c>
      <c r="C309" t="s">
        <v>6037</v>
      </c>
      <c r="D309" t="s">
        <v>164</v>
      </c>
      <c r="E309" t="s">
        <v>124</v>
      </c>
      <c r="F309" t="s">
        <v>6038</v>
      </c>
      <c r="G309" t="s">
        <v>152</v>
      </c>
      <c r="H309" t="s">
        <v>153</v>
      </c>
      <c r="I309" t="s">
        <v>154</v>
      </c>
      <c r="J309">
        <v>19980108</v>
      </c>
    </row>
    <row r="310" spans="1:10">
      <c r="A310" t="s">
        <v>6552</v>
      </c>
      <c r="B310">
        <v>803</v>
      </c>
      <c r="C310" t="s">
        <v>6553</v>
      </c>
      <c r="D310" t="s">
        <v>219</v>
      </c>
      <c r="E310" t="s">
        <v>119</v>
      </c>
      <c r="F310" t="s">
        <v>6554</v>
      </c>
      <c r="G310" t="s">
        <v>152</v>
      </c>
      <c r="H310" t="s">
        <v>153</v>
      </c>
      <c r="I310" t="s">
        <v>154</v>
      </c>
      <c r="J310">
        <v>19980303</v>
      </c>
    </row>
    <row r="311" spans="1:10">
      <c r="A311" t="s">
        <v>1282</v>
      </c>
      <c r="B311">
        <v>806</v>
      </c>
      <c r="C311" t="s">
        <v>1283</v>
      </c>
      <c r="D311" t="s">
        <v>345</v>
      </c>
      <c r="E311" t="s">
        <v>17</v>
      </c>
      <c r="F311" t="s">
        <v>1284</v>
      </c>
      <c r="G311" t="s">
        <v>152</v>
      </c>
      <c r="H311" t="s">
        <v>153</v>
      </c>
      <c r="I311" t="s">
        <v>154</v>
      </c>
      <c r="J311">
        <v>19980416</v>
      </c>
    </row>
    <row r="312" spans="1:10">
      <c r="A312" t="s">
        <v>1006</v>
      </c>
      <c r="B312">
        <v>807</v>
      </c>
      <c r="C312" t="s">
        <v>1007</v>
      </c>
      <c r="D312" t="s">
        <v>184</v>
      </c>
      <c r="E312" t="s">
        <v>16</v>
      </c>
      <c r="F312" t="s">
        <v>1008</v>
      </c>
      <c r="G312" t="s">
        <v>152</v>
      </c>
      <c r="H312" t="s">
        <v>153</v>
      </c>
      <c r="I312" t="s">
        <v>154</v>
      </c>
      <c r="J312">
        <v>19980408</v>
      </c>
    </row>
    <row r="313" spans="1:10">
      <c r="A313" t="s">
        <v>4206</v>
      </c>
      <c r="B313">
        <v>809</v>
      </c>
      <c r="C313" t="s">
        <v>4207</v>
      </c>
      <c r="D313" t="s">
        <v>236</v>
      </c>
      <c r="E313" t="s">
        <v>79</v>
      </c>
      <c r="F313" t="s">
        <v>4208</v>
      </c>
      <c r="G313" t="s">
        <v>152</v>
      </c>
      <c r="H313" t="s">
        <v>153</v>
      </c>
      <c r="I313" t="s">
        <v>154</v>
      </c>
      <c r="J313">
        <v>19980616</v>
      </c>
    </row>
    <row r="314" spans="1:10">
      <c r="A314" t="s">
        <v>2233</v>
      </c>
      <c r="B314">
        <v>810</v>
      </c>
      <c r="C314" t="s">
        <v>2234</v>
      </c>
      <c r="D314" t="s">
        <v>219</v>
      </c>
      <c r="E314" t="s">
        <v>8</v>
      </c>
      <c r="F314" t="s">
        <v>2235</v>
      </c>
      <c r="G314" t="s">
        <v>152</v>
      </c>
      <c r="H314" t="s">
        <v>153</v>
      </c>
      <c r="I314" t="s">
        <v>154</v>
      </c>
      <c r="J314">
        <v>19980602</v>
      </c>
    </row>
    <row r="315" spans="1:10">
      <c r="A315" t="s">
        <v>5457</v>
      </c>
      <c r="B315">
        <v>811</v>
      </c>
      <c r="C315" t="s">
        <v>5458</v>
      </c>
      <c r="D315" t="s">
        <v>198</v>
      </c>
      <c r="E315" t="s">
        <v>104</v>
      </c>
      <c r="F315" t="s">
        <v>5459</v>
      </c>
      <c r="G315" t="s">
        <v>152</v>
      </c>
      <c r="H315" t="s">
        <v>153</v>
      </c>
      <c r="I315" t="s">
        <v>154</v>
      </c>
      <c r="J315">
        <v>19980528</v>
      </c>
    </row>
    <row r="316" spans="1:10">
      <c r="A316" t="s">
        <v>2725</v>
      </c>
      <c r="B316">
        <v>812</v>
      </c>
      <c r="C316" t="s">
        <v>2726</v>
      </c>
      <c r="D316" t="s">
        <v>419</v>
      </c>
      <c r="E316" t="s">
        <v>37</v>
      </c>
      <c r="F316" t="s">
        <v>2727</v>
      </c>
      <c r="G316" t="s">
        <v>152</v>
      </c>
      <c r="H316" t="s">
        <v>153</v>
      </c>
      <c r="I316" t="s">
        <v>154</v>
      </c>
      <c r="J316">
        <v>19980623</v>
      </c>
    </row>
    <row r="317" spans="1:10">
      <c r="A317" t="s">
        <v>3046</v>
      </c>
      <c r="B317">
        <v>813</v>
      </c>
      <c r="C317" t="s">
        <v>3047</v>
      </c>
      <c r="D317" t="s">
        <v>202</v>
      </c>
      <c r="E317" t="s">
        <v>81</v>
      </c>
      <c r="F317" t="s">
        <v>3048</v>
      </c>
      <c r="G317" t="s">
        <v>152</v>
      </c>
      <c r="H317" t="s">
        <v>153</v>
      </c>
      <c r="I317" t="s">
        <v>154</v>
      </c>
      <c r="J317">
        <v>19980519</v>
      </c>
    </row>
    <row r="318" spans="1:10">
      <c r="A318" t="s">
        <v>2728</v>
      </c>
      <c r="B318">
        <v>815</v>
      </c>
      <c r="C318" t="s">
        <v>2729</v>
      </c>
      <c r="D318" t="s">
        <v>332</v>
      </c>
      <c r="E318" t="s">
        <v>30</v>
      </c>
      <c r="F318" t="s">
        <v>2730</v>
      </c>
      <c r="G318" t="s">
        <v>152</v>
      </c>
      <c r="H318" t="s">
        <v>153</v>
      </c>
      <c r="I318" t="s">
        <v>154</v>
      </c>
      <c r="J318">
        <v>19980609</v>
      </c>
    </row>
    <row r="319" spans="1:10">
      <c r="A319" t="s">
        <v>5460</v>
      </c>
      <c r="B319">
        <v>816</v>
      </c>
      <c r="C319" t="s">
        <v>5461</v>
      </c>
      <c r="D319" t="s">
        <v>212</v>
      </c>
      <c r="E319" t="s">
        <v>133</v>
      </c>
      <c r="F319" t="s">
        <v>5462</v>
      </c>
      <c r="G319" t="s">
        <v>152</v>
      </c>
      <c r="H319" t="s">
        <v>153</v>
      </c>
      <c r="I319" t="s">
        <v>154</v>
      </c>
      <c r="J319">
        <v>19970818</v>
      </c>
    </row>
    <row r="320" spans="1:10">
      <c r="A320" t="s">
        <v>362</v>
      </c>
      <c r="B320">
        <v>818</v>
      </c>
      <c r="C320" t="s">
        <v>363</v>
      </c>
      <c r="D320" t="s">
        <v>236</v>
      </c>
      <c r="E320" t="s">
        <v>14</v>
      </c>
      <c r="F320" t="s">
        <v>364</v>
      </c>
      <c r="G320" t="s">
        <v>152</v>
      </c>
      <c r="H320" t="s">
        <v>153</v>
      </c>
      <c r="I320" t="s">
        <v>154</v>
      </c>
      <c r="J320">
        <v>19971017</v>
      </c>
    </row>
    <row r="321" spans="1:10">
      <c r="A321" t="s">
        <v>6471</v>
      </c>
      <c r="B321">
        <v>819</v>
      </c>
      <c r="C321" t="s">
        <v>6472</v>
      </c>
      <c r="D321" t="s">
        <v>168</v>
      </c>
      <c r="E321" t="s">
        <v>130</v>
      </c>
      <c r="F321" t="s">
        <v>6473</v>
      </c>
      <c r="G321" t="s">
        <v>152</v>
      </c>
      <c r="H321" t="s">
        <v>153</v>
      </c>
      <c r="I321" t="s">
        <v>154</v>
      </c>
      <c r="J321">
        <v>19970625</v>
      </c>
    </row>
    <row r="322" spans="1:10">
      <c r="A322" t="s">
        <v>6555</v>
      </c>
      <c r="B322">
        <v>820</v>
      </c>
      <c r="C322" t="s">
        <v>6556</v>
      </c>
      <c r="D322" t="s">
        <v>406</v>
      </c>
      <c r="E322" t="s">
        <v>119</v>
      </c>
      <c r="F322" t="s">
        <v>6557</v>
      </c>
      <c r="G322" t="s">
        <v>152</v>
      </c>
      <c r="H322" t="s">
        <v>153</v>
      </c>
      <c r="I322" t="s">
        <v>154</v>
      </c>
      <c r="J322">
        <v>19980630</v>
      </c>
    </row>
    <row r="323" spans="1:10">
      <c r="A323" t="s">
        <v>1285</v>
      </c>
      <c r="B323">
        <v>821</v>
      </c>
      <c r="C323" t="s">
        <v>1286</v>
      </c>
      <c r="D323" t="s">
        <v>316</v>
      </c>
      <c r="E323" t="s">
        <v>17</v>
      </c>
      <c r="F323" t="s">
        <v>1287</v>
      </c>
      <c r="G323" t="s">
        <v>152</v>
      </c>
      <c r="H323" t="s">
        <v>153</v>
      </c>
      <c r="I323" t="s">
        <v>154</v>
      </c>
      <c r="J323">
        <v>19980626</v>
      </c>
    </row>
    <row r="324" spans="1:10">
      <c r="A324" t="s">
        <v>365</v>
      </c>
      <c r="B324">
        <v>822</v>
      </c>
      <c r="C324" t="s">
        <v>366</v>
      </c>
      <c r="D324" t="s">
        <v>198</v>
      </c>
      <c r="E324" t="s">
        <v>14</v>
      </c>
      <c r="F324" t="s">
        <v>367</v>
      </c>
      <c r="G324" t="s">
        <v>152</v>
      </c>
      <c r="H324" t="s">
        <v>153</v>
      </c>
      <c r="I324" t="s">
        <v>154</v>
      </c>
      <c r="J324">
        <v>19980703</v>
      </c>
    </row>
    <row r="325" spans="1:10">
      <c r="A325" t="s">
        <v>1288</v>
      </c>
      <c r="B325">
        <v>823</v>
      </c>
      <c r="C325" t="s">
        <v>1289</v>
      </c>
      <c r="D325" t="s">
        <v>223</v>
      </c>
      <c r="E325" t="s">
        <v>42</v>
      </c>
      <c r="F325" t="s">
        <v>1290</v>
      </c>
      <c r="G325" t="s">
        <v>152</v>
      </c>
      <c r="H325" t="s">
        <v>153</v>
      </c>
      <c r="I325" t="s">
        <v>154</v>
      </c>
      <c r="J325">
        <v>19971008</v>
      </c>
    </row>
    <row r="326" spans="1:10">
      <c r="A326" t="s">
        <v>851</v>
      </c>
      <c r="B326">
        <v>825</v>
      </c>
      <c r="C326" t="s">
        <v>852</v>
      </c>
      <c r="D326" t="s">
        <v>557</v>
      </c>
      <c r="E326" t="s">
        <v>15</v>
      </c>
      <c r="F326" t="s">
        <v>853</v>
      </c>
      <c r="G326" t="s">
        <v>152</v>
      </c>
      <c r="H326" t="s">
        <v>153</v>
      </c>
      <c r="I326" t="s">
        <v>154</v>
      </c>
      <c r="J326">
        <v>19981021</v>
      </c>
    </row>
    <row r="327" spans="1:10">
      <c r="A327" t="s">
        <v>6558</v>
      </c>
      <c r="B327">
        <v>826</v>
      </c>
      <c r="C327" t="s">
        <v>6559</v>
      </c>
      <c r="D327" t="s">
        <v>316</v>
      </c>
      <c r="E327" t="s">
        <v>119</v>
      </c>
      <c r="F327" t="s">
        <v>6560</v>
      </c>
      <c r="G327" t="s">
        <v>152</v>
      </c>
      <c r="H327" t="s">
        <v>153</v>
      </c>
      <c r="I327" t="s">
        <v>154</v>
      </c>
      <c r="J327">
        <v>19980225</v>
      </c>
    </row>
    <row r="328" spans="1:10">
      <c r="A328" t="s">
        <v>3772</v>
      </c>
      <c r="B328">
        <v>828</v>
      </c>
      <c r="C328" t="s">
        <v>3773</v>
      </c>
      <c r="D328" t="s">
        <v>223</v>
      </c>
      <c r="E328" t="s">
        <v>98</v>
      </c>
      <c r="F328" t="s">
        <v>3774</v>
      </c>
      <c r="G328" t="s">
        <v>152</v>
      </c>
      <c r="H328" t="s">
        <v>153</v>
      </c>
      <c r="I328" t="s">
        <v>154</v>
      </c>
      <c r="J328">
        <v>19970617</v>
      </c>
    </row>
    <row r="329" spans="1:10">
      <c r="A329" t="s">
        <v>6684</v>
      </c>
      <c r="B329">
        <v>829</v>
      </c>
      <c r="C329" t="s">
        <v>6685</v>
      </c>
      <c r="D329" t="s">
        <v>406</v>
      </c>
      <c r="E329" t="s">
        <v>114</v>
      </c>
      <c r="F329" t="s">
        <v>6686</v>
      </c>
      <c r="G329" t="s">
        <v>152</v>
      </c>
      <c r="H329" t="s">
        <v>153</v>
      </c>
      <c r="I329" t="s">
        <v>154</v>
      </c>
      <c r="J329">
        <v>19971202</v>
      </c>
    </row>
    <row r="330" spans="1:10">
      <c r="A330" t="s">
        <v>368</v>
      </c>
      <c r="B330">
        <v>830</v>
      </c>
      <c r="C330" t="s">
        <v>369</v>
      </c>
      <c r="D330" t="s">
        <v>198</v>
      </c>
      <c r="E330" t="s">
        <v>47</v>
      </c>
      <c r="F330" t="s">
        <v>370</v>
      </c>
      <c r="G330" t="s">
        <v>152</v>
      </c>
      <c r="H330" t="s">
        <v>153</v>
      </c>
      <c r="I330" t="s">
        <v>154</v>
      </c>
      <c r="J330">
        <v>19980807</v>
      </c>
    </row>
    <row r="331" spans="1:10">
      <c r="A331" t="s">
        <v>1009</v>
      </c>
      <c r="B331">
        <v>831</v>
      </c>
      <c r="C331" t="s">
        <v>1010</v>
      </c>
      <c r="D331" t="s">
        <v>406</v>
      </c>
      <c r="E331" t="s">
        <v>41</v>
      </c>
      <c r="F331" t="s">
        <v>1011</v>
      </c>
      <c r="G331" t="s">
        <v>152</v>
      </c>
      <c r="H331" t="s">
        <v>153</v>
      </c>
      <c r="I331" t="s">
        <v>154</v>
      </c>
      <c r="J331">
        <v>19980911</v>
      </c>
    </row>
    <row r="332" spans="1:10">
      <c r="A332" t="s">
        <v>2353</v>
      </c>
      <c r="B332">
        <v>833</v>
      </c>
      <c r="C332" t="s">
        <v>2354</v>
      </c>
      <c r="D332" t="s">
        <v>345</v>
      </c>
      <c r="E332" t="s">
        <v>19</v>
      </c>
      <c r="F332" t="s">
        <v>2355</v>
      </c>
      <c r="G332" t="s">
        <v>152</v>
      </c>
      <c r="H332" t="s">
        <v>153</v>
      </c>
      <c r="I332" t="s">
        <v>154</v>
      </c>
      <c r="J332">
        <v>19981111</v>
      </c>
    </row>
    <row r="333" spans="1:10">
      <c r="A333" t="s">
        <v>6237</v>
      </c>
      <c r="B333">
        <v>836</v>
      </c>
      <c r="C333" t="s">
        <v>6238</v>
      </c>
      <c r="D333" t="s">
        <v>576</v>
      </c>
      <c r="E333" t="s">
        <v>125</v>
      </c>
      <c r="F333" t="s">
        <v>6239</v>
      </c>
      <c r="G333" t="s">
        <v>152</v>
      </c>
      <c r="H333" t="s">
        <v>153</v>
      </c>
      <c r="I333" t="s">
        <v>154</v>
      </c>
      <c r="J333">
        <v>19970929</v>
      </c>
    </row>
    <row r="334" spans="1:10">
      <c r="A334" t="s">
        <v>5463</v>
      </c>
      <c r="B334">
        <v>837</v>
      </c>
      <c r="C334" t="s">
        <v>5464</v>
      </c>
      <c r="D334" t="s">
        <v>419</v>
      </c>
      <c r="E334" t="s">
        <v>134</v>
      </c>
      <c r="F334" t="s">
        <v>5465</v>
      </c>
      <c r="G334" t="s">
        <v>152</v>
      </c>
      <c r="H334" t="s">
        <v>153</v>
      </c>
      <c r="I334" t="s">
        <v>154</v>
      </c>
      <c r="J334">
        <v>19980928</v>
      </c>
    </row>
    <row r="335" spans="1:10">
      <c r="A335" t="s">
        <v>4209</v>
      </c>
      <c r="B335">
        <v>838</v>
      </c>
      <c r="C335" t="s">
        <v>4210</v>
      </c>
      <c r="D335" t="s">
        <v>937</v>
      </c>
      <c r="E335" t="s">
        <v>79</v>
      </c>
      <c r="F335" t="s">
        <v>4211</v>
      </c>
      <c r="G335" t="s">
        <v>152</v>
      </c>
      <c r="H335" t="s">
        <v>153</v>
      </c>
      <c r="I335" t="s">
        <v>154</v>
      </c>
      <c r="J335">
        <v>19970626</v>
      </c>
    </row>
    <row r="336" spans="1:10">
      <c r="A336" t="s">
        <v>5007</v>
      </c>
      <c r="B336">
        <v>839</v>
      </c>
      <c r="C336" t="s">
        <v>5008</v>
      </c>
      <c r="D336" t="s">
        <v>164</v>
      </c>
      <c r="E336" t="s">
        <v>74</v>
      </c>
      <c r="F336" t="s">
        <v>5009</v>
      </c>
      <c r="G336" t="s">
        <v>152</v>
      </c>
      <c r="H336" t="s">
        <v>153</v>
      </c>
      <c r="I336" t="s">
        <v>154</v>
      </c>
      <c r="J336">
        <v>19971031</v>
      </c>
    </row>
    <row r="337" spans="1:10">
      <c r="A337" t="s">
        <v>2356</v>
      </c>
      <c r="B337">
        <v>848</v>
      </c>
      <c r="C337" t="s">
        <v>2357</v>
      </c>
      <c r="D337" t="s">
        <v>279</v>
      </c>
      <c r="E337" t="s">
        <v>29</v>
      </c>
      <c r="F337" t="s">
        <v>2358</v>
      </c>
      <c r="G337" t="s">
        <v>152</v>
      </c>
      <c r="H337" t="s">
        <v>153</v>
      </c>
      <c r="I337" t="s">
        <v>154</v>
      </c>
      <c r="J337">
        <v>19971113</v>
      </c>
    </row>
    <row r="338" spans="1:10">
      <c r="A338" t="s">
        <v>371</v>
      </c>
      <c r="B338">
        <v>850</v>
      </c>
      <c r="C338" t="s">
        <v>372</v>
      </c>
      <c r="D338" t="s">
        <v>160</v>
      </c>
      <c r="E338" t="s">
        <v>33</v>
      </c>
      <c r="F338" t="s">
        <v>373</v>
      </c>
      <c r="G338" t="s">
        <v>152</v>
      </c>
      <c r="H338" t="s">
        <v>153</v>
      </c>
      <c r="I338" t="s">
        <v>154</v>
      </c>
      <c r="J338">
        <v>19981007</v>
      </c>
    </row>
    <row r="339" spans="1:10">
      <c r="A339" t="s">
        <v>6240</v>
      </c>
      <c r="B339">
        <v>851</v>
      </c>
      <c r="C339" t="s">
        <v>6241</v>
      </c>
      <c r="D339" t="s">
        <v>463</v>
      </c>
      <c r="E339" t="s">
        <v>125</v>
      </c>
      <c r="F339" t="s">
        <v>6242</v>
      </c>
      <c r="G339" t="s">
        <v>152</v>
      </c>
      <c r="H339" t="s">
        <v>153</v>
      </c>
      <c r="I339" t="s">
        <v>154</v>
      </c>
      <c r="J339">
        <v>19980609</v>
      </c>
    </row>
    <row r="340" spans="1:10">
      <c r="A340" t="s">
        <v>5466</v>
      </c>
      <c r="B340">
        <v>852</v>
      </c>
      <c r="C340" t="s">
        <v>5467</v>
      </c>
      <c r="D340" t="s">
        <v>316</v>
      </c>
      <c r="E340" t="s">
        <v>131</v>
      </c>
      <c r="F340" t="s">
        <v>5468</v>
      </c>
      <c r="G340" t="s">
        <v>152</v>
      </c>
      <c r="H340" t="s">
        <v>153</v>
      </c>
      <c r="I340" t="s">
        <v>154</v>
      </c>
      <c r="J340">
        <v>19981126</v>
      </c>
    </row>
    <row r="341" spans="1:10">
      <c r="A341" t="s">
        <v>5469</v>
      </c>
      <c r="B341">
        <v>856</v>
      </c>
      <c r="C341" t="s">
        <v>5470</v>
      </c>
      <c r="D341" t="s">
        <v>279</v>
      </c>
      <c r="E341" t="s">
        <v>122</v>
      </c>
      <c r="F341" t="s">
        <v>5471</v>
      </c>
      <c r="G341" t="s">
        <v>152</v>
      </c>
      <c r="H341" t="s">
        <v>153</v>
      </c>
      <c r="I341" t="s">
        <v>154</v>
      </c>
      <c r="J341">
        <v>19980813</v>
      </c>
    </row>
    <row r="342" spans="1:10">
      <c r="A342" t="s">
        <v>2359</v>
      </c>
      <c r="B342">
        <v>858</v>
      </c>
      <c r="C342" t="s">
        <v>2360</v>
      </c>
      <c r="D342" t="s">
        <v>219</v>
      </c>
      <c r="E342" t="s">
        <v>12</v>
      </c>
      <c r="F342" t="s">
        <v>2361</v>
      </c>
      <c r="G342" t="s">
        <v>152</v>
      </c>
      <c r="H342" t="s">
        <v>153</v>
      </c>
      <c r="I342" t="s">
        <v>154</v>
      </c>
      <c r="J342">
        <v>19980427</v>
      </c>
    </row>
    <row r="343" spans="1:10">
      <c r="A343" t="s">
        <v>374</v>
      </c>
      <c r="B343">
        <v>859</v>
      </c>
      <c r="C343" t="s">
        <v>375</v>
      </c>
      <c r="D343" t="s">
        <v>160</v>
      </c>
      <c r="E343" t="s">
        <v>40</v>
      </c>
      <c r="F343" t="s">
        <v>376</v>
      </c>
      <c r="G343" t="s">
        <v>152</v>
      </c>
      <c r="H343" t="s">
        <v>153</v>
      </c>
      <c r="I343" t="s">
        <v>154</v>
      </c>
      <c r="J343">
        <v>19981119</v>
      </c>
    </row>
    <row r="344" spans="1:10">
      <c r="A344" t="s">
        <v>2362</v>
      </c>
      <c r="B344">
        <v>860</v>
      </c>
      <c r="C344" t="s">
        <v>2363</v>
      </c>
      <c r="D344" t="s">
        <v>164</v>
      </c>
      <c r="E344" t="s">
        <v>12</v>
      </c>
      <c r="F344" t="s">
        <v>2364</v>
      </c>
      <c r="G344" t="s">
        <v>152</v>
      </c>
      <c r="H344" t="s">
        <v>153</v>
      </c>
      <c r="I344" t="s">
        <v>154</v>
      </c>
      <c r="J344">
        <v>19981104</v>
      </c>
    </row>
    <row r="345" spans="1:10">
      <c r="A345" t="s">
        <v>6687</v>
      </c>
      <c r="B345">
        <v>861</v>
      </c>
      <c r="C345" t="s">
        <v>6688</v>
      </c>
      <c r="D345" t="s">
        <v>223</v>
      </c>
      <c r="E345" t="s">
        <v>114</v>
      </c>
      <c r="F345" t="s">
        <v>6689</v>
      </c>
      <c r="G345" t="s">
        <v>152</v>
      </c>
      <c r="H345" t="s">
        <v>153</v>
      </c>
      <c r="I345" t="s">
        <v>154</v>
      </c>
      <c r="J345">
        <v>19981028</v>
      </c>
    </row>
    <row r="346" spans="1:10">
      <c r="A346" t="s">
        <v>3475</v>
      </c>
      <c r="B346">
        <v>862</v>
      </c>
      <c r="C346" t="s">
        <v>3476</v>
      </c>
      <c r="D346" t="s">
        <v>332</v>
      </c>
      <c r="E346" t="s">
        <v>82</v>
      </c>
      <c r="F346" t="s">
        <v>3477</v>
      </c>
      <c r="G346" t="s">
        <v>152</v>
      </c>
      <c r="H346" t="s">
        <v>153</v>
      </c>
      <c r="I346" t="s">
        <v>154</v>
      </c>
      <c r="J346">
        <v>19980915</v>
      </c>
    </row>
    <row r="347" spans="1:10">
      <c r="A347" t="s">
        <v>4212</v>
      </c>
      <c r="B347">
        <v>863</v>
      </c>
      <c r="C347" t="s">
        <v>4213</v>
      </c>
      <c r="D347" t="s">
        <v>172</v>
      </c>
      <c r="E347" t="s">
        <v>79</v>
      </c>
      <c r="F347" t="s">
        <v>4214</v>
      </c>
      <c r="G347" t="s">
        <v>152</v>
      </c>
      <c r="H347" t="s">
        <v>153</v>
      </c>
      <c r="I347" t="s">
        <v>154</v>
      </c>
      <c r="J347">
        <v>19970925</v>
      </c>
    </row>
    <row r="348" spans="1:10">
      <c r="A348" t="s">
        <v>1834</v>
      </c>
      <c r="B348">
        <v>868</v>
      </c>
      <c r="C348" t="s">
        <v>1835</v>
      </c>
      <c r="D348" t="s">
        <v>160</v>
      </c>
      <c r="E348" t="s">
        <v>36</v>
      </c>
      <c r="F348" t="s">
        <v>1836</v>
      </c>
      <c r="G348" t="s">
        <v>152</v>
      </c>
      <c r="H348" t="s">
        <v>153</v>
      </c>
      <c r="I348" t="s">
        <v>154</v>
      </c>
      <c r="J348">
        <v>19970725</v>
      </c>
    </row>
    <row r="349" spans="1:10">
      <c r="A349" t="s">
        <v>2365</v>
      </c>
      <c r="B349">
        <v>869</v>
      </c>
      <c r="C349" t="s">
        <v>2366</v>
      </c>
      <c r="D349" t="s">
        <v>198</v>
      </c>
      <c r="E349" t="s">
        <v>44</v>
      </c>
      <c r="F349" t="s">
        <v>2367</v>
      </c>
      <c r="G349" t="s">
        <v>152</v>
      </c>
      <c r="H349" t="s">
        <v>153</v>
      </c>
      <c r="I349" t="s">
        <v>154</v>
      </c>
      <c r="J349">
        <v>20001026</v>
      </c>
    </row>
    <row r="350" spans="1:10">
      <c r="A350" t="s">
        <v>3478</v>
      </c>
      <c r="B350">
        <v>875</v>
      </c>
      <c r="C350" t="s">
        <v>3479</v>
      </c>
      <c r="D350" t="s">
        <v>312</v>
      </c>
      <c r="E350" t="s">
        <v>77</v>
      </c>
      <c r="F350" t="s">
        <v>3480</v>
      </c>
      <c r="G350" t="s">
        <v>152</v>
      </c>
      <c r="H350" t="s">
        <v>153</v>
      </c>
      <c r="I350" t="s">
        <v>154</v>
      </c>
      <c r="J350">
        <v>20020926</v>
      </c>
    </row>
    <row r="351" spans="1:10">
      <c r="A351" t="s">
        <v>217</v>
      </c>
      <c r="B351">
        <v>876</v>
      </c>
      <c r="C351" t="s">
        <v>218</v>
      </c>
      <c r="D351" t="s">
        <v>219</v>
      </c>
      <c r="E351" t="s">
        <v>39</v>
      </c>
      <c r="F351" t="s">
        <v>220</v>
      </c>
      <c r="G351" t="s">
        <v>152</v>
      </c>
      <c r="H351" t="s">
        <v>153</v>
      </c>
      <c r="I351" t="s">
        <v>154</v>
      </c>
      <c r="J351">
        <v>19980311</v>
      </c>
    </row>
    <row r="352" spans="1:10">
      <c r="A352" t="s">
        <v>5079</v>
      </c>
      <c r="B352">
        <v>877</v>
      </c>
      <c r="C352" t="s">
        <v>5080</v>
      </c>
      <c r="D352" t="s">
        <v>202</v>
      </c>
      <c r="E352" t="s">
        <v>75</v>
      </c>
      <c r="F352" t="s">
        <v>5081</v>
      </c>
      <c r="G352" t="s">
        <v>152</v>
      </c>
      <c r="H352" t="s">
        <v>153</v>
      </c>
      <c r="I352" t="s">
        <v>154</v>
      </c>
      <c r="J352">
        <v>19990107</v>
      </c>
    </row>
    <row r="353" spans="1:10">
      <c r="A353" t="s">
        <v>1012</v>
      </c>
      <c r="B353">
        <v>878</v>
      </c>
      <c r="C353" t="s">
        <v>1013</v>
      </c>
      <c r="D353" t="s">
        <v>184</v>
      </c>
      <c r="E353" t="s">
        <v>26</v>
      </c>
      <c r="F353" t="s">
        <v>1014</v>
      </c>
      <c r="G353" t="s">
        <v>152</v>
      </c>
      <c r="H353" t="s">
        <v>153</v>
      </c>
      <c r="I353" t="s">
        <v>154</v>
      </c>
      <c r="J353">
        <v>19980602</v>
      </c>
    </row>
    <row r="354" spans="1:10">
      <c r="A354" t="s">
        <v>5472</v>
      </c>
      <c r="B354">
        <v>880</v>
      </c>
      <c r="C354" t="s">
        <v>5473</v>
      </c>
      <c r="D354" t="s">
        <v>198</v>
      </c>
      <c r="E354" t="s">
        <v>122</v>
      </c>
      <c r="F354" t="s">
        <v>5474</v>
      </c>
      <c r="G354" t="s">
        <v>152</v>
      </c>
      <c r="H354" t="s">
        <v>153</v>
      </c>
      <c r="I354" t="s">
        <v>154</v>
      </c>
      <c r="J354">
        <v>19980402</v>
      </c>
    </row>
    <row r="355" spans="1:10">
      <c r="A355" t="s">
        <v>5010</v>
      </c>
      <c r="B355">
        <v>881</v>
      </c>
      <c r="C355" t="s">
        <v>5011</v>
      </c>
      <c r="D355" t="s">
        <v>236</v>
      </c>
      <c r="E355" t="s">
        <v>74</v>
      </c>
      <c r="F355" t="s">
        <v>5012</v>
      </c>
      <c r="G355" t="s">
        <v>152</v>
      </c>
      <c r="H355" t="s">
        <v>153</v>
      </c>
      <c r="I355" t="s">
        <v>154</v>
      </c>
      <c r="J355">
        <v>19980902</v>
      </c>
    </row>
    <row r="356" spans="1:10">
      <c r="A356" t="s">
        <v>6690</v>
      </c>
      <c r="B356">
        <v>882</v>
      </c>
      <c r="C356" t="s">
        <v>6691</v>
      </c>
      <c r="D356" t="s">
        <v>164</v>
      </c>
      <c r="E356" t="s">
        <v>114</v>
      </c>
      <c r="F356" t="s">
        <v>6692</v>
      </c>
      <c r="G356" t="s">
        <v>152</v>
      </c>
      <c r="H356" t="s">
        <v>153</v>
      </c>
      <c r="I356" t="s">
        <v>154</v>
      </c>
      <c r="J356">
        <v>19980616</v>
      </c>
    </row>
    <row r="357" spans="1:10">
      <c r="A357" t="s">
        <v>3481</v>
      </c>
      <c r="B357">
        <v>883</v>
      </c>
      <c r="C357" t="s">
        <v>3482</v>
      </c>
      <c r="D357" t="s">
        <v>316</v>
      </c>
      <c r="E357" t="s">
        <v>77</v>
      </c>
      <c r="F357" t="s">
        <v>3483</v>
      </c>
      <c r="G357" t="s">
        <v>152</v>
      </c>
      <c r="H357" t="s">
        <v>153</v>
      </c>
      <c r="I357" t="s">
        <v>154</v>
      </c>
      <c r="J357">
        <v>19980519</v>
      </c>
    </row>
    <row r="358" spans="1:10">
      <c r="A358" t="s">
        <v>6561</v>
      </c>
      <c r="B358">
        <v>885</v>
      </c>
      <c r="C358" t="s">
        <v>6562</v>
      </c>
      <c r="D358" t="s">
        <v>292</v>
      </c>
      <c r="E358" t="s">
        <v>119</v>
      </c>
      <c r="F358" t="s">
        <v>6563</v>
      </c>
      <c r="G358" t="s">
        <v>152</v>
      </c>
      <c r="H358" t="s">
        <v>153</v>
      </c>
      <c r="I358" t="s">
        <v>154</v>
      </c>
      <c r="J358">
        <v>19990319</v>
      </c>
    </row>
    <row r="359" spans="1:10">
      <c r="A359" t="s">
        <v>4215</v>
      </c>
      <c r="B359">
        <v>886</v>
      </c>
      <c r="C359" t="s">
        <v>4216</v>
      </c>
      <c r="D359" t="s">
        <v>250</v>
      </c>
      <c r="E359" t="s">
        <v>79</v>
      </c>
      <c r="F359" t="s">
        <v>4217</v>
      </c>
      <c r="G359" t="s">
        <v>152</v>
      </c>
      <c r="H359" t="s">
        <v>153</v>
      </c>
      <c r="I359" t="s">
        <v>154</v>
      </c>
      <c r="J359">
        <v>19980123</v>
      </c>
    </row>
    <row r="360" spans="1:10">
      <c r="A360" t="s">
        <v>1837</v>
      </c>
      <c r="B360">
        <v>887</v>
      </c>
      <c r="C360" t="s">
        <v>1838</v>
      </c>
      <c r="D360" t="s">
        <v>160</v>
      </c>
      <c r="E360" t="s">
        <v>28</v>
      </c>
      <c r="F360" t="s">
        <v>1839</v>
      </c>
      <c r="G360" t="s">
        <v>152</v>
      </c>
      <c r="H360" t="s">
        <v>153</v>
      </c>
      <c r="I360" t="s">
        <v>154</v>
      </c>
      <c r="J360">
        <v>19981203</v>
      </c>
    </row>
    <row r="361" spans="1:10">
      <c r="A361" t="s">
        <v>4629</v>
      </c>
      <c r="B361">
        <v>888</v>
      </c>
      <c r="C361" t="s">
        <v>4630</v>
      </c>
      <c r="D361" t="s">
        <v>219</v>
      </c>
      <c r="E361" t="s">
        <v>80</v>
      </c>
      <c r="F361" t="s">
        <v>4631</v>
      </c>
      <c r="G361" t="s">
        <v>152</v>
      </c>
      <c r="H361" t="s">
        <v>153</v>
      </c>
      <c r="I361" t="s">
        <v>154</v>
      </c>
      <c r="J361">
        <v>19971021</v>
      </c>
    </row>
    <row r="362" spans="1:10">
      <c r="A362" t="s">
        <v>6243</v>
      </c>
      <c r="B362">
        <v>889</v>
      </c>
      <c r="C362" t="s">
        <v>6244</v>
      </c>
      <c r="D362" t="s">
        <v>279</v>
      </c>
      <c r="E362" t="s">
        <v>125</v>
      </c>
      <c r="F362" t="s">
        <v>6245</v>
      </c>
      <c r="G362" t="s">
        <v>152</v>
      </c>
      <c r="H362" t="s">
        <v>153</v>
      </c>
      <c r="I362" t="s">
        <v>154</v>
      </c>
      <c r="J362">
        <v>19971218</v>
      </c>
    </row>
    <row r="363" spans="1:10">
      <c r="A363" t="s">
        <v>854</v>
      </c>
      <c r="B363">
        <v>890</v>
      </c>
      <c r="C363" t="s">
        <v>855</v>
      </c>
      <c r="D363" t="s">
        <v>212</v>
      </c>
      <c r="E363" t="s">
        <v>34</v>
      </c>
      <c r="F363" t="s">
        <v>856</v>
      </c>
      <c r="G363" t="s">
        <v>152</v>
      </c>
      <c r="H363" t="s">
        <v>153</v>
      </c>
      <c r="I363" t="s">
        <v>154</v>
      </c>
      <c r="J363">
        <v>19990119</v>
      </c>
    </row>
    <row r="364" spans="1:10">
      <c r="A364" t="s">
        <v>6039</v>
      </c>
      <c r="B364">
        <v>892</v>
      </c>
      <c r="C364" t="s">
        <v>6040</v>
      </c>
      <c r="D364" t="s">
        <v>937</v>
      </c>
      <c r="E364" t="s">
        <v>124</v>
      </c>
      <c r="F364" t="s">
        <v>6041</v>
      </c>
      <c r="G364" t="s">
        <v>152</v>
      </c>
      <c r="H364" t="s">
        <v>153</v>
      </c>
      <c r="I364" t="s">
        <v>154</v>
      </c>
      <c r="J364">
        <v>19990115</v>
      </c>
    </row>
    <row r="365" spans="1:10">
      <c r="A365" t="s">
        <v>377</v>
      </c>
      <c r="B365">
        <v>893</v>
      </c>
      <c r="C365" t="s">
        <v>378</v>
      </c>
      <c r="D365" t="s">
        <v>223</v>
      </c>
      <c r="E365" t="s">
        <v>47</v>
      </c>
      <c r="F365" t="s">
        <v>379</v>
      </c>
      <c r="G365" t="s">
        <v>152</v>
      </c>
      <c r="H365" t="s">
        <v>153</v>
      </c>
      <c r="I365" t="s">
        <v>154</v>
      </c>
      <c r="J365">
        <v>19981224</v>
      </c>
    </row>
    <row r="366" spans="1:10">
      <c r="A366" t="s">
        <v>2368</v>
      </c>
      <c r="B366">
        <v>895</v>
      </c>
      <c r="C366" t="s">
        <v>2369</v>
      </c>
      <c r="D366" t="s">
        <v>292</v>
      </c>
      <c r="E366" t="s">
        <v>19</v>
      </c>
      <c r="F366" t="s">
        <v>2370</v>
      </c>
      <c r="G366" t="s">
        <v>152</v>
      </c>
      <c r="H366" t="s">
        <v>153</v>
      </c>
      <c r="I366" t="s">
        <v>154</v>
      </c>
      <c r="J366">
        <v>19981210</v>
      </c>
    </row>
    <row r="367" spans="1:10">
      <c r="A367" t="s">
        <v>4218</v>
      </c>
      <c r="B367">
        <v>897</v>
      </c>
      <c r="C367" t="s">
        <v>4219</v>
      </c>
      <c r="D367" t="s">
        <v>576</v>
      </c>
      <c r="E367" t="s">
        <v>79</v>
      </c>
      <c r="F367" t="s">
        <v>4220</v>
      </c>
      <c r="G367" t="s">
        <v>152</v>
      </c>
      <c r="H367" t="s">
        <v>153</v>
      </c>
      <c r="I367" t="s">
        <v>154</v>
      </c>
      <c r="J367">
        <v>19990422</v>
      </c>
    </row>
    <row r="368" spans="1:10">
      <c r="A368" t="s">
        <v>857</v>
      </c>
      <c r="B368">
        <v>898</v>
      </c>
      <c r="C368" t="s">
        <v>858</v>
      </c>
      <c r="D368" t="s">
        <v>236</v>
      </c>
      <c r="E368" t="s">
        <v>25</v>
      </c>
      <c r="F368" t="s">
        <v>859</v>
      </c>
      <c r="G368" t="s">
        <v>152</v>
      </c>
      <c r="H368" t="s">
        <v>153</v>
      </c>
      <c r="I368" t="s">
        <v>154</v>
      </c>
      <c r="J368">
        <v>19971225</v>
      </c>
    </row>
    <row r="369" spans="1:10">
      <c r="A369" t="s">
        <v>3484</v>
      </c>
      <c r="B369">
        <v>899</v>
      </c>
      <c r="C369" t="s">
        <v>3485</v>
      </c>
      <c r="D369" t="s">
        <v>406</v>
      </c>
      <c r="E369" t="s">
        <v>77</v>
      </c>
      <c r="F369" t="s">
        <v>3486</v>
      </c>
      <c r="G369" t="s">
        <v>152</v>
      </c>
      <c r="H369" t="s">
        <v>153</v>
      </c>
      <c r="I369" t="s">
        <v>154</v>
      </c>
      <c r="J369">
        <v>19971126</v>
      </c>
    </row>
    <row r="370" spans="1:10">
      <c r="A370" t="s">
        <v>3775</v>
      </c>
      <c r="B370">
        <v>900</v>
      </c>
      <c r="C370" t="s">
        <v>3776</v>
      </c>
      <c r="D370" t="s">
        <v>168</v>
      </c>
      <c r="E370" t="s">
        <v>98</v>
      </c>
      <c r="F370" t="s">
        <v>3777</v>
      </c>
      <c r="G370" t="s">
        <v>152</v>
      </c>
      <c r="H370" t="s">
        <v>153</v>
      </c>
      <c r="I370" t="s">
        <v>154</v>
      </c>
      <c r="J370">
        <v>19990128</v>
      </c>
    </row>
    <row r="371" spans="1:10">
      <c r="A371" t="s">
        <v>1840</v>
      </c>
      <c r="B371">
        <v>901</v>
      </c>
      <c r="C371" t="s">
        <v>1841</v>
      </c>
      <c r="D371" t="s">
        <v>194</v>
      </c>
      <c r="E371" t="s">
        <v>28</v>
      </c>
      <c r="F371" t="s">
        <v>1842</v>
      </c>
      <c r="G371" t="s">
        <v>152</v>
      </c>
      <c r="H371" t="s">
        <v>153</v>
      </c>
      <c r="I371" t="s">
        <v>154</v>
      </c>
      <c r="J371">
        <v>19990401</v>
      </c>
    </row>
    <row r="372" spans="1:10">
      <c r="A372" t="s">
        <v>380</v>
      </c>
      <c r="B372">
        <v>902</v>
      </c>
      <c r="C372" t="s">
        <v>381</v>
      </c>
      <c r="D372" t="s">
        <v>316</v>
      </c>
      <c r="E372" t="s">
        <v>47</v>
      </c>
      <c r="F372" t="s">
        <v>382</v>
      </c>
      <c r="G372" t="s">
        <v>152</v>
      </c>
      <c r="H372" t="s">
        <v>153</v>
      </c>
      <c r="I372" t="s">
        <v>154</v>
      </c>
      <c r="J372">
        <v>19990408</v>
      </c>
    </row>
    <row r="373" spans="1:10">
      <c r="A373" t="s">
        <v>1843</v>
      </c>
      <c r="B373">
        <v>903</v>
      </c>
      <c r="C373" t="s">
        <v>1844</v>
      </c>
      <c r="D373" t="s">
        <v>184</v>
      </c>
      <c r="E373" t="s">
        <v>28</v>
      </c>
      <c r="F373" t="s">
        <v>1845</v>
      </c>
      <c r="G373" t="s">
        <v>152</v>
      </c>
      <c r="H373" t="s">
        <v>153</v>
      </c>
      <c r="I373" t="s">
        <v>154</v>
      </c>
      <c r="J373">
        <v>19990415</v>
      </c>
    </row>
    <row r="374" spans="1:10">
      <c r="A374" t="s">
        <v>3778</v>
      </c>
      <c r="B374">
        <v>905</v>
      </c>
      <c r="C374" t="s">
        <v>3779</v>
      </c>
      <c r="D374" t="s">
        <v>150</v>
      </c>
      <c r="E374" t="s">
        <v>83</v>
      </c>
      <c r="F374" t="s">
        <v>3780</v>
      </c>
      <c r="G374" t="s">
        <v>152</v>
      </c>
      <c r="H374" t="s">
        <v>153</v>
      </c>
      <c r="I374" t="s">
        <v>154</v>
      </c>
      <c r="J374">
        <v>19990429</v>
      </c>
    </row>
    <row r="375" spans="1:10">
      <c r="A375" t="s">
        <v>3781</v>
      </c>
      <c r="B375">
        <v>906</v>
      </c>
      <c r="C375" t="s">
        <v>3782</v>
      </c>
      <c r="D375" t="s">
        <v>423</v>
      </c>
      <c r="E375" t="s">
        <v>50</v>
      </c>
      <c r="F375" t="s">
        <v>3783</v>
      </c>
      <c r="G375" t="s">
        <v>152</v>
      </c>
      <c r="H375" t="s">
        <v>153</v>
      </c>
      <c r="I375" t="s">
        <v>154</v>
      </c>
      <c r="J375">
        <v>19990707</v>
      </c>
    </row>
    <row r="376" spans="1:10">
      <c r="A376" t="s">
        <v>2980</v>
      </c>
      <c r="B376">
        <v>908</v>
      </c>
      <c r="C376" t="s">
        <v>2981</v>
      </c>
      <c r="D376" t="s">
        <v>168</v>
      </c>
      <c r="E376" t="s">
        <v>81</v>
      </c>
      <c r="F376" t="s">
        <v>2982</v>
      </c>
      <c r="G376" t="s">
        <v>152</v>
      </c>
      <c r="H376" t="s">
        <v>153</v>
      </c>
      <c r="I376" t="s">
        <v>154</v>
      </c>
      <c r="J376">
        <v>19990203</v>
      </c>
    </row>
    <row r="377" spans="1:10">
      <c r="A377" t="s">
        <v>5013</v>
      </c>
      <c r="B377">
        <v>909</v>
      </c>
      <c r="C377" t="s">
        <v>5014</v>
      </c>
      <c r="D377" t="s">
        <v>423</v>
      </c>
      <c r="E377" t="s">
        <v>74</v>
      </c>
      <c r="F377" t="s">
        <v>5015</v>
      </c>
      <c r="G377" t="s">
        <v>152</v>
      </c>
      <c r="H377" t="s">
        <v>153</v>
      </c>
      <c r="I377" t="s">
        <v>154</v>
      </c>
      <c r="J377">
        <v>19990507</v>
      </c>
    </row>
    <row r="378" spans="1:10">
      <c r="A378" t="s">
        <v>2731</v>
      </c>
      <c r="B378">
        <v>910</v>
      </c>
      <c r="C378" t="s">
        <v>2732</v>
      </c>
      <c r="D378" t="s">
        <v>212</v>
      </c>
      <c r="E378" t="s">
        <v>21</v>
      </c>
      <c r="F378" t="s">
        <v>2733</v>
      </c>
      <c r="G378" t="s">
        <v>152</v>
      </c>
      <c r="H378" t="s">
        <v>153</v>
      </c>
      <c r="I378" t="s">
        <v>154</v>
      </c>
      <c r="J378">
        <v>19990630</v>
      </c>
    </row>
    <row r="379" spans="1:10">
      <c r="A379" t="s">
        <v>2371</v>
      </c>
      <c r="B379">
        <v>911</v>
      </c>
      <c r="C379" t="s">
        <v>2372</v>
      </c>
      <c r="D379" t="s">
        <v>345</v>
      </c>
      <c r="E379" t="s">
        <v>19</v>
      </c>
      <c r="F379" t="s">
        <v>2373</v>
      </c>
      <c r="G379" t="s">
        <v>152</v>
      </c>
      <c r="H379" t="s">
        <v>153</v>
      </c>
      <c r="I379" t="s">
        <v>154</v>
      </c>
      <c r="J379">
        <v>19990527</v>
      </c>
    </row>
    <row r="380" spans="1:10">
      <c r="A380" t="s">
        <v>383</v>
      </c>
      <c r="B380">
        <v>912</v>
      </c>
      <c r="C380" t="s">
        <v>384</v>
      </c>
      <c r="D380" t="s">
        <v>219</v>
      </c>
      <c r="E380" t="s">
        <v>47</v>
      </c>
      <c r="F380" t="s">
        <v>385</v>
      </c>
      <c r="G380" t="s">
        <v>152</v>
      </c>
      <c r="H380" t="s">
        <v>153</v>
      </c>
      <c r="I380" t="s">
        <v>154</v>
      </c>
      <c r="J380">
        <v>19990603</v>
      </c>
    </row>
    <row r="381" spans="1:10">
      <c r="A381" t="s">
        <v>1846</v>
      </c>
      <c r="B381">
        <v>913</v>
      </c>
      <c r="C381" t="s">
        <v>1847</v>
      </c>
      <c r="D381" t="s">
        <v>423</v>
      </c>
      <c r="E381" t="s">
        <v>43</v>
      </c>
      <c r="F381" t="s">
        <v>1848</v>
      </c>
      <c r="G381" t="s">
        <v>152</v>
      </c>
      <c r="H381" t="s">
        <v>153</v>
      </c>
      <c r="I381" t="s">
        <v>154</v>
      </c>
      <c r="J381">
        <v>19990514</v>
      </c>
    </row>
    <row r="382" spans="1:10">
      <c r="A382" t="s">
        <v>3013</v>
      </c>
      <c r="B382">
        <v>915</v>
      </c>
      <c r="C382" t="s">
        <v>3014</v>
      </c>
      <c r="D382" t="s">
        <v>198</v>
      </c>
      <c r="E382" t="s">
        <v>81</v>
      </c>
      <c r="F382" t="s">
        <v>3015</v>
      </c>
      <c r="G382" t="s">
        <v>152</v>
      </c>
      <c r="H382" t="s">
        <v>153</v>
      </c>
      <c r="I382" t="s">
        <v>154</v>
      </c>
      <c r="J382">
        <v>19990609</v>
      </c>
    </row>
    <row r="383" spans="1:10">
      <c r="A383" t="s">
        <v>6042</v>
      </c>
      <c r="B383">
        <v>917</v>
      </c>
      <c r="C383" t="s">
        <v>6043</v>
      </c>
      <c r="D383" t="s">
        <v>168</v>
      </c>
      <c r="E383" t="s">
        <v>124</v>
      </c>
      <c r="F383" t="s">
        <v>6044</v>
      </c>
      <c r="G383" t="s">
        <v>152</v>
      </c>
      <c r="H383" t="s">
        <v>153</v>
      </c>
      <c r="I383" t="s">
        <v>154</v>
      </c>
      <c r="J383">
        <v>19990325</v>
      </c>
    </row>
    <row r="384" spans="1:10">
      <c r="A384" t="s">
        <v>4221</v>
      </c>
      <c r="B384">
        <v>918</v>
      </c>
      <c r="C384" t="s">
        <v>4222</v>
      </c>
      <c r="D384" t="s">
        <v>423</v>
      </c>
      <c r="E384" t="s">
        <v>84</v>
      </c>
      <c r="F384" t="s">
        <v>4223</v>
      </c>
      <c r="G384" t="s">
        <v>152</v>
      </c>
      <c r="H384" t="s">
        <v>153</v>
      </c>
      <c r="I384" t="s">
        <v>154</v>
      </c>
      <c r="J384">
        <v>19990720</v>
      </c>
    </row>
    <row r="385" spans="1:10">
      <c r="A385" t="s">
        <v>2986</v>
      </c>
      <c r="B385">
        <v>919</v>
      </c>
      <c r="C385" t="s">
        <v>2987</v>
      </c>
      <c r="D385" t="s">
        <v>212</v>
      </c>
      <c r="E385" t="s">
        <v>81</v>
      </c>
      <c r="F385" t="s">
        <v>2988</v>
      </c>
      <c r="G385" t="s">
        <v>152</v>
      </c>
      <c r="H385" t="s">
        <v>153</v>
      </c>
      <c r="I385" t="s">
        <v>154</v>
      </c>
      <c r="J385">
        <v>19991118</v>
      </c>
    </row>
    <row r="386" spans="1:10">
      <c r="A386" t="s">
        <v>6564</v>
      </c>
      <c r="B386">
        <v>920</v>
      </c>
      <c r="C386" t="s">
        <v>6565</v>
      </c>
      <c r="D386" t="s">
        <v>463</v>
      </c>
      <c r="E386" t="s">
        <v>119</v>
      </c>
      <c r="F386" t="s">
        <v>6566</v>
      </c>
      <c r="G386" t="s">
        <v>152</v>
      </c>
      <c r="H386" t="s">
        <v>153</v>
      </c>
      <c r="I386" t="s">
        <v>154</v>
      </c>
      <c r="J386">
        <v>19990616</v>
      </c>
    </row>
    <row r="387" spans="1:10">
      <c r="A387" t="s">
        <v>2236</v>
      </c>
      <c r="B387">
        <v>921</v>
      </c>
      <c r="C387" t="s">
        <v>2237</v>
      </c>
      <c r="D387" t="s">
        <v>223</v>
      </c>
      <c r="E387" t="s">
        <v>8</v>
      </c>
      <c r="F387" t="s">
        <v>2238</v>
      </c>
      <c r="G387" t="s">
        <v>152</v>
      </c>
      <c r="H387" t="s">
        <v>153</v>
      </c>
      <c r="I387" t="s">
        <v>154</v>
      </c>
      <c r="J387">
        <v>19990713</v>
      </c>
    </row>
    <row r="388" spans="1:10">
      <c r="A388" t="s">
        <v>1291</v>
      </c>
      <c r="B388">
        <v>922</v>
      </c>
      <c r="C388" t="s">
        <v>1292</v>
      </c>
      <c r="D388" t="s">
        <v>194</v>
      </c>
      <c r="E388" t="s">
        <v>17</v>
      </c>
      <c r="F388" t="s">
        <v>1293</v>
      </c>
      <c r="G388" t="s">
        <v>152</v>
      </c>
      <c r="H388" t="s">
        <v>153</v>
      </c>
      <c r="I388" t="s">
        <v>154</v>
      </c>
      <c r="J388">
        <v>19990618</v>
      </c>
    </row>
    <row r="389" spans="1:10">
      <c r="A389" t="s">
        <v>860</v>
      </c>
      <c r="B389">
        <v>923</v>
      </c>
      <c r="C389" t="s">
        <v>861</v>
      </c>
      <c r="D389" t="s">
        <v>279</v>
      </c>
      <c r="E389" t="s">
        <v>25</v>
      </c>
      <c r="F389" t="s">
        <v>862</v>
      </c>
      <c r="G389" t="s">
        <v>152</v>
      </c>
      <c r="H389" t="s">
        <v>153</v>
      </c>
      <c r="I389" t="s">
        <v>154</v>
      </c>
      <c r="J389">
        <v>19990714</v>
      </c>
    </row>
    <row r="390" spans="1:10">
      <c r="A390" t="s">
        <v>5475</v>
      </c>
      <c r="B390">
        <v>925</v>
      </c>
      <c r="C390" t="s">
        <v>5476</v>
      </c>
      <c r="D390" t="s">
        <v>423</v>
      </c>
      <c r="E390" t="s">
        <v>128</v>
      </c>
      <c r="F390" t="s">
        <v>5477</v>
      </c>
      <c r="G390" t="s">
        <v>152</v>
      </c>
      <c r="H390" t="s">
        <v>153</v>
      </c>
      <c r="I390" t="s">
        <v>154</v>
      </c>
      <c r="J390">
        <v>19990611</v>
      </c>
    </row>
    <row r="391" spans="1:10">
      <c r="A391" t="s">
        <v>4224</v>
      </c>
      <c r="B391">
        <v>926</v>
      </c>
      <c r="C391" t="s">
        <v>4225</v>
      </c>
      <c r="D391" t="s">
        <v>316</v>
      </c>
      <c r="E391" t="s">
        <v>79</v>
      </c>
      <c r="F391" t="s">
        <v>4226</v>
      </c>
      <c r="G391" t="s">
        <v>152</v>
      </c>
      <c r="H391" t="s">
        <v>153</v>
      </c>
      <c r="I391" t="s">
        <v>154</v>
      </c>
      <c r="J391">
        <v>19990618</v>
      </c>
    </row>
    <row r="392" spans="1:10">
      <c r="A392" t="s">
        <v>3784</v>
      </c>
      <c r="B392">
        <v>927</v>
      </c>
      <c r="C392" t="s">
        <v>3785</v>
      </c>
      <c r="D392" t="s">
        <v>576</v>
      </c>
      <c r="E392" t="s">
        <v>50</v>
      </c>
      <c r="F392" t="s">
        <v>3786</v>
      </c>
      <c r="G392" t="s">
        <v>152</v>
      </c>
      <c r="H392" t="s">
        <v>153</v>
      </c>
      <c r="I392" t="s">
        <v>154</v>
      </c>
      <c r="J392">
        <v>19990727</v>
      </c>
    </row>
    <row r="393" spans="1:10">
      <c r="A393" t="s">
        <v>5232</v>
      </c>
      <c r="B393">
        <v>928</v>
      </c>
      <c r="C393" t="s">
        <v>5233</v>
      </c>
      <c r="D393" t="s">
        <v>312</v>
      </c>
      <c r="E393" t="s">
        <v>121</v>
      </c>
      <c r="F393" t="s">
        <v>5234</v>
      </c>
      <c r="G393" t="s">
        <v>152</v>
      </c>
      <c r="H393" t="s">
        <v>153</v>
      </c>
      <c r="I393" t="s">
        <v>154</v>
      </c>
      <c r="J393">
        <v>19990312</v>
      </c>
    </row>
    <row r="394" spans="1:10">
      <c r="A394" t="s">
        <v>2374</v>
      </c>
      <c r="B394">
        <v>929</v>
      </c>
      <c r="C394" t="s">
        <v>2375</v>
      </c>
      <c r="D394" t="s">
        <v>177</v>
      </c>
      <c r="E394" t="s">
        <v>49</v>
      </c>
      <c r="F394" t="s">
        <v>2376</v>
      </c>
      <c r="G394" t="s">
        <v>152</v>
      </c>
      <c r="H394" t="s">
        <v>153</v>
      </c>
      <c r="I394" t="s">
        <v>154</v>
      </c>
      <c r="J394">
        <v>19990623</v>
      </c>
    </row>
    <row r="395" spans="1:10">
      <c r="A395" t="s">
        <v>252</v>
      </c>
      <c r="B395">
        <v>930</v>
      </c>
      <c r="C395" t="s">
        <v>253</v>
      </c>
      <c r="D395" t="s">
        <v>160</v>
      </c>
      <c r="E395" t="s">
        <v>46</v>
      </c>
      <c r="F395" t="s">
        <v>254</v>
      </c>
      <c r="G395" t="s">
        <v>152</v>
      </c>
      <c r="H395" t="s">
        <v>153</v>
      </c>
      <c r="I395" t="s">
        <v>154</v>
      </c>
      <c r="J395">
        <v>19990712</v>
      </c>
    </row>
    <row r="396" spans="1:10">
      <c r="A396" t="s">
        <v>2944</v>
      </c>
      <c r="B396">
        <v>931</v>
      </c>
      <c r="C396" t="s">
        <v>2945</v>
      </c>
      <c r="D396" t="s">
        <v>164</v>
      </c>
      <c r="E396" t="s">
        <v>81</v>
      </c>
      <c r="F396" t="s">
        <v>2946</v>
      </c>
      <c r="G396" t="s">
        <v>152</v>
      </c>
      <c r="H396" t="s">
        <v>153</v>
      </c>
      <c r="I396" t="s">
        <v>154</v>
      </c>
      <c r="J396">
        <v>19990712</v>
      </c>
    </row>
    <row r="397" spans="1:10">
      <c r="A397" t="s">
        <v>863</v>
      </c>
      <c r="B397">
        <v>932</v>
      </c>
      <c r="C397" t="s">
        <v>864</v>
      </c>
      <c r="D397" t="s">
        <v>168</v>
      </c>
      <c r="E397" t="s">
        <v>25</v>
      </c>
      <c r="F397" t="s">
        <v>865</v>
      </c>
      <c r="G397" t="s">
        <v>152</v>
      </c>
      <c r="H397" t="s">
        <v>153</v>
      </c>
      <c r="I397" t="s">
        <v>154</v>
      </c>
      <c r="J397">
        <v>19990803</v>
      </c>
    </row>
    <row r="398" spans="1:10">
      <c r="A398" t="s">
        <v>1015</v>
      </c>
      <c r="B398">
        <v>933</v>
      </c>
      <c r="C398" t="s">
        <v>1016</v>
      </c>
      <c r="D398" t="s">
        <v>292</v>
      </c>
      <c r="E398" t="s">
        <v>16</v>
      </c>
      <c r="F398" t="s">
        <v>1017</v>
      </c>
      <c r="G398" t="s">
        <v>152</v>
      </c>
      <c r="H398" t="s">
        <v>153</v>
      </c>
      <c r="I398" t="s">
        <v>154</v>
      </c>
      <c r="J398">
        <v>19990831</v>
      </c>
    </row>
    <row r="399" spans="1:10">
      <c r="A399" t="s">
        <v>5082</v>
      </c>
      <c r="B399">
        <v>935</v>
      </c>
      <c r="C399" t="s">
        <v>5083</v>
      </c>
      <c r="D399" t="s">
        <v>219</v>
      </c>
      <c r="E399" t="s">
        <v>75</v>
      </c>
      <c r="F399" t="s">
        <v>5084</v>
      </c>
      <c r="G399" t="s">
        <v>152</v>
      </c>
      <c r="H399" t="s">
        <v>153</v>
      </c>
      <c r="I399" t="s">
        <v>154</v>
      </c>
      <c r="J399">
        <v>19990824</v>
      </c>
    </row>
    <row r="400" spans="1:10">
      <c r="A400" t="s">
        <v>386</v>
      </c>
      <c r="B400">
        <v>936</v>
      </c>
      <c r="C400" t="s">
        <v>387</v>
      </c>
      <c r="D400" t="s">
        <v>212</v>
      </c>
      <c r="E400" t="s">
        <v>24</v>
      </c>
      <c r="F400" t="s">
        <v>388</v>
      </c>
      <c r="G400" t="s">
        <v>152</v>
      </c>
      <c r="H400" t="s">
        <v>153</v>
      </c>
      <c r="I400" t="s">
        <v>154</v>
      </c>
      <c r="J400">
        <v>19990810</v>
      </c>
    </row>
    <row r="401" spans="1:10">
      <c r="A401" t="s">
        <v>6363</v>
      </c>
      <c r="B401">
        <v>937</v>
      </c>
      <c r="C401" t="s">
        <v>6364</v>
      </c>
      <c r="D401" t="s">
        <v>279</v>
      </c>
      <c r="E401" t="s">
        <v>126</v>
      </c>
      <c r="F401" t="s">
        <v>6365</v>
      </c>
      <c r="G401" t="s">
        <v>152</v>
      </c>
      <c r="H401" t="s">
        <v>153</v>
      </c>
      <c r="I401" t="s">
        <v>154</v>
      </c>
      <c r="J401">
        <v>19990909</v>
      </c>
    </row>
    <row r="402" spans="1:10">
      <c r="A402" t="s">
        <v>5856</v>
      </c>
      <c r="B402">
        <v>938</v>
      </c>
      <c r="C402" t="s">
        <v>5857</v>
      </c>
      <c r="D402" t="s">
        <v>164</v>
      </c>
      <c r="E402" t="s">
        <v>123</v>
      </c>
      <c r="F402" t="s">
        <v>5858</v>
      </c>
      <c r="G402" t="s">
        <v>152</v>
      </c>
      <c r="H402" t="s">
        <v>153</v>
      </c>
      <c r="I402" t="s">
        <v>154</v>
      </c>
      <c r="J402">
        <v>19991104</v>
      </c>
    </row>
    <row r="403" spans="1:10">
      <c r="A403" t="s">
        <v>5859</v>
      </c>
      <c r="B403">
        <v>948</v>
      </c>
      <c r="C403" t="s">
        <v>5860</v>
      </c>
      <c r="D403" t="s">
        <v>184</v>
      </c>
      <c r="E403" t="s">
        <v>123</v>
      </c>
      <c r="F403" t="s">
        <v>5861</v>
      </c>
      <c r="G403" t="s">
        <v>152</v>
      </c>
      <c r="H403" t="s">
        <v>153</v>
      </c>
      <c r="I403" t="s">
        <v>154</v>
      </c>
      <c r="J403">
        <v>19991014</v>
      </c>
    </row>
    <row r="404" spans="1:10">
      <c r="A404" t="s">
        <v>389</v>
      </c>
      <c r="B404">
        <v>949</v>
      </c>
      <c r="C404" t="s">
        <v>390</v>
      </c>
      <c r="D404" t="s">
        <v>292</v>
      </c>
      <c r="E404" t="s">
        <v>24</v>
      </c>
      <c r="F404" t="s">
        <v>391</v>
      </c>
      <c r="G404" t="s">
        <v>152</v>
      </c>
      <c r="H404" t="s">
        <v>153</v>
      </c>
      <c r="I404" t="s">
        <v>154</v>
      </c>
      <c r="J404">
        <v>19991021</v>
      </c>
    </row>
    <row r="405" spans="1:10">
      <c r="A405" t="s">
        <v>3283</v>
      </c>
      <c r="B405">
        <v>950</v>
      </c>
      <c r="C405" t="s">
        <v>3284</v>
      </c>
      <c r="D405" t="s">
        <v>937</v>
      </c>
      <c r="E405" t="s">
        <v>95</v>
      </c>
      <c r="F405" t="s">
        <v>3285</v>
      </c>
      <c r="G405" t="s">
        <v>152</v>
      </c>
      <c r="H405" t="s">
        <v>153</v>
      </c>
      <c r="I405" t="s">
        <v>154</v>
      </c>
      <c r="J405">
        <v>19990916</v>
      </c>
    </row>
    <row r="406" spans="1:10">
      <c r="A406" t="s">
        <v>1849</v>
      </c>
      <c r="B406">
        <v>951</v>
      </c>
      <c r="C406" t="s">
        <v>1850</v>
      </c>
      <c r="D406" t="s">
        <v>198</v>
      </c>
      <c r="E406" t="s">
        <v>36</v>
      </c>
      <c r="F406" t="s">
        <v>1851</v>
      </c>
      <c r="G406" t="s">
        <v>152</v>
      </c>
      <c r="H406" t="s">
        <v>153</v>
      </c>
      <c r="I406" t="s">
        <v>154</v>
      </c>
      <c r="J406">
        <v>19991125</v>
      </c>
    </row>
    <row r="407" spans="1:10">
      <c r="A407" t="s">
        <v>2971</v>
      </c>
      <c r="B407">
        <v>952</v>
      </c>
      <c r="C407" t="s">
        <v>2972</v>
      </c>
      <c r="D407" t="s">
        <v>316</v>
      </c>
      <c r="E407" t="s">
        <v>81</v>
      </c>
      <c r="F407" t="s">
        <v>2973</v>
      </c>
      <c r="G407" t="s">
        <v>152</v>
      </c>
      <c r="H407" t="s">
        <v>153</v>
      </c>
      <c r="I407" t="s">
        <v>154</v>
      </c>
      <c r="J407">
        <v>19991112</v>
      </c>
    </row>
    <row r="408" spans="1:10">
      <c r="A408" t="s">
        <v>2956</v>
      </c>
      <c r="B408">
        <v>953</v>
      </c>
      <c r="C408" t="s">
        <v>2957</v>
      </c>
      <c r="D408" t="s">
        <v>345</v>
      </c>
      <c r="E408" t="s">
        <v>81</v>
      </c>
      <c r="F408" t="s">
        <v>2958</v>
      </c>
      <c r="G408" t="s">
        <v>152</v>
      </c>
      <c r="H408" t="s">
        <v>153</v>
      </c>
      <c r="I408" t="s">
        <v>154</v>
      </c>
      <c r="J408">
        <v>19991202</v>
      </c>
    </row>
    <row r="409" spans="1:10">
      <c r="A409" t="s">
        <v>392</v>
      </c>
      <c r="B409">
        <v>955</v>
      </c>
      <c r="C409" t="s">
        <v>393</v>
      </c>
      <c r="D409" t="s">
        <v>250</v>
      </c>
      <c r="E409" t="s">
        <v>33</v>
      </c>
      <c r="F409" t="s">
        <v>394</v>
      </c>
      <c r="G409" t="s">
        <v>152</v>
      </c>
      <c r="H409" t="s">
        <v>153</v>
      </c>
      <c r="I409" t="s">
        <v>154</v>
      </c>
      <c r="J409">
        <v>19991209</v>
      </c>
    </row>
    <row r="410" spans="1:10">
      <c r="A410" t="s">
        <v>1852</v>
      </c>
      <c r="B410">
        <v>957</v>
      </c>
      <c r="C410" t="s">
        <v>1853</v>
      </c>
      <c r="D410" t="s">
        <v>198</v>
      </c>
      <c r="E410" t="s">
        <v>36</v>
      </c>
      <c r="F410" t="s">
        <v>1854</v>
      </c>
      <c r="G410" t="s">
        <v>152</v>
      </c>
      <c r="H410" t="s">
        <v>153</v>
      </c>
      <c r="I410" t="s">
        <v>154</v>
      </c>
      <c r="J410">
        <v>20000113</v>
      </c>
    </row>
    <row r="411" spans="1:10">
      <c r="A411" t="s">
        <v>4833</v>
      </c>
      <c r="B411">
        <v>958</v>
      </c>
      <c r="C411" t="s">
        <v>4834</v>
      </c>
      <c r="D411" t="s">
        <v>279</v>
      </c>
      <c r="E411" t="s">
        <v>73</v>
      </c>
      <c r="F411" t="s">
        <v>4835</v>
      </c>
      <c r="G411" t="s">
        <v>152</v>
      </c>
      <c r="H411" t="s">
        <v>153</v>
      </c>
      <c r="I411" t="s">
        <v>154</v>
      </c>
      <c r="J411">
        <v>19991223</v>
      </c>
    </row>
    <row r="412" spans="1:10">
      <c r="A412" t="s">
        <v>866</v>
      </c>
      <c r="B412">
        <v>959</v>
      </c>
      <c r="C412" t="s">
        <v>867</v>
      </c>
      <c r="D412" t="s">
        <v>164</v>
      </c>
      <c r="E412" t="s">
        <v>25</v>
      </c>
      <c r="F412" t="s">
        <v>868</v>
      </c>
      <c r="G412" t="s">
        <v>152</v>
      </c>
      <c r="H412" t="s">
        <v>153</v>
      </c>
      <c r="I412" t="s">
        <v>154</v>
      </c>
      <c r="J412">
        <v>19991216</v>
      </c>
    </row>
    <row r="413" spans="1:10">
      <c r="A413" t="s">
        <v>1018</v>
      </c>
      <c r="B413">
        <v>960</v>
      </c>
      <c r="C413" t="s">
        <v>1019</v>
      </c>
      <c r="D413" t="s">
        <v>184</v>
      </c>
      <c r="E413" t="s">
        <v>41</v>
      </c>
      <c r="F413" t="s">
        <v>1020</v>
      </c>
      <c r="G413" t="s">
        <v>152</v>
      </c>
      <c r="H413" t="s">
        <v>153</v>
      </c>
      <c r="I413" t="s">
        <v>154</v>
      </c>
      <c r="J413">
        <v>20000221</v>
      </c>
    </row>
    <row r="414" spans="1:10">
      <c r="A414" t="s">
        <v>4227</v>
      </c>
      <c r="B414">
        <v>961</v>
      </c>
      <c r="C414" t="s">
        <v>4228</v>
      </c>
      <c r="D414" t="s">
        <v>212</v>
      </c>
      <c r="E414" t="s">
        <v>84</v>
      </c>
      <c r="F414" t="s">
        <v>4229</v>
      </c>
      <c r="G414" t="s">
        <v>152</v>
      </c>
      <c r="H414" t="s">
        <v>153</v>
      </c>
      <c r="I414" t="s">
        <v>154</v>
      </c>
      <c r="J414">
        <v>20000301</v>
      </c>
    </row>
    <row r="415" spans="1:10">
      <c r="A415" t="s">
        <v>1021</v>
      </c>
      <c r="B415">
        <v>962</v>
      </c>
      <c r="C415" t="s">
        <v>1022</v>
      </c>
      <c r="D415" t="s">
        <v>332</v>
      </c>
      <c r="E415" t="s">
        <v>41</v>
      </c>
      <c r="F415" t="s">
        <v>1023</v>
      </c>
      <c r="G415" t="s">
        <v>152</v>
      </c>
      <c r="H415" t="s">
        <v>153</v>
      </c>
      <c r="I415" t="s">
        <v>154</v>
      </c>
      <c r="J415">
        <v>20000120</v>
      </c>
    </row>
    <row r="416" spans="1:10">
      <c r="A416" t="s">
        <v>3052</v>
      </c>
      <c r="B416">
        <v>963</v>
      </c>
      <c r="C416" t="s">
        <v>3053</v>
      </c>
      <c r="D416" t="s">
        <v>423</v>
      </c>
      <c r="E416" t="s">
        <v>81</v>
      </c>
      <c r="F416" t="s">
        <v>3054</v>
      </c>
      <c r="G416" t="s">
        <v>152</v>
      </c>
      <c r="H416" t="s">
        <v>153</v>
      </c>
      <c r="I416" t="s">
        <v>154</v>
      </c>
      <c r="J416">
        <v>20000127</v>
      </c>
    </row>
    <row r="417" spans="1:10">
      <c r="A417" t="s">
        <v>4230</v>
      </c>
      <c r="B417">
        <v>965</v>
      </c>
      <c r="C417" t="s">
        <v>4231</v>
      </c>
      <c r="D417" t="s">
        <v>576</v>
      </c>
      <c r="E417" t="s">
        <v>79</v>
      </c>
      <c r="F417" t="s">
        <v>4232</v>
      </c>
      <c r="G417" t="s">
        <v>152</v>
      </c>
      <c r="H417" t="s">
        <v>153</v>
      </c>
      <c r="I417" t="s">
        <v>154</v>
      </c>
      <c r="J417">
        <v>20000406</v>
      </c>
    </row>
    <row r="418" spans="1:10">
      <c r="A418" t="s">
        <v>3487</v>
      </c>
      <c r="B418">
        <v>966</v>
      </c>
      <c r="C418" t="s">
        <v>3488</v>
      </c>
      <c r="D418" t="s">
        <v>316</v>
      </c>
      <c r="E418" t="s">
        <v>77</v>
      </c>
      <c r="F418" t="s">
        <v>3489</v>
      </c>
      <c r="G418" t="s">
        <v>152</v>
      </c>
      <c r="H418" t="s">
        <v>153</v>
      </c>
      <c r="I418" t="s">
        <v>154</v>
      </c>
      <c r="J418">
        <v>20000316</v>
      </c>
    </row>
    <row r="419" spans="1:10">
      <c r="A419" t="s">
        <v>6567</v>
      </c>
      <c r="B419">
        <v>967</v>
      </c>
      <c r="C419" t="s">
        <v>6568</v>
      </c>
      <c r="D419" t="s">
        <v>423</v>
      </c>
      <c r="E419" t="s">
        <v>119</v>
      </c>
      <c r="F419" t="s">
        <v>6569</v>
      </c>
      <c r="G419" t="s">
        <v>152</v>
      </c>
      <c r="H419" t="s">
        <v>153</v>
      </c>
      <c r="I419" t="s">
        <v>154</v>
      </c>
      <c r="J419">
        <v>20000330</v>
      </c>
    </row>
    <row r="420" spans="1:10">
      <c r="A420" t="s">
        <v>6474</v>
      </c>
      <c r="B420">
        <v>968</v>
      </c>
      <c r="C420" t="s">
        <v>6475</v>
      </c>
      <c r="D420" t="s">
        <v>557</v>
      </c>
      <c r="E420" t="s">
        <v>118</v>
      </c>
      <c r="F420" t="s">
        <v>6476</v>
      </c>
      <c r="G420" t="s">
        <v>152</v>
      </c>
      <c r="H420" t="s">
        <v>153</v>
      </c>
      <c r="I420" t="s">
        <v>154</v>
      </c>
      <c r="J420">
        <v>20000622</v>
      </c>
    </row>
    <row r="421" spans="1:10">
      <c r="A421" t="s">
        <v>1024</v>
      </c>
      <c r="B421">
        <v>969</v>
      </c>
      <c r="C421" t="s">
        <v>1025</v>
      </c>
      <c r="D421" t="s">
        <v>164</v>
      </c>
      <c r="E421" t="s">
        <v>41</v>
      </c>
      <c r="F421" t="s">
        <v>1026</v>
      </c>
      <c r="G421" t="s">
        <v>152</v>
      </c>
      <c r="H421" t="s">
        <v>153</v>
      </c>
      <c r="I421" t="s">
        <v>154</v>
      </c>
      <c r="J421">
        <v>20000529</v>
      </c>
    </row>
    <row r="422" spans="1:10">
      <c r="A422" t="s">
        <v>1027</v>
      </c>
      <c r="B422">
        <v>970</v>
      </c>
      <c r="C422" t="s">
        <v>1028</v>
      </c>
      <c r="D422" t="s">
        <v>164</v>
      </c>
      <c r="E422" t="s">
        <v>52</v>
      </c>
      <c r="F422" t="s">
        <v>1029</v>
      </c>
      <c r="G422" t="s">
        <v>152</v>
      </c>
      <c r="H422" t="s">
        <v>153</v>
      </c>
      <c r="I422" t="s">
        <v>154</v>
      </c>
      <c r="J422">
        <v>20000420</v>
      </c>
    </row>
    <row r="423" spans="1:10">
      <c r="A423" t="s">
        <v>5862</v>
      </c>
      <c r="B423">
        <v>971</v>
      </c>
      <c r="C423" t="s">
        <v>5863</v>
      </c>
      <c r="D423" t="s">
        <v>316</v>
      </c>
      <c r="E423" t="s">
        <v>116</v>
      </c>
      <c r="F423" t="s">
        <v>5864</v>
      </c>
      <c r="G423" t="s">
        <v>152</v>
      </c>
      <c r="H423" t="s">
        <v>153</v>
      </c>
      <c r="I423" t="s">
        <v>154</v>
      </c>
      <c r="J423">
        <v>20000427</v>
      </c>
    </row>
    <row r="424" spans="1:10">
      <c r="A424" t="s">
        <v>2377</v>
      </c>
      <c r="B424">
        <v>972</v>
      </c>
      <c r="C424" t="s">
        <v>2378</v>
      </c>
      <c r="D424" t="s">
        <v>202</v>
      </c>
      <c r="E424" t="s">
        <v>19</v>
      </c>
      <c r="F424" t="s">
        <v>2379</v>
      </c>
      <c r="G424" t="s">
        <v>152</v>
      </c>
      <c r="H424" t="s">
        <v>153</v>
      </c>
      <c r="I424" t="s">
        <v>154</v>
      </c>
      <c r="J424">
        <v>20000926</v>
      </c>
    </row>
    <row r="425" spans="1:10">
      <c r="A425" t="s">
        <v>395</v>
      </c>
      <c r="B425">
        <v>973</v>
      </c>
      <c r="C425" t="s">
        <v>396</v>
      </c>
      <c r="D425" t="s">
        <v>223</v>
      </c>
      <c r="E425" t="s">
        <v>40</v>
      </c>
      <c r="F425" t="s">
        <v>397</v>
      </c>
      <c r="G425" t="s">
        <v>152</v>
      </c>
      <c r="H425" t="s">
        <v>153</v>
      </c>
      <c r="I425" t="s">
        <v>154</v>
      </c>
      <c r="J425">
        <v>20000525</v>
      </c>
    </row>
    <row r="426" spans="1:10">
      <c r="A426" t="s">
        <v>1030</v>
      </c>
      <c r="B426">
        <v>975</v>
      </c>
      <c r="C426" t="s">
        <v>1031</v>
      </c>
      <c r="D426" t="s">
        <v>266</v>
      </c>
      <c r="E426" t="s">
        <v>48</v>
      </c>
      <c r="F426" t="s">
        <v>1032</v>
      </c>
      <c r="G426" t="s">
        <v>152</v>
      </c>
      <c r="H426" t="s">
        <v>153</v>
      </c>
      <c r="I426" t="s">
        <v>154</v>
      </c>
      <c r="J426">
        <v>20000608</v>
      </c>
    </row>
    <row r="427" spans="1:10">
      <c r="A427" t="s">
        <v>5478</v>
      </c>
      <c r="B427">
        <v>976</v>
      </c>
      <c r="C427" t="s">
        <v>5479</v>
      </c>
      <c r="D427" t="s">
        <v>223</v>
      </c>
      <c r="E427" t="s">
        <v>128</v>
      </c>
      <c r="F427" t="s">
        <v>5480</v>
      </c>
      <c r="G427" t="s">
        <v>152</v>
      </c>
      <c r="H427" t="s">
        <v>153</v>
      </c>
      <c r="I427" t="s">
        <v>154</v>
      </c>
      <c r="J427">
        <v>20000601</v>
      </c>
    </row>
    <row r="428" spans="1:10">
      <c r="A428" t="s">
        <v>1294</v>
      </c>
      <c r="B428">
        <v>977</v>
      </c>
      <c r="C428" t="s">
        <v>1295</v>
      </c>
      <c r="D428" t="s">
        <v>198</v>
      </c>
      <c r="E428" t="s">
        <v>1</v>
      </c>
      <c r="F428" t="s">
        <v>1296</v>
      </c>
      <c r="G428" t="s">
        <v>152</v>
      </c>
      <c r="H428" t="s">
        <v>153</v>
      </c>
      <c r="I428" t="s">
        <v>154</v>
      </c>
      <c r="J428">
        <v>20000608</v>
      </c>
    </row>
    <row r="429" spans="1:10">
      <c r="A429" t="s">
        <v>4632</v>
      </c>
      <c r="B429">
        <v>978</v>
      </c>
      <c r="C429" t="s">
        <v>4633</v>
      </c>
      <c r="D429" t="s">
        <v>345</v>
      </c>
      <c r="E429" t="s">
        <v>80</v>
      </c>
      <c r="F429" t="s">
        <v>4634</v>
      </c>
      <c r="G429" t="s">
        <v>152</v>
      </c>
      <c r="H429" t="s">
        <v>153</v>
      </c>
      <c r="I429" t="s">
        <v>154</v>
      </c>
      <c r="J429">
        <v>20000518</v>
      </c>
    </row>
    <row r="430" spans="1:10">
      <c r="A430" t="s">
        <v>1855</v>
      </c>
      <c r="B430">
        <v>980</v>
      </c>
      <c r="C430" t="s">
        <v>1856</v>
      </c>
      <c r="D430" t="s">
        <v>423</v>
      </c>
      <c r="E430" t="s">
        <v>28</v>
      </c>
      <c r="F430" t="s">
        <v>1857</v>
      </c>
      <c r="G430" t="s">
        <v>152</v>
      </c>
      <c r="H430" t="s">
        <v>153</v>
      </c>
      <c r="I430" t="s">
        <v>154</v>
      </c>
      <c r="J430">
        <v>20000616</v>
      </c>
    </row>
    <row r="431" spans="1:10">
      <c r="A431" t="s">
        <v>1858</v>
      </c>
      <c r="B431">
        <v>981</v>
      </c>
      <c r="C431" t="s">
        <v>1859</v>
      </c>
      <c r="D431" t="s">
        <v>177</v>
      </c>
      <c r="E431" t="s">
        <v>28</v>
      </c>
      <c r="F431" t="s">
        <v>1860</v>
      </c>
      <c r="G431" t="s">
        <v>152</v>
      </c>
      <c r="H431" t="s">
        <v>153</v>
      </c>
      <c r="I431" t="s">
        <v>154</v>
      </c>
      <c r="J431">
        <v>20000622</v>
      </c>
    </row>
    <row r="432" spans="1:10">
      <c r="A432" t="s">
        <v>398</v>
      </c>
      <c r="B432">
        <v>982</v>
      </c>
      <c r="C432" t="s">
        <v>399</v>
      </c>
      <c r="D432" t="s">
        <v>332</v>
      </c>
      <c r="E432" t="s">
        <v>33</v>
      </c>
      <c r="F432" t="s">
        <v>400</v>
      </c>
      <c r="G432" t="s">
        <v>152</v>
      </c>
      <c r="H432" t="s">
        <v>153</v>
      </c>
      <c r="I432" t="s">
        <v>154</v>
      </c>
      <c r="J432">
        <v>20000706</v>
      </c>
    </row>
    <row r="433" spans="1:10">
      <c r="A433" t="s">
        <v>6366</v>
      </c>
      <c r="B433">
        <v>983</v>
      </c>
      <c r="C433" t="s">
        <v>6367</v>
      </c>
      <c r="D433" t="s">
        <v>557</v>
      </c>
      <c r="E433" t="s">
        <v>126</v>
      </c>
      <c r="F433" t="s">
        <v>6368</v>
      </c>
      <c r="G433" t="s">
        <v>152</v>
      </c>
      <c r="H433" t="s">
        <v>153</v>
      </c>
      <c r="I433" t="s">
        <v>154</v>
      </c>
      <c r="J433">
        <v>20000726</v>
      </c>
    </row>
    <row r="434" spans="1:10">
      <c r="A434" t="s">
        <v>401</v>
      </c>
      <c r="B434">
        <v>985</v>
      </c>
      <c r="C434" t="s">
        <v>402</v>
      </c>
      <c r="D434" t="s">
        <v>194</v>
      </c>
      <c r="E434" t="s">
        <v>14</v>
      </c>
      <c r="F434" t="s">
        <v>403</v>
      </c>
      <c r="G434" t="s">
        <v>152</v>
      </c>
      <c r="H434" t="s">
        <v>153</v>
      </c>
      <c r="I434" t="s">
        <v>154</v>
      </c>
      <c r="J434">
        <v>20000726</v>
      </c>
    </row>
    <row r="435" spans="1:10">
      <c r="A435" t="s">
        <v>4836</v>
      </c>
      <c r="B435">
        <v>987</v>
      </c>
      <c r="C435" t="s">
        <v>4837</v>
      </c>
      <c r="D435" t="s">
        <v>223</v>
      </c>
      <c r="E435" t="s">
        <v>73</v>
      </c>
      <c r="F435" t="s">
        <v>4838</v>
      </c>
      <c r="G435" t="s">
        <v>152</v>
      </c>
      <c r="H435" t="s">
        <v>153</v>
      </c>
      <c r="I435" t="s">
        <v>154</v>
      </c>
      <c r="J435">
        <v>20000718</v>
      </c>
    </row>
    <row r="436" spans="1:10">
      <c r="A436" t="s">
        <v>5481</v>
      </c>
      <c r="B436">
        <v>988</v>
      </c>
      <c r="C436" t="s">
        <v>5482</v>
      </c>
      <c r="D436" t="s">
        <v>316</v>
      </c>
      <c r="E436" t="s">
        <v>122</v>
      </c>
      <c r="F436" t="s">
        <v>5483</v>
      </c>
      <c r="G436" t="s">
        <v>152</v>
      </c>
      <c r="H436" t="s">
        <v>153</v>
      </c>
      <c r="I436" t="s">
        <v>154</v>
      </c>
      <c r="J436">
        <v>20000608</v>
      </c>
    </row>
    <row r="437" spans="1:10">
      <c r="A437" t="s">
        <v>3331</v>
      </c>
      <c r="B437">
        <v>989</v>
      </c>
      <c r="C437" t="s">
        <v>3332</v>
      </c>
      <c r="D437" t="s">
        <v>168</v>
      </c>
      <c r="E437" t="s">
        <v>67</v>
      </c>
      <c r="F437" t="s">
        <v>3333</v>
      </c>
      <c r="G437" t="s">
        <v>152</v>
      </c>
      <c r="H437" t="s">
        <v>153</v>
      </c>
      <c r="I437" t="s">
        <v>154</v>
      </c>
      <c r="J437">
        <v>20000628</v>
      </c>
    </row>
    <row r="438" spans="1:10">
      <c r="A438" t="s">
        <v>404</v>
      </c>
      <c r="B438">
        <v>990</v>
      </c>
      <c r="C438" t="s">
        <v>405</v>
      </c>
      <c r="D438" t="s">
        <v>406</v>
      </c>
      <c r="E438" t="s">
        <v>14</v>
      </c>
      <c r="F438" t="s">
        <v>407</v>
      </c>
      <c r="G438" t="s">
        <v>152</v>
      </c>
      <c r="H438" t="s">
        <v>153</v>
      </c>
      <c r="I438" t="s">
        <v>154</v>
      </c>
      <c r="J438">
        <v>20000706</v>
      </c>
    </row>
    <row r="439" spans="1:10">
      <c r="A439" t="s">
        <v>3490</v>
      </c>
      <c r="B439">
        <v>993</v>
      </c>
      <c r="C439" t="s">
        <v>3491</v>
      </c>
      <c r="D439" t="s">
        <v>150</v>
      </c>
      <c r="E439" t="s">
        <v>68</v>
      </c>
      <c r="F439" t="s">
        <v>3492</v>
      </c>
      <c r="G439" t="s">
        <v>152</v>
      </c>
      <c r="H439" t="s">
        <v>153</v>
      </c>
      <c r="I439" t="s">
        <v>154</v>
      </c>
      <c r="J439">
        <v>20000731</v>
      </c>
    </row>
    <row r="440" spans="1:10">
      <c r="A440" t="s">
        <v>2380</v>
      </c>
      <c r="B440">
        <v>995</v>
      </c>
      <c r="C440" t="s">
        <v>2381</v>
      </c>
      <c r="D440" t="s">
        <v>177</v>
      </c>
      <c r="E440" t="s">
        <v>12</v>
      </c>
      <c r="F440" t="s">
        <v>2382</v>
      </c>
      <c r="G440" t="s">
        <v>152</v>
      </c>
      <c r="H440" t="s">
        <v>153</v>
      </c>
      <c r="I440" t="s">
        <v>154</v>
      </c>
      <c r="J440">
        <v>20000807</v>
      </c>
    </row>
    <row r="441" spans="1:10">
      <c r="A441" t="s">
        <v>1861</v>
      </c>
      <c r="B441">
        <v>996</v>
      </c>
      <c r="C441" t="s">
        <v>1862</v>
      </c>
      <c r="D441" t="s">
        <v>164</v>
      </c>
      <c r="E441" t="s">
        <v>18</v>
      </c>
      <c r="F441" t="s">
        <v>1863</v>
      </c>
      <c r="G441" t="s">
        <v>152</v>
      </c>
      <c r="H441" t="s">
        <v>153</v>
      </c>
      <c r="I441" t="s">
        <v>154</v>
      </c>
      <c r="J441">
        <v>20000718</v>
      </c>
    </row>
    <row r="442" spans="1:10">
      <c r="A442" t="s">
        <v>5865</v>
      </c>
      <c r="B442">
        <v>997</v>
      </c>
      <c r="C442" t="s">
        <v>5866</v>
      </c>
      <c r="D442" t="s">
        <v>150</v>
      </c>
      <c r="E442" t="s">
        <v>123</v>
      </c>
      <c r="F442" t="s">
        <v>5867</v>
      </c>
      <c r="G442" t="s">
        <v>152</v>
      </c>
      <c r="H442" t="s">
        <v>153</v>
      </c>
      <c r="I442" t="s">
        <v>154</v>
      </c>
      <c r="J442">
        <v>20000807</v>
      </c>
    </row>
    <row r="443" spans="1:10">
      <c r="A443" t="s">
        <v>166</v>
      </c>
      <c r="B443">
        <v>998</v>
      </c>
      <c r="C443" t="s">
        <v>167</v>
      </c>
      <c r="D443" t="s">
        <v>168</v>
      </c>
      <c r="E443" t="s">
        <v>13</v>
      </c>
      <c r="F443" t="s">
        <v>169</v>
      </c>
      <c r="G443" t="s">
        <v>152</v>
      </c>
      <c r="H443" t="s">
        <v>153</v>
      </c>
      <c r="I443" t="s">
        <v>154</v>
      </c>
      <c r="J443">
        <v>20001211</v>
      </c>
    </row>
    <row r="444" spans="1:10">
      <c r="A444" t="s">
        <v>3373</v>
      </c>
      <c r="B444">
        <v>999</v>
      </c>
      <c r="C444" t="s">
        <v>3374</v>
      </c>
      <c r="D444" t="s">
        <v>243</v>
      </c>
      <c r="E444" t="s">
        <v>67</v>
      </c>
      <c r="F444" t="s">
        <v>3375</v>
      </c>
      <c r="G444" t="s">
        <v>152</v>
      </c>
      <c r="H444" t="s">
        <v>153</v>
      </c>
      <c r="I444" t="s">
        <v>154</v>
      </c>
      <c r="J444">
        <v>20000309</v>
      </c>
    </row>
    <row r="445" spans="1:10">
      <c r="A445" t="s">
        <v>255</v>
      </c>
      <c r="B445">
        <v>1201</v>
      </c>
      <c r="C445" t="s">
        <v>256</v>
      </c>
      <c r="D445" t="s">
        <v>223</v>
      </c>
      <c r="E445" t="s">
        <v>46</v>
      </c>
      <c r="F445" t="s">
        <v>257</v>
      </c>
      <c r="G445" t="s">
        <v>152</v>
      </c>
      <c r="H445" t="s">
        <v>153</v>
      </c>
      <c r="I445" t="s">
        <v>154</v>
      </c>
      <c r="J445">
        <v>20210428</v>
      </c>
    </row>
    <row r="446" spans="1:10">
      <c r="A446" t="s">
        <v>3787</v>
      </c>
      <c r="B446">
        <v>1202</v>
      </c>
      <c r="C446" t="s">
        <v>3788</v>
      </c>
      <c r="D446" t="s">
        <v>223</v>
      </c>
      <c r="E446" t="s">
        <v>50</v>
      </c>
      <c r="F446" t="s">
        <v>3789</v>
      </c>
      <c r="G446" t="s">
        <v>152</v>
      </c>
      <c r="H446" t="s">
        <v>153</v>
      </c>
      <c r="I446" t="s">
        <v>154</v>
      </c>
      <c r="J446">
        <v>20210429</v>
      </c>
    </row>
    <row r="447" spans="1:10">
      <c r="A447" t="s">
        <v>869</v>
      </c>
      <c r="B447">
        <v>1203</v>
      </c>
      <c r="C447" t="s">
        <v>870</v>
      </c>
      <c r="D447" t="s">
        <v>266</v>
      </c>
      <c r="E447" t="s">
        <v>25</v>
      </c>
      <c r="F447" t="s">
        <v>871</v>
      </c>
      <c r="G447" t="s">
        <v>152</v>
      </c>
      <c r="H447" t="s">
        <v>153</v>
      </c>
      <c r="I447" t="s">
        <v>154</v>
      </c>
      <c r="J447">
        <v>20210510</v>
      </c>
    </row>
    <row r="448" spans="1:10">
      <c r="A448" t="s">
        <v>3790</v>
      </c>
      <c r="B448">
        <v>1205</v>
      </c>
      <c r="C448" t="s">
        <v>3791</v>
      </c>
      <c r="D448" t="s">
        <v>212</v>
      </c>
      <c r="E448" t="s">
        <v>92</v>
      </c>
      <c r="F448" t="s">
        <v>3792</v>
      </c>
      <c r="G448" t="s">
        <v>152</v>
      </c>
      <c r="H448" t="s">
        <v>153</v>
      </c>
      <c r="I448" t="s">
        <v>154</v>
      </c>
      <c r="J448">
        <v>20210513</v>
      </c>
    </row>
    <row r="449" spans="1:10">
      <c r="A449" t="s">
        <v>2734</v>
      </c>
      <c r="B449">
        <v>1206</v>
      </c>
      <c r="C449" t="s">
        <v>2735</v>
      </c>
      <c r="D449" t="s">
        <v>576</v>
      </c>
      <c r="E449" t="s">
        <v>30</v>
      </c>
      <c r="F449" t="s">
        <v>2736</v>
      </c>
      <c r="G449" t="s">
        <v>152</v>
      </c>
      <c r="H449" t="s">
        <v>153</v>
      </c>
      <c r="I449" t="s">
        <v>154</v>
      </c>
      <c r="J449">
        <v>20210518</v>
      </c>
    </row>
    <row r="450" spans="1:10">
      <c r="A450" t="s">
        <v>408</v>
      </c>
      <c r="B450">
        <v>1207</v>
      </c>
      <c r="C450" t="s">
        <v>409</v>
      </c>
      <c r="D450" t="s">
        <v>198</v>
      </c>
      <c r="E450" t="s">
        <v>14</v>
      </c>
      <c r="F450" t="s">
        <v>410</v>
      </c>
      <c r="G450" t="s">
        <v>152</v>
      </c>
      <c r="H450" t="s">
        <v>153</v>
      </c>
      <c r="I450" t="s">
        <v>154</v>
      </c>
      <c r="J450">
        <v>20210623</v>
      </c>
    </row>
    <row r="451" spans="1:10">
      <c r="A451" t="s">
        <v>1297</v>
      </c>
      <c r="B451">
        <v>1208</v>
      </c>
      <c r="C451" t="s">
        <v>1298</v>
      </c>
      <c r="D451" t="s">
        <v>168</v>
      </c>
      <c r="E451" t="s">
        <v>17</v>
      </c>
      <c r="F451" t="s">
        <v>1299</v>
      </c>
      <c r="G451" t="s">
        <v>152</v>
      </c>
      <c r="H451" t="s">
        <v>153</v>
      </c>
      <c r="I451" t="s">
        <v>154</v>
      </c>
      <c r="J451">
        <v>20210624</v>
      </c>
    </row>
    <row r="452" spans="1:10">
      <c r="A452" t="s">
        <v>2632</v>
      </c>
      <c r="B452">
        <v>1209</v>
      </c>
      <c r="C452" t="s">
        <v>2633</v>
      </c>
      <c r="D452" t="s">
        <v>223</v>
      </c>
      <c r="E452" t="s">
        <v>20</v>
      </c>
      <c r="F452" t="s">
        <v>2634</v>
      </c>
      <c r="G452" t="s">
        <v>152</v>
      </c>
      <c r="H452" t="s">
        <v>153</v>
      </c>
      <c r="I452" t="s">
        <v>154</v>
      </c>
      <c r="J452">
        <v>20210723</v>
      </c>
    </row>
    <row r="453" spans="1:10">
      <c r="A453" t="s">
        <v>3493</v>
      </c>
      <c r="B453">
        <v>1210</v>
      </c>
      <c r="C453" t="s">
        <v>3494</v>
      </c>
      <c r="D453" t="s">
        <v>164</v>
      </c>
      <c r="E453" t="s">
        <v>91</v>
      </c>
      <c r="F453" t="s">
        <v>3495</v>
      </c>
      <c r="G453" t="s">
        <v>152</v>
      </c>
      <c r="H453" t="s">
        <v>153</v>
      </c>
      <c r="I453" t="s">
        <v>154</v>
      </c>
      <c r="J453">
        <v>20210729</v>
      </c>
    </row>
    <row r="454" spans="1:10">
      <c r="A454" t="s">
        <v>2737</v>
      </c>
      <c r="B454">
        <v>1211</v>
      </c>
      <c r="C454" t="s">
        <v>2738</v>
      </c>
      <c r="D454" t="s">
        <v>423</v>
      </c>
      <c r="E454" t="s">
        <v>21</v>
      </c>
      <c r="F454" t="s">
        <v>2739</v>
      </c>
      <c r="G454" t="s">
        <v>152</v>
      </c>
      <c r="H454" t="s">
        <v>153</v>
      </c>
      <c r="I454" t="s">
        <v>154</v>
      </c>
      <c r="J454">
        <v>20210805</v>
      </c>
    </row>
    <row r="455" spans="1:10">
      <c r="A455" t="s">
        <v>5085</v>
      </c>
      <c r="B455">
        <v>1212</v>
      </c>
      <c r="C455" t="s">
        <v>5086</v>
      </c>
      <c r="D455" t="s">
        <v>223</v>
      </c>
      <c r="E455" t="s">
        <v>94</v>
      </c>
      <c r="F455" t="s">
        <v>5087</v>
      </c>
      <c r="G455" t="s">
        <v>152</v>
      </c>
      <c r="H455" t="s">
        <v>153</v>
      </c>
      <c r="I455" t="s">
        <v>154</v>
      </c>
      <c r="J455">
        <v>20210823</v>
      </c>
    </row>
    <row r="456" spans="1:10">
      <c r="A456" t="s">
        <v>3793</v>
      </c>
      <c r="B456">
        <v>1213</v>
      </c>
      <c r="C456" t="s">
        <v>3794</v>
      </c>
      <c r="D456" t="s">
        <v>164</v>
      </c>
      <c r="E456" t="s">
        <v>50</v>
      </c>
      <c r="F456" t="s">
        <v>3795</v>
      </c>
      <c r="G456" t="s">
        <v>152</v>
      </c>
      <c r="H456" t="s">
        <v>153</v>
      </c>
      <c r="I456" t="s">
        <v>154</v>
      </c>
      <c r="J456">
        <v>20210908</v>
      </c>
    </row>
    <row r="457" spans="1:10">
      <c r="A457" t="s">
        <v>2383</v>
      </c>
      <c r="B457">
        <v>1215</v>
      </c>
      <c r="C457" t="s">
        <v>2384</v>
      </c>
      <c r="D457" t="s">
        <v>292</v>
      </c>
      <c r="E457" t="s">
        <v>19</v>
      </c>
      <c r="F457" t="s">
        <v>2385</v>
      </c>
      <c r="G457" t="s">
        <v>152</v>
      </c>
      <c r="H457" t="s">
        <v>153</v>
      </c>
      <c r="I457" t="s">
        <v>154</v>
      </c>
      <c r="J457">
        <v>20210906</v>
      </c>
    </row>
    <row r="458" spans="1:10">
      <c r="A458" t="s">
        <v>2740</v>
      </c>
      <c r="B458">
        <v>1216</v>
      </c>
      <c r="C458" t="s">
        <v>2741</v>
      </c>
      <c r="D458" t="s">
        <v>168</v>
      </c>
      <c r="E458" t="s">
        <v>21</v>
      </c>
      <c r="F458" t="s">
        <v>2742</v>
      </c>
      <c r="G458" t="s">
        <v>152</v>
      </c>
      <c r="H458" t="s">
        <v>153</v>
      </c>
      <c r="I458" t="s">
        <v>154</v>
      </c>
      <c r="J458">
        <v>20211019</v>
      </c>
    </row>
    <row r="459" spans="1:10">
      <c r="A459" t="s">
        <v>411</v>
      </c>
      <c r="B459">
        <v>1217</v>
      </c>
      <c r="C459" t="s">
        <v>412</v>
      </c>
      <c r="D459" t="s">
        <v>160</v>
      </c>
      <c r="E459" t="s">
        <v>14</v>
      </c>
      <c r="F459" t="s">
        <v>413</v>
      </c>
      <c r="G459" t="s">
        <v>152</v>
      </c>
      <c r="H459" t="s">
        <v>153</v>
      </c>
      <c r="I459" t="s">
        <v>154</v>
      </c>
      <c r="J459">
        <v>20210929</v>
      </c>
    </row>
    <row r="460" spans="1:10">
      <c r="A460" t="s">
        <v>414</v>
      </c>
      <c r="B460">
        <v>1218</v>
      </c>
      <c r="C460" t="s">
        <v>415</v>
      </c>
      <c r="D460" t="s">
        <v>168</v>
      </c>
      <c r="E460" t="s">
        <v>14</v>
      </c>
      <c r="F460" t="s">
        <v>416</v>
      </c>
      <c r="G460" t="s">
        <v>152</v>
      </c>
      <c r="H460" t="s">
        <v>153</v>
      </c>
      <c r="I460" t="s">
        <v>154</v>
      </c>
      <c r="J460">
        <v>20211015</v>
      </c>
    </row>
    <row r="461" spans="1:10">
      <c r="A461" t="s">
        <v>2386</v>
      </c>
      <c r="B461">
        <v>1219</v>
      </c>
      <c r="C461" t="s">
        <v>2387</v>
      </c>
      <c r="D461" t="s">
        <v>198</v>
      </c>
      <c r="E461" t="s">
        <v>19</v>
      </c>
      <c r="F461" t="s">
        <v>2388</v>
      </c>
      <c r="G461" t="s">
        <v>152</v>
      </c>
      <c r="H461" t="s">
        <v>153</v>
      </c>
      <c r="I461" t="s">
        <v>154</v>
      </c>
      <c r="J461">
        <v>20211021</v>
      </c>
    </row>
    <row r="462" spans="1:10">
      <c r="A462" t="s">
        <v>6111</v>
      </c>
      <c r="B462">
        <v>1222</v>
      </c>
      <c r="C462" t="s">
        <v>6112</v>
      </c>
      <c r="D462" t="s">
        <v>423</v>
      </c>
      <c r="E462" t="s">
        <v>129</v>
      </c>
      <c r="F462" t="s">
        <v>6113</v>
      </c>
      <c r="G462" t="s">
        <v>152</v>
      </c>
      <c r="H462" t="s">
        <v>153</v>
      </c>
      <c r="I462" t="s">
        <v>154</v>
      </c>
      <c r="J462">
        <v>20220818</v>
      </c>
    </row>
    <row r="463" spans="1:10">
      <c r="A463" t="s">
        <v>5484</v>
      </c>
      <c r="B463">
        <v>1223</v>
      </c>
      <c r="C463" t="s">
        <v>5485</v>
      </c>
      <c r="D463" t="s">
        <v>406</v>
      </c>
      <c r="E463" t="s">
        <v>122</v>
      </c>
      <c r="F463" t="s">
        <v>5486</v>
      </c>
      <c r="G463" t="s">
        <v>152</v>
      </c>
      <c r="H463" t="s">
        <v>153</v>
      </c>
      <c r="I463" t="s">
        <v>154</v>
      </c>
      <c r="J463">
        <v>20221212</v>
      </c>
    </row>
    <row r="464" spans="1:10">
      <c r="A464" t="s">
        <v>5487</v>
      </c>
      <c r="B464">
        <v>1226</v>
      </c>
      <c r="C464" t="s">
        <v>5488</v>
      </c>
      <c r="D464" t="s">
        <v>160</v>
      </c>
      <c r="E464" t="s">
        <v>104</v>
      </c>
      <c r="F464" t="s">
        <v>5489</v>
      </c>
      <c r="G464" t="s">
        <v>152</v>
      </c>
      <c r="H464" t="s">
        <v>153</v>
      </c>
      <c r="I464" t="s">
        <v>154</v>
      </c>
      <c r="J464">
        <v>20220622</v>
      </c>
    </row>
    <row r="465" spans="1:10">
      <c r="A465" t="s">
        <v>4680</v>
      </c>
      <c r="B465">
        <v>1227</v>
      </c>
      <c r="C465" t="s">
        <v>4681</v>
      </c>
      <c r="D465" t="s">
        <v>177</v>
      </c>
      <c r="E465" t="s">
        <v>62</v>
      </c>
      <c r="F465" t="s">
        <v>4682</v>
      </c>
      <c r="G465" t="s">
        <v>152</v>
      </c>
      <c r="H465" t="s">
        <v>153</v>
      </c>
      <c r="I465" t="s">
        <v>154</v>
      </c>
      <c r="J465">
        <v>20220117</v>
      </c>
    </row>
    <row r="466" spans="1:10">
      <c r="A466" t="s">
        <v>3796</v>
      </c>
      <c r="B466">
        <v>1228</v>
      </c>
      <c r="C466" t="s">
        <v>3797</v>
      </c>
      <c r="D466" t="s">
        <v>423</v>
      </c>
      <c r="E466" t="s">
        <v>50</v>
      </c>
      <c r="F466" t="s">
        <v>3798</v>
      </c>
      <c r="G466" t="s">
        <v>152</v>
      </c>
      <c r="H466" t="s">
        <v>153</v>
      </c>
      <c r="I466" t="s">
        <v>154</v>
      </c>
      <c r="J466">
        <v>20220429</v>
      </c>
    </row>
    <row r="467" spans="1:10">
      <c r="A467" t="s">
        <v>1300</v>
      </c>
      <c r="B467">
        <v>1229</v>
      </c>
      <c r="C467" t="s">
        <v>1301</v>
      </c>
      <c r="D467" t="s">
        <v>223</v>
      </c>
      <c r="E467" t="s">
        <v>1</v>
      </c>
      <c r="F467" t="s">
        <v>1302</v>
      </c>
      <c r="G467" t="s">
        <v>152</v>
      </c>
      <c r="H467" t="s">
        <v>153</v>
      </c>
      <c r="I467" t="s">
        <v>154</v>
      </c>
      <c r="J467">
        <v>20220808</v>
      </c>
    </row>
    <row r="468" spans="1:10">
      <c r="A468" t="s">
        <v>6570</v>
      </c>
      <c r="B468">
        <v>1230</v>
      </c>
      <c r="C468" t="s">
        <v>6571</v>
      </c>
      <c r="D468" t="s">
        <v>160</v>
      </c>
      <c r="E468" t="s">
        <v>119</v>
      </c>
      <c r="F468" t="s">
        <v>6572</v>
      </c>
      <c r="G468" t="s">
        <v>152</v>
      </c>
      <c r="H468" t="s">
        <v>153</v>
      </c>
      <c r="I468" t="s">
        <v>154</v>
      </c>
      <c r="J468">
        <v>20220715</v>
      </c>
    </row>
    <row r="469" spans="1:10">
      <c r="A469" t="s">
        <v>417</v>
      </c>
      <c r="B469">
        <v>1231</v>
      </c>
      <c r="C469" t="s">
        <v>418</v>
      </c>
      <c r="D469" t="s">
        <v>419</v>
      </c>
      <c r="E469" t="s">
        <v>47</v>
      </c>
      <c r="F469" t="s">
        <v>420</v>
      </c>
      <c r="G469" t="s">
        <v>152</v>
      </c>
      <c r="H469" t="s">
        <v>153</v>
      </c>
      <c r="I469" t="s">
        <v>154</v>
      </c>
      <c r="J469">
        <v>20220819</v>
      </c>
    </row>
    <row r="470" spans="1:10">
      <c r="A470" t="s">
        <v>2635</v>
      </c>
      <c r="B470">
        <v>1234</v>
      </c>
      <c r="C470" t="s">
        <v>2636</v>
      </c>
      <c r="D470" t="s">
        <v>212</v>
      </c>
      <c r="E470" t="s">
        <v>20</v>
      </c>
      <c r="F470" t="s">
        <v>2637</v>
      </c>
      <c r="G470" t="s">
        <v>152</v>
      </c>
      <c r="H470" t="s">
        <v>153</v>
      </c>
      <c r="I470" t="s">
        <v>154</v>
      </c>
      <c r="J470">
        <v>20220111</v>
      </c>
    </row>
    <row r="471" spans="1:10">
      <c r="A471" t="s">
        <v>4839</v>
      </c>
      <c r="B471">
        <v>1236</v>
      </c>
      <c r="C471" t="s">
        <v>4840</v>
      </c>
      <c r="D471" t="s">
        <v>212</v>
      </c>
      <c r="E471" t="s">
        <v>73</v>
      </c>
      <c r="F471" t="s">
        <v>4841</v>
      </c>
      <c r="G471" t="s">
        <v>152</v>
      </c>
      <c r="H471" t="s">
        <v>153</v>
      </c>
      <c r="I471" t="s">
        <v>154</v>
      </c>
      <c r="J471">
        <v>20220805</v>
      </c>
    </row>
    <row r="472" spans="1:10">
      <c r="A472" t="s">
        <v>2743</v>
      </c>
      <c r="B472">
        <v>1238</v>
      </c>
      <c r="C472" t="s">
        <v>2744</v>
      </c>
      <c r="D472" t="s">
        <v>423</v>
      </c>
      <c r="E472" t="s">
        <v>21</v>
      </c>
      <c r="F472" t="s">
        <v>2745</v>
      </c>
      <c r="G472" t="s">
        <v>152</v>
      </c>
      <c r="H472" t="s">
        <v>153</v>
      </c>
      <c r="I472" t="s">
        <v>154</v>
      </c>
      <c r="J472">
        <v>20220919</v>
      </c>
    </row>
    <row r="473" spans="1:10">
      <c r="A473" t="s">
        <v>421</v>
      </c>
      <c r="B473">
        <v>1255</v>
      </c>
      <c r="C473" t="s">
        <v>422</v>
      </c>
      <c r="D473" t="s">
        <v>423</v>
      </c>
      <c r="E473" t="s">
        <v>14</v>
      </c>
      <c r="F473" t="s">
        <v>424</v>
      </c>
      <c r="G473" t="s">
        <v>152</v>
      </c>
      <c r="H473" t="s">
        <v>153</v>
      </c>
      <c r="I473" t="s">
        <v>154</v>
      </c>
      <c r="J473">
        <v>20220930</v>
      </c>
    </row>
    <row r="474" spans="1:10">
      <c r="A474" t="s">
        <v>5490</v>
      </c>
      <c r="B474">
        <v>1256</v>
      </c>
      <c r="C474" t="s">
        <v>5491</v>
      </c>
      <c r="D474" t="s">
        <v>423</v>
      </c>
      <c r="E474" t="s">
        <v>132</v>
      </c>
      <c r="F474" t="s">
        <v>5492</v>
      </c>
      <c r="G474" t="s">
        <v>152</v>
      </c>
      <c r="H474" t="s">
        <v>153</v>
      </c>
      <c r="I474" t="s">
        <v>154</v>
      </c>
      <c r="J474">
        <v>20221205</v>
      </c>
    </row>
    <row r="475" spans="1:10">
      <c r="A475" t="s">
        <v>3496</v>
      </c>
      <c r="B475">
        <v>1258</v>
      </c>
      <c r="C475" t="s">
        <v>3497</v>
      </c>
      <c r="D475" t="s">
        <v>202</v>
      </c>
      <c r="E475" t="s">
        <v>82</v>
      </c>
      <c r="F475" t="s">
        <v>3498</v>
      </c>
      <c r="G475" t="s">
        <v>152</v>
      </c>
      <c r="H475" t="s">
        <v>153</v>
      </c>
      <c r="I475" t="s">
        <v>154</v>
      </c>
      <c r="J475">
        <v>20220727</v>
      </c>
    </row>
    <row r="476" spans="1:10">
      <c r="A476" t="s">
        <v>2239</v>
      </c>
      <c r="B476">
        <v>1259</v>
      </c>
      <c r="C476" t="s">
        <v>2240</v>
      </c>
      <c r="D476" t="s">
        <v>164</v>
      </c>
      <c r="E476" t="s">
        <v>8</v>
      </c>
      <c r="F476" t="s">
        <v>2241</v>
      </c>
      <c r="G476" t="s">
        <v>152</v>
      </c>
      <c r="H476" t="s">
        <v>153</v>
      </c>
      <c r="I476" t="s">
        <v>154</v>
      </c>
      <c r="J476">
        <v>20220831</v>
      </c>
    </row>
    <row r="477" spans="1:10">
      <c r="A477" t="s">
        <v>1303</v>
      </c>
      <c r="B477">
        <v>1266</v>
      </c>
      <c r="C477" t="s">
        <v>1304</v>
      </c>
      <c r="D477" t="s">
        <v>172</v>
      </c>
      <c r="E477" t="s">
        <v>27</v>
      </c>
      <c r="F477" t="s">
        <v>1305</v>
      </c>
      <c r="G477" t="s">
        <v>152</v>
      </c>
      <c r="H477" t="s">
        <v>153</v>
      </c>
      <c r="I477" t="s">
        <v>154</v>
      </c>
      <c r="J477">
        <v>20220228</v>
      </c>
    </row>
    <row r="478" spans="1:10">
      <c r="A478" t="s">
        <v>5235</v>
      </c>
      <c r="B478">
        <v>1267</v>
      </c>
      <c r="C478" t="s">
        <v>5236</v>
      </c>
      <c r="D478" t="s">
        <v>316</v>
      </c>
      <c r="E478" t="s">
        <v>121</v>
      </c>
      <c r="F478" t="s">
        <v>5237</v>
      </c>
      <c r="G478" t="s">
        <v>152</v>
      </c>
      <c r="H478" t="s">
        <v>153</v>
      </c>
      <c r="I478" t="s">
        <v>154</v>
      </c>
      <c r="J478">
        <v>20211117</v>
      </c>
    </row>
    <row r="479" spans="1:10">
      <c r="A479" t="s">
        <v>5493</v>
      </c>
      <c r="B479">
        <v>1268</v>
      </c>
      <c r="C479" t="s">
        <v>5494</v>
      </c>
      <c r="D479" t="s">
        <v>223</v>
      </c>
      <c r="E479" t="s">
        <v>135</v>
      </c>
      <c r="F479" t="s">
        <v>5495</v>
      </c>
      <c r="G479" t="s">
        <v>152</v>
      </c>
      <c r="H479" t="s">
        <v>153</v>
      </c>
      <c r="I479" t="s">
        <v>154</v>
      </c>
      <c r="J479">
        <v>20220630</v>
      </c>
    </row>
    <row r="480" spans="1:10">
      <c r="A480" t="s">
        <v>1033</v>
      </c>
      <c r="B480">
        <v>1269</v>
      </c>
      <c r="C480" t="s">
        <v>1034</v>
      </c>
      <c r="D480" t="s">
        <v>266</v>
      </c>
      <c r="E480" t="s">
        <v>52</v>
      </c>
      <c r="F480" t="s">
        <v>1035</v>
      </c>
      <c r="G480" t="s">
        <v>152</v>
      </c>
      <c r="H480" t="s">
        <v>153</v>
      </c>
      <c r="I480" t="s">
        <v>154</v>
      </c>
      <c r="J480">
        <v>20220930</v>
      </c>
    </row>
    <row r="481" spans="1:10">
      <c r="A481" t="s">
        <v>1306</v>
      </c>
      <c r="B481">
        <v>1270</v>
      </c>
      <c r="C481" t="s">
        <v>1307</v>
      </c>
      <c r="D481" t="s">
        <v>423</v>
      </c>
      <c r="E481" t="s">
        <v>31</v>
      </c>
      <c r="F481" t="s">
        <v>1308</v>
      </c>
      <c r="G481" t="s">
        <v>152</v>
      </c>
      <c r="H481" t="s">
        <v>153</v>
      </c>
      <c r="I481" t="s">
        <v>154</v>
      </c>
      <c r="J481">
        <v>20220606</v>
      </c>
    </row>
    <row r="482" spans="1:10">
      <c r="A482" t="s">
        <v>1309</v>
      </c>
      <c r="B482">
        <v>1283</v>
      </c>
      <c r="C482" t="s">
        <v>1310</v>
      </c>
      <c r="D482" t="s">
        <v>243</v>
      </c>
      <c r="E482" t="s">
        <v>17</v>
      </c>
      <c r="F482" t="s">
        <v>1311</v>
      </c>
      <c r="G482" t="s">
        <v>152</v>
      </c>
      <c r="H482" t="s">
        <v>153</v>
      </c>
      <c r="I482" t="s">
        <v>154</v>
      </c>
      <c r="J482">
        <v>20220905</v>
      </c>
    </row>
    <row r="483" spans="1:10">
      <c r="A483" t="s">
        <v>5496</v>
      </c>
      <c r="B483">
        <v>1288</v>
      </c>
      <c r="C483" t="s">
        <v>5497</v>
      </c>
      <c r="D483" t="s">
        <v>219</v>
      </c>
      <c r="E483" t="s">
        <v>122</v>
      </c>
      <c r="F483" t="s">
        <v>5498</v>
      </c>
      <c r="G483" t="s">
        <v>152</v>
      </c>
      <c r="H483" t="s">
        <v>153</v>
      </c>
      <c r="I483" t="s">
        <v>154</v>
      </c>
      <c r="J483">
        <v>20211101</v>
      </c>
    </row>
    <row r="484" spans="1:10">
      <c r="A484" t="s">
        <v>3499</v>
      </c>
      <c r="B484">
        <v>1289</v>
      </c>
      <c r="C484" t="s">
        <v>3500</v>
      </c>
      <c r="D484" t="s">
        <v>164</v>
      </c>
      <c r="E484" t="s">
        <v>82</v>
      </c>
      <c r="F484" t="s">
        <v>3501</v>
      </c>
      <c r="G484" t="s">
        <v>152</v>
      </c>
      <c r="H484" t="s">
        <v>153</v>
      </c>
      <c r="I484" t="s">
        <v>154</v>
      </c>
      <c r="J484">
        <v>20220124</v>
      </c>
    </row>
    <row r="485" spans="1:10">
      <c r="A485" t="s">
        <v>5088</v>
      </c>
      <c r="B485">
        <v>1296</v>
      </c>
      <c r="C485" t="s">
        <v>5089</v>
      </c>
      <c r="D485" t="s">
        <v>937</v>
      </c>
      <c r="E485" t="s">
        <v>94</v>
      </c>
      <c r="F485" t="s">
        <v>5090</v>
      </c>
      <c r="G485" t="s">
        <v>152</v>
      </c>
      <c r="H485" t="s">
        <v>153</v>
      </c>
      <c r="I485" t="s">
        <v>154</v>
      </c>
      <c r="J485">
        <v>20211224</v>
      </c>
    </row>
    <row r="486" spans="1:10">
      <c r="A486" t="s">
        <v>4458</v>
      </c>
      <c r="B486">
        <v>1298</v>
      </c>
      <c r="C486" t="s">
        <v>4459</v>
      </c>
      <c r="D486" t="s">
        <v>243</v>
      </c>
      <c r="E486" t="s">
        <v>85</v>
      </c>
      <c r="F486" t="s">
        <v>4460</v>
      </c>
      <c r="G486" t="s">
        <v>152</v>
      </c>
      <c r="H486" t="s">
        <v>153</v>
      </c>
      <c r="I486" t="s">
        <v>154</v>
      </c>
      <c r="J486">
        <v>20221031</v>
      </c>
    </row>
    <row r="487" spans="1:10">
      <c r="A487" t="s">
        <v>3502</v>
      </c>
      <c r="B487">
        <v>1299</v>
      </c>
      <c r="C487" t="s">
        <v>3503</v>
      </c>
      <c r="D487" t="s">
        <v>419</v>
      </c>
      <c r="E487" t="s">
        <v>91</v>
      </c>
      <c r="F487" t="s">
        <v>3504</v>
      </c>
      <c r="G487" t="s">
        <v>152</v>
      </c>
      <c r="H487" t="s">
        <v>153</v>
      </c>
      <c r="I487" t="s">
        <v>154</v>
      </c>
      <c r="J487">
        <v>20221031</v>
      </c>
    </row>
    <row r="488" spans="1:10">
      <c r="A488" t="s">
        <v>6114</v>
      </c>
      <c r="B488">
        <v>1300</v>
      </c>
      <c r="C488" t="s">
        <v>6115</v>
      </c>
      <c r="D488" t="s">
        <v>198</v>
      </c>
      <c r="E488" t="s">
        <v>129</v>
      </c>
      <c r="F488" t="s">
        <v>6116</v>
      </c>
      <c r="G488" t="s">
        <v>152</v>
      </c>
      <c r="H488" t="s">
        <v>153</v>
      </c>
      <c r="I488" t="s">
        <v>154</v>
      </c>
      <c r="J488">
        <v>20221019</v>
      </c>
    </row>
    <row r="489" spans="1:10">
      <c r="A489" t="s">
        <v>1312</v>
      </c>
      <c r="B489">
        <v>1301</v>
      </c>
      <c r="C489" t="s">
        <v>1313</v>
      </c>
      <c r="D489" t="s">
        <v>279</v>
      </c>
      <c r="E489" t="s">
        <v>17</v>
      </c>
      <c r="F489" t="s">
        <v>1314</v>
      </c>
      <c r="G489" t="s">
        <v>152</v>
      </c>
      <c r="H489" t="s">
        <v>153</v>
      </c>
      <c r="I489" t="s">
        <v>154</v>
      </c>
      <c r="J489">
        <v>20221228</v>
      </c>
    </row>
    <row r="490" spans="1:10">
      <c r="A490" t="s">
        <v>1315</v>
      </c>
      <c r="B490">
        <v>1308</v>
      </c>
      <c r="C490" t="s">
        <v>1316</v>
      </c>
      <c r="D490" t="s">
        <v>243</v>
      </c>
      <c r="E490" t="s">
        <v>42</v>
      </c>
      <c r="F490" t="s">
        <v>1317</v>
      </c>
      <c r="G490" t="s">
        <v>152</v>
      </c>
      <c r="H490" t="s">
        <v>153</v>
      </c>
      <c r="I490" t="s">
        <v>154</v>
      </c>
      <c r="J490">
        <v>20220318</v>
      </c>
    </row>
    <row r="491" spans="1:10">
      <c r="A491" t="s">
        <v>1318</v>
      </c>
      <c r="B491">
        <v>1309</v>
      </c>
      <c r="C491" t="s">
        <v>1319</v>
      </c>
      <c r="D491" t="s">
        <v>243</v>
      </c>
      <c r="E491" t="s">
        <v>31</v>
      </c>
      <c r="F491" t="s">
        <v>1320</v>
      </c>
      <c r="G491" t="s">
        <v>152</v>
      </c>
      <c r="H491" t="s">
        <v>153</v>
      </c>
      <c r="I491" t="s">
        <v>154</v>
      </c>
      <c r="J491">
        <v>20220701</v>
      </c>
    </row>
    <row r="492" spans="1:10">
      <c r="A492" t="s">
        <v>221</v>
      </c>
      <c r="B492">
        <v>1313</v>
      </c>
      <c r="C492" t="s">
        <v>222</v>
      </c>
      <c r="D492" t="s">
        <v>223</v>
      </c>
      <c r="E492" t="s">
        <v>39</v>
      </c>
      <c r="F492" t="s">
        <v>224</v>
      </c>
      <c r="G492" t="s">
        <v>152</v>
      </c>
      <c r="H492" t="s">
        <v>153</v>
      </c>
      <c r="I492" t="s">
        <v>154</v>
      </c>
      <c r="J492">
        <v>20220216</v>
      </c>
    </row>
    <row r="493" spans="1:10">
      <c r="A493" t="s">
        <v>4461</v>
      </c>
      <c r="B493">
        <v>1316</v>
      </c>
      <c r="C493" t="s">
        <v>4462</v>
      </c>
      <c r="D493" t="s">
        <v>243</v>
      </c>
      <c r="E493" t="s">
        <v>85</v>
      </c>
      <c r="F493" t="s">
        <v>4463</v>
      </c>
      <c r="G493" t="s">
        <v>152</v>
      </c>
      <c r="H493" t="s">
        <v>153</v>
      </c>
      <c r="I493" t="s">
        <v>154</v>
      </c>
      <c r="J493">
        <v>20220624</v>
      </c>
    </row>
    <row r="494" spans="1:10">
      <c r="A494" t="s">
        <v>3799</v>
      </c>
      <c r="B494">
        <v>1317</v>
      </c>
      <c r="C494" t="s">
        <v>3800</v>
      </c>
      <c r="D494" t="s">
        <v>937</v>
      </c>
      <c r="E494" t="s">
        <v>50</v>
      </c>
      <c r="F494" t="s">
        <v>3801</v>
      </c>
      <c r="G494" t="s">
        <v>152</v>
      </c>
      <c r="H494" t="s">
        <v>153</v>
      </c>
      <c r="I494" t="s">
        <v>154</v>
      </c>
      <c r="J494">
        <v>20211130</v>
      </c>
    </row>
    <row r="495" spans="1:10">
      <c r="A495" t="s">
        <v>2389</v>
      </c>
      <c r="B495">
        <v>1318</v>
      </c>
      <c r="C495" t="s">
        <v>2390</v>
      </c>
      <c r="D495" t="s">
        <v>406</v>
      </c>
      <c r="E495" t="s">
        <v>53</v>
      </c>
      <c r="F495" t="s">
        <v>2391</v>
      </c>
      <c r="G495" t="s">
        <v>152</v>
      </c>
      <c r="H495" t="s">
        <v>153</v>
      </c>
      <c r="I495" t="s">
        <v>154</v>
      </c>
      <c r="J495">
        <v>20220520</v>
      </c>
    </row>
    <row r="496" spans="1:10">
      <c r="A496" t="s">
        <v>1864</v>
      </c>
      <c r="B496">
        <v>1319</v>
      </c>
      <c r="C496" t="s">
        <v>1865</v>
      </c>
      <c r="D496" t="s">
        <v>223</v>
      </c>
      <c r="E496" t="s">
        <v>28</v>
      </c>
      <c r="F496" t="s">
        <v>1866</v>
      </c>
      <c r="G496" t="s">
        <v>152</v>
      </c>
      <c r="H496" t="s">
        <v>153</v>
      </c>
      <c r="I496" t="s">
        <v>154</v>
      </c>
      <c r="J496">
        <v>20220512</v>
      </c>
    </row>
    <row r="497" spans="1:10">
      <c r="A497" t="s">
        <v>2746</v>
      </c>
      <c r="B497">
        <v>1322</v>
      </c>
      <c r="C497" t="s">
        <v>2747</v>
      </c>
      <c r="D497" t="s">
        <v>223</v>
      </c>
      <c r="E497" t="s">
        <v>21</v>
      </c>
      <c r="F497" t="s">
        <v>2748</v>
      </c>
      <c r="G497" t="s">
        <v>152</v>
      </c>
      <c r="H497" t="s">
        <v>153</v>
      </c>
      <c r="I497" t="s">
        <v>154</v>
      </c>
      <c r="J497">
        <v>20221026</v>
      </c>
    </row>
    <row r="498" spans="1:10">
      <c r="A498" t="s">
        <v>2749</v>
      </c>
      <c r="B498">
        <v>1323</v>
      </c>
      <c r="C498" t="s">
        <v>2750</v>
      </c>
      <c r="D498" t="s">
        <v>223</v>
      </c>
      <c r="E498" t="s">
        <v>21</v>
      </c>
      <c r="F498" t="s">
        <v>2751</v>
      </c>
      <c r="G498" t="s">
        <v>152</v>
      </c>
      <c r="H498" t="s">
        <v>153</v>
      </c>
      <c r="I498" t="s">
        <v>154</v>
      </c>
      <c r="J498">
        <v>20220623</v>
      </c>
    </row>
    <row r="499" spans="1:10">
      <c r="A499" t="s">
        <v>6045</v>
      </c>
      <c r="B499">
        <v>1330</v>
      </c>
      <c r="C499" t="s">
        <v>6046</v>
      </c>
      <c r="D499" t="s">
        <v>202</v>
      </c>
      <c r="E499" t="s">
        <v>124</v>
      </c>
      <c r="F499" t="s">
        <v>6047</v>
      </c>
      <c r="G499" t="s">
        <v>152</v>
      </c>
      <c r="H499" t="s">
        <v>153</v>
      </c>
      <c r="I499" t="s">
        <v>154</v>
      </c>
      <c r="J499">
        <v>20220818</v>
      </c>
    </row>
    <row r="500" spans="1:10">
      <c r="A500" t="s">
        <v>3802</v>
      </c>
      <c r="B500">
        <v>1331</v>
      </c>
      <c r="C500" t="s">
        <v>3803</v>
      </c>
      <c r="D500" t="s">
        <v>198</v>
      </c>
      <c r="E500" t="s">
        <v>50</v>
      </c>
      <c r="F500" t="s">
        <v>3804</v>
      </c>
      <c r="G500" t="s">
        <v>152</v>
      </c>
      <c r="H500" t="s">
        <v>153</v>
      </c>
      <c r="I500" t="s">
        <v>154</v>
      </c>
      <c r="J500">
        <v>20220908</v>
      </c>
    </row>
    <row r="501" spans="1:10">
      <c r="A501" t="s">
        <v>5499</v>
      </c>
      <c r="B501">
        <v>1332</v>
      </c>
      <c r="C501" t="s">
        <v>5500</v>
      </c>
      <c r="D501" t="s">
        <v>212</v>
      </c>
      <c r="E501" t="s">
        <v>122</v>
      </c>
      <c r="F501" t="s">
        <v>5501</v>
      </c>
      <c r="G501" t="s">
        <v>152</v>
      </c>
      <c r="H501" t="s">
        <v>153</v>
      </c>
      <c r="I501" t="s">
        <v>154</v>
      </c>
      <c r="J501">
        <v>20220920</v>
      </c>
    </row>
    <row r="502" spans="1:10">
      <c r="A502" t="s">
        <v>425</v>
      </c>
      <c r="B502">
        <v>1333</v>
      </c>
      <c r="C502" t="s">
        <v>426</v>
      </c>
      <c r="D502" t="s">
        <v>423</v>
      </c>
      <c r="E502" t="s">
        <v>14</v>
      </c>
      <c r="F502" t="s">
        <v>427</v>
      </c>
      <c r="G502" t="s">
        <v>152</v>
      </c>
      <c r="H502" t="s">
        <v>153</v>
      </c>
      <c r="I502" t="s">
        <v>154</v>
      </c>
      <c r="J502">
        <v>20221208</v>
      </c>
    </row>
    <row r="503" spans="1:10">
      <c r="A503" t="s">
        <v>5502</v>
      </c>
      <c r="B503">
        <v>1336</v>
      </c>
      <c r="C503" t="s">
        <v>5503</v>
      </c>
      <c r="D503" t="s">
        <v>423</v>
      </c>
      <c r="E503" t="s">
        <v>122</v>
      </c>
      <c r="F503" t="s">
        <v>5504</v>
      </c>
      <c r="G503" t="s">
        <v>152</v>
      </c>
      <c r="H503" t="s">
        <v>153</v>
      </c>
      <c r="I503" t="s">
        <v>154</v>
      </c>
      <c r="J503">
        <v>20220725</v>
      </c>
    </row>
    <row r="504" spans="1:10">
      <c r="A504" t="s">
        <v>2392</v>
      </c>
      <c r="B504">
        <v>1338</v>
      </c>
      <c r="C504" t="s">
        <v>2393</v>
      </c>
      <c r="D504" t="s">
        <v>223</v>
      </c>
      <c r="E504" t="s">
        <v>49</v>
      </c>
      <c r="F504" t="s">
        <v>2394</v>
      </c>
      <c r="G504" t="s">
        <v>152</v>
      </c>
      <c r="H504" t="s">
        <v>153</v>
      </c>
      <c r="I504" t="s">
        <v>154</v>
      </c>
      <c r="J504">
        <v>20221116</v>
      </c>
    </row>
    <row r="505" spans="1:10">
      <c r="A505" t="s">
        <v>1321</v>
      </c>
      <c r="B505">
        <v>1339</v>
      </c>
      <c r="C505" t="s">
        <v>1322</v>
      </c>
      <c r="D505" t="s">
        <v>243</v>
      </c>
      <c r="E505" t="s">
        <v>1</v>
      </c>
      <c r="F505" t="s">
        <v>1323</v>
      </c>
      <c r="G505" t="s">
        <v>152</v>
      </c>
      <c r="H505" t="s">
        <v>153</v>
      </c>
      <c r="I505" t="s">
        <v>154</v>
      </c>
      <c r="J505">
        <v>20220815</v>
      </c>
    </row>
    <row r="506" spans="1:10">
      <c r="A506" t="s">
        <v>1867</v>
      </c>
      <c r="B506">
        <v>1696</v>
      </c>
      <c r="C506" t="s">
        <v>1868</v>
      </c>
      <c r="D506" t="s">
        <v>937</v>
      </c>
      <c r="E506" t="s">
        <v>43</v>
      </c>
      <c r="F506" t="s">
        <v>1869</v>
      </c>
      <c r="G506" t="s">
        <v>152</v>
      </c>
      <c r="H506" t="s">
        <v>153</v>
      </c>
      <c r="I506" t="s">
        <v>154</v>
      </c>
      <c r="J506">
        <v>19970306</v>
      </c>
    </row>
    <row r="507" spans="1:10">
      <c r="A507" t="s">
        <v>3805</v>
      </c>
      <c r="B507">
        <v>1872</v>
      </c>
      <c r="C507" t="s">
        <v>3806</v>
      </c>
      <c r="D507" t="s">
        <v>243</v>
      </c>
      <c r="E507" t="s">
        <v>83</v>
      </c>
      <c r="F507" t="s">
        <v>3807</v>
      </c>
      <c r="G507" t="s">
        <v>152</v>
      </c>
      <c r="H507" t="s">
        <v>153</v>
      </c>
      <c r="I507" t="s">
        <v>154</v>
      </c>
      <c r="J507">
        <v>19930505</v>
      </c>
    </row>
    <row r="508" spans="1:10">
      <c r="A508" t="s">
        <v>3505</v>
      </c>
      <c r="B508">
        <v>1896</v>
      </c>
      <c r="C508" t="s">
        <v>3506</v>
      </c>
      <c r="D508" t="s">
        <v>292</v>
      </c>
      <c r="E508" t="s">
        <v>77</v>
      </c>
      <c r="F508" t="s">
        <v>3507</v>
      </c>
      <c r="G508" t="s">
        <v>152</v>
      </c>
      <c r="H508" t="s">
        <v>153</v>
      </c>
      <c r="I508" t="s">
        <v>154</v>
      </c>
      <c r="J508">
        <v>19980122</v>
      </c>
    </row>
    <row r="509" spans="1:10">
      <c r="A509" t="s">
        <v>4233</v>
      </c>
      <c r="B509">
        <v>1914</v>
      </c>
      <c r="C509" t="s">
        <v>4234</v>
      </c>
      <c r="D509" t="s">
        <v>243</v>
      </c>
      <c r="E509" t="s">
        <v>70</v>
      </c>
      <c r="F509" t="s">
        <v>4235</v>
      </c>
      <c r="G509" t="s">
        <v>152</v>
      </c>
      <c r="H509" t="s">
        <v>153</v>
      </c>
      <c r="I509" t="s">
        <v>154</v>
      </c>
      <c r="J509">
        <v>19940928</v>
      </c>
    </row>
    <row r="510" spans="1:10">
      <c r="A510" t="s">
        <v>3808</v>
      </c>
      <c r="B510">
        <v>1965</v>
      </c>
      <c r="C510" t="s">
        <v>3809</v>
      </c>
      <c r="D510" t="s">
        <v>576</v>
      </c>
      <c r="E510" t="s">
        <v>98</v>
      </c>
      <c r="F510" t="s">
        <v>3810</v>
      </c>
      <c r="G510" t="s">
        <v>152</v>
      </c>
      <c r="H510" t="s">
        <v>153</v>
      </c>
      <c r="I510" t="s">
        <v>154</v>
      </c>
      <c r="J510">
        <v>20171225</v>
      </c>
    </row>
    <row r="511" spans="1:10">
      <c r="A511" t="s">
        <v>4236</v>
      </c>
      <c r="B511">
        <v>1979</v>
      </c>
      <c r="C511" t="s">
        <v>4237</v>
      </c>
      <c r="D511" t="s">
        <v>243</v>
      </c>
      <c r="E511" t="s">
        <v>84</v>
      </c>
      <c r="F511" t="s">
        <v>4238</v>
      </c>
      <c r="G511" t="s">
        <v>152</v>
      </c>
      <c r="H511" t="s">
        <v>153</v>
      </c>
      <c r="I511" t="s">
        <v>154</v>
      </c>
      <c r="J511">
        <v>20151230</v>
      </c>
    </row>
    <row r="512" spans="1:10">
      <c r="A512" t="s">
        <v>4683</v>
      </c>
      <c r="B512">
        <v>600000</v>
      </c>
      <c r="C512" t="s">
        <v>4684</v>
      </c>
      <c r="D512" t="s">
        <v>172</v>
      </c>
      <c r="E512" t="s">
        <v>62</v>
      </c>
      <c r="F512" t="s">
        <v>4685</v>
      </c>
      <c r="G512" t="s">
        <v>152</v>
      </c>
      <c r="H512" t="s">
        <v>174</v>
      </c>
      <c r="I512" t="s">
        <v>154</v>
      </c>
      <c r="J512">
        <v>19991110</v>
      </c>
    </row>
    <row r="513" spans="1:10">
      <c r="A513" t="s">
        <v>3811</v>
      </c>
      <c r="B513">
        <v>600004</v>
      </c>
      <c r="C513" t="s">
        <v>3812</v>
      </c>
      <c r="D513" t="s">
        <v>223</v>
      </c>
      <c r="E513" t="s">
        <v>101</v>
      </c>
      <c r="F513" t="s">
        <v>3813</v>
      </c>
      <c r="G513" t="s">
        <v>152</v>
      </c>
      <c r="H513" t="s">
        <v>174</v>
      </c>
      <c r="I513" t="s">
        <v>154</v>
      </c>
      <c r="J513">
        <v>20030428</v>
      </c>
    </row>
    <row r="514" spans="1:10">
      <c r="A514" t="s">
        <v>1870</v>
      </c>
      <c r="B514">
        <v>600006</v>
      </c>
      <c r="C514" t="s">
        <v>1871</v>
      </c>
      <c r="D514" t="s">
        <v>316</v>
      </c>
      <c r="E514" t="s">
        <v>36</v>
      </c>
      <c r="F514" t="s">
        <v>1872</v>
      </c>
      <c r="G514" t="s">
        <v>152</v>
      </c>
      <c r="H514" t="s">
        <v>174</v>
      </c>
      <c r="I514" t="s">
        <v>154</v>
      </c>
      <c r="J514">
        <v>19990727</v>
      </c>
    </row>
    <row r="515" spans="1:10">
      <c r="A515" t="s">
        <v>4239</v>
      </c>
      <c r="B515">
        <v>600007</v>
      </c>
      <c r="C515" t="s">
        <v>4240</v>
      </c>
      <c r="D515" t="s">
        <v>164</v>
      </c>
      <c r="E515" t="s">
        <v>93</v>
      </c>
      <c r="F515" t="s">
        <v>4241</v>
      </c>
      <c r="G515" t="s">
        <v>152</v>
      </c>
      <c r="H515" t="s">
        <v>174</v>
      </c>
      <c r="I515" t="s">
        <v>154</v>
      </c>
      <c r="J515">
        <v>19990312</v>
      </c>
    </row>
    <row r="516" spans="1:10">
      <c r="A516" t="s">
        <v>6573</v>
      </c>
      <c r="B516">
        <v>600008</v>
      </c>
      <c r="C516" t="s">
        <v>6574</v>
      </c>
      <c r="D516" t="s">
        <v>164</v>
      </c>
      <c r="E516" t="s">
        <v>119</v>
      </c>
      <c r="F516" t="s">
        <v>6575</v>
      </c>
      <c r="G516" t="s">
        <v>152</v>
      </c>
      <c r="H516" t="s">
        <v>174</v>
      </c>
      <c r="I516" t="s">
        <v>154</v>
      </c>
      <c r="J516">
        <v>20000427</v>
      </c>
    </row>
    <row r="517" spans="1:10">
      <c r="A517" t="s">
        <v>3814</v>
      </c>
      <c r="B517">
        <v>600009</v>
      </c>
      <c r="C517" t="s">
        <v>3815</v>
      </c>
      <c r="D517" t="s">
        <v>172</v>
      </c>
      <c r="E517" t="s">
        <v>101</v>
      </c>
      <c r="F517" t="s">
        <v>3816</v>
      </c>
      <c r="G517" t="s">
        <v>152</v>
      </c>
      <c r="H517" t="s">
        <v>174</v>
      </c>
      <c r="I517" t="s">
        <v>154</v>
      </c>
      <c r="J517">
        <v>19980218</v>
      </c>
    </row>
    <row r="518" spans="1:10">
      <c r="A518" t="s">
        <v>872</v>
      </c>
      <c r="B518">
        <v>600010</v>
      </c>
      <c r="C518" t="s">
        <v>873</v>
      </c>
      <c r="D518" t="s">
        <v>266</v>
      </c>
      <c r="E518" t="s">
        <v>25</v>
      </c>
      <c r="F518" t="s">
        <v>874</v>
      </c>
      <c r="G518" t="s">
        <v>152</v>
      </c>
      <c r="H518" t="s">
        <v>174</v>
      </c>
      <c r="I518" t="s">
        <v>154</v>
      </c>
      <c r="J518">
        <v>20010309</v>
      </c>
    </row>
    <row r="519" spans="1:10">
      <c r="A519" t="s">
        <v>3508</v>
      </c>
      <c r="B519">
        <v>600011</v>
      </c>
      <c r="C519" t="s">
        <v>3509</v>
      </c>
      <c r="D519" t="s">
        <v>164</v>
      </c>
      <c r="E519" t="s">
        <v>77</v>
      </c>
      <c r="F519" t="s">
        <v>3510</v>
      </c>
      <c r="G519" t="s">
        <v>152</v>
      </c>
      <c r="H519" t="s">
        <v>174</v>
      </c>
      <c r="I519" t="s">
        <v>154</v>
      </c>
      <c r="J519">
        <v>20011206</v>
      </c>
    </row>
    <row r="520" spans="1:10">
      <c r="A520" t="s">
        <v>3817</v>
      </c>
      <c r="B520">
        <v>600012</v>
      </c>
      <c r="C520" t="s">
        <v>3818</v>
      </c>
      <c r="D520" t="s">
        <v>160</v>
      </c>
      <c r="E520" t="s">
        <v>98</v>
      </c>
      <c r="F520" t="s">
        <v>3819</v>
      </c>
      <c r="G520" t="s">
        <v>152</v>
      </c>
      <c r="H520" t="s">
        <v>174</v>
      </c>
      <c r="I520" t="s">
        <v>154</v>
      </c>
      <c r="J520">
        <v>20030107</v>
      </c>
    </row>
    <row r="521" spans="1:10">
      <c r="A521" t="s">
        <v>4686</v>
      </c>
      <c r="B521">
        <v>600015</v>
      </c>
      <c r="C521" t="s">
        <v>4687</v>
      </c>
      <c r="D521" t="s">
        <v>164</v>
      </c>
      <c r="E521" t="s">
        <v>62</v>
      </c>
      <c r="F521" t="s">
        <v>4688</v>
      </c>
      <c r="G521" t="s">
        <v>152</v>
      </c>
      <c r="H521" t="s">
        <v>174</v>
      </c>
      <c r="I521" t="s">
        <v>154</v>
      </c>
      <c r="J521">
        <v>20030912</v>
      </c>
    </row>
    <row r="522" spans="1:10">
      <c r="A522" t="s">
        <v>4689</v>
      </c>
      <c r="B522">
        <v>600016</v>
      </c>
      <c r="C522" t="s">
        <v>4690</v>
      </c>
      <c r="D522" t="s">
        <v>164</v>
      </c>
      <c r="E522" t="s">
        <v>62</v>
      </c>
      <c r="F522" t="s">
        <v>4691</v>
      </c>
      <c r="G522" t="s">
        <v>152</v>
      </c>
      <c r="H522" t="s">
        <v>174</v>
      </c>
      <c r="I522" t="s">
        <v>154</v>
      </c>
      <c r="J522">
        <v>20001219</v>
      </c>
    </row>
    <row r="523" spans="1:10">
      <c r="A523" t="s">
        <v>3820</v>
      </c>
      <c r="B523">
        <v>600017</v>
      </c>
      <c r="C523" t="s">
        <v>3821</v>
      </c>
      <c r="D523" t="s">
        <v>198</v>
      </c>
      <c r="E523" t="s">
        <v>83</v>
      </c>
      <c r="F523" t="s">
        <v>3822</v>
      </c>
      <c r="G523" t="s">
        <v>152</v>
      </c>
      <c r="H523" t="s">
        <v>174</v>
      </c>
      <c r="I523" t="s">
        <v>154</v>
      </c>
      <c r="J523">
        <v>20061017</v>
      </c>
    </row>
    <row r="524" spans="1:10">
      <c r="A524" t="s">
        <v>3823</v>
      </c>
      <c r="B524">
        <v>600018</v>
      </c>
      <c r="C524" t="s">
        <v>3824</v>
      </c>
      <c r="D524" t="s">
        <v>172</v>
      </c>
      <c r="E524" t="s">
        <v>83</v>
      </c>
      <c r="F524" t="s">
        <v>3825</v>
      </c>
      <c r="G524" t="s">
        <v>152</v>
      </c>
      <c r="H524" t="s">
        <v>174</v>
      </c>
      <c r="I524" t="s">
        <v>154</v>
      </c>
      <c r="J524">
        <v>20061026</v>
      </c>
    </row>
    <row r="525" spans="1:10">
      <c r="A525" t="s">
        <v>875</v>
      </c>
      <c r="B525">
        <v>600019</v>
      </c>
      <c r="C525" t="s">
        <v>876</v>
      </c>
      <c r="D525" t="s">
        <v>172</v>
      </c>
      <c r="E525" t="s">
        <v>25</v>
      </c>
      <c r="F525" t="s">
        <v>877</v>
      </c>
      <c r="G525" t="s">
        <v>152</v>
      </c>
      <c r="H525" t="s">
        <v>174</v>
      </c>
      <c r="I525" t="s">
        <v>154</v>
      </c>
      <c r="J525">
        <v>20001212</v>
      </c>
    </row>
    <row r="526" spans="1:10">
      <c r="A526" t="s">
        <v>3826</v>
      </c>
      <c r="B526">
        <v>600020</v>
      </c>
      <c r="C526" t="s">
        <v>3827</v>
      </c>
      <c r="D526" t="s">
        <v>292</v>
      </c>
      <c r="E526" t="s">
        <v>98</v>
      </c>
      <c r="F526" t="s">
        <v>3828</v>
      </c>
      <c r="G526" t="s">
        <v>152</v>
      </c>
      <c r="H526" t="s">
        <v>174</v>
      </c>
      <c r="I526" t="s">
        <v>154</v>
      </c>
      <c r="J526">
        <v>20030808</v>
      </c>
    </row>
    <row r="527" spans="1:10">
      <c r="A527" t="s">
        <v>3511</v>
      </c>
      <c r="B527">
        <v>600021</v>
      </c>
      <c r="C527" t="s">
        <v>3512</v>
      </c>
      <c r="D527" t="s">
        <v>172</v>
      </c>
      <c r="E527" t="s">
        <v>77</v>
      </c>
      <c r="F527" t="s">
        <v>3513</v>
      </c>
      <c r="G527" t="s">
        <v>152</v>
      </c>
      <c r="H527" t="s">
        <v>174</v>
      </c>
      <c r="I527" t="s">
        <v>154</v>
      </c>
      <c r="J527">
        <v>20031029</v>
      </c>
    </row>
    <row r="528" spans="1:10">
      <c r="A528" t="s">
        <v>878</v>
      </c>
      <c r="B528">
        <v>600022</v>
      </c>
      <c r="C528" t="s">
        <v>879</v>
      </c>
      <c r="D528" t="s">
        <v>198</v>
      </c>
      <c r="E528" t="s">
        <v>25</v>
      </c>
      <c r="F528" t="s">
        <v>880</v>
      </c>
      <c r="G528" t="s">
        <v>152</v>
      </c>
      <c r="H528" t="s">
        <v>174</v>
      </c>
      <c r="I528" t="s">
        <v>154</v>
      </c>
      <c r="J528">
        <v>20040629</v>
      </c>
    </row>
    <row r="529" spans="1:10">
      <c r="A529" t="s">
        <v>3514</v>
      </c>
      <c r="B529">
        <v>600023</v>
      </c>
      <c r="C529" t="s">
        <v>3515</v>
      </c>
      <c r="D529" t="s">
        <v>423</v>
      </c>
      <c r="E529" t="s">
        <v>77</v>
      </c>
      <c r="F529" t="s">
        <v>3516</v>
      </c>
      <c r="G529" t="s">
        <v>152</v>
      </c>
      <c r="H529" t="s">
        <v>174</v>
      </c>
      <c r="I529" t="s">
        <v>154</v>
      </c>
      <c r="J529">
        <v>20131219</v>
      </c>
    </row>
    <row r="530" spans="1:10">
      <c r="A530" t="s">
        <v>3517</v>
      </c>
      <c r="B530">
        <v>600025</v>
      </c>
      <c r="C530" t="s">
        <v>3518</v>
      </c>
      <c r="D530" t="s">
        <v>184</v>
      </c>
      <c r="E530" t="s">
        <v>68</v>
      </c>
      <c r="F530" t="s">
        <v>3519</v>
      </c>
      <c r="G530" t="s">
        <v>152</v>
      </c>
      <c r="H530" t="s">
        <v>174</v>
      </c>
      <c r="I530" t="s">
        <v>154</v>
      </c>
      <c r="J530">
        <v>20171215</v>
      </c>
    </row>
    <row r="531" spans="1:10">
      <c r="A531" t="s">
        <v>3829</v>
      </c>
      <c r="B531">
        <v>600026</v>
      </c>
      <c r="C531" t="s">
        <v>3830</v>
      </c>
      <c r="D531" t="s">
        <v>172</v>
      </c>
      <c r="E531" t="s">
        <v>92</v>
      </c>
      <c r="F531" t="s">
        <v>3831</v>
      </c>
      <c r="G531" t="s">
        <v>152</v>
      </c>
      <c r="H531" t="s">
        <v>174</v>
      </c>
      <c r="I531" t="s">
        <v>154</v>
      </c>
      <c r="J531">
        <v>20020523</v>
      </c>
    </row>
    <row r="532" spans="1:10">
      <c r="A532" t="s">
        <v>3520</v>
      </c>
      <c r="B532">
        <v>600027</v>
      </c>
      <c r="C532" t="s">
        <v>3521</v>
      </c>
      <c r="D532" t="s">
        <v>198</v>
      </c>
      <c r="E532" t="s">
        <v>77</v>
      </c>
      <c r="F532" t="s">
        <v>3522</v>
      </c>
      <c r="G532" t="s">
        <v>152</v>
      </c>
      <c r="H532" t="s">
        <v>174</v>
      </c>
      <c r="I532" t="s">
        <v>154</v>
      </c>
      <c r="J532">
        <v>20050203</v>
      </c>
    </row>
    <row r="533" spans="1:10">
      <c r="A533" t="s">
        <v>6477</v>
      </c>
      <c r="B533">
        <v>600028</v>
      </c>
      <c r="C533" t="s">
        <v>6478</v>
      </c>
      <c r="D533" t="s">
        <v>164</v>
      </c>
      <c r="E533" t="s">
        <v>130</v>
      </c>
      <c r="F533" t="s">
        <v>6479</v>
      </c>
      <c r="G533" t="s">
        <v>152</v>
      </c>
      <c r="H533" t="s">
        <v>174</v>
      </c>
      <c r="I533" t="s">
        <v>154</v>
      </c>
      <c r="J533">
        <v>20010808</v>
      </c>
    </row>
    <row r="534" spans="1:10">
      <c r="A534" t="s">
        <v>3832</v>
      </c>
      <c r="B534">
        <v>600029</v>
      </c>
      <c r="C534" t="s">
        <v>3833</v>
      </c>
      <c r="D534" t="s">
        <v>223</v>
      </c>
      <c r="E534" t="s">
        <v>103</v>
      </c>
      <c r="F534" t="s">
        <v>3834</v>
      </c>
      <c r="G534" t="s">
        <v>152</v>
      </c>
      <c r="H534" t="s">
        <v>174</v>
      </c>
      <c r="I534" t="s">
        <v>154</v>
      </c>
      <c r="J534">
        <v>20030725</v>
      </c>
    </row>
    <row r="535" spans="1:10">
      <c r="A535" t="s">
        <v>4842</v>
      </c>
      <c r="B535">
        <v>600030</v>
      </c>
      <c r="C535" t="s">
        <v>4843</v>
      </c>
      <c r="D535" t="s">
        <v>243</v>
      </c>
      <c r="E535" t="s">
        <v>87</v>
      </c>
      <c r="F535" t="s">
        <v>4844</v>
      </c>
      <c r="G535" t="s">
        <v>152</v>
      </c>
      <c r="H535" t="s">
        <v>174</v>
      </c>
      <c r="I535" t="s">
        <v>154</v>
      </c>
      <c r="J535">
        <v>20030106</v>
      </c>
    </row>
    <row r="536" spans="1:10">
      <c r="A536" t="s">
        <v>5505</v>
      </c>
      <c r="B536">
        <v>600031</v>
      </c>
      <c r="C536" t="s">
        <v>5506</v>
      </c>
      <c r="D536" t="s">
        <v>164</v>
      </c>
      <c r="E536" t="s">
        <v>104</v>
      </c>
      <c r="F536" t="s">
        <v>5507</v>
      </c>
      <c r="G536" t="s">
        <v>152</v>
      </c>
      <c r="H536" t="s">
        <v>174</v>
      </c>
      <c r="I536" t="s">
        <v>154</v>
      </c>
      <c r="J536">
        <v>20030703</v>
      </c>
    </row>
    <row r="537" spans="1:10">
      <c r="A537" t="s">
        <v>3523</v>
      </c>
      <c r="B537">
        <v>600032</v>
      </c>
      <c r="C537" t="s">
        <v>3524</v>
      </c>
      <c r="D537" t="s">
        <v>423</v>
      </c>
      <c r="E537" t="s">
        <v>82</v>
      </c>
      <c r="F537" t="s">
        <v>3525</v>
      </c>
      <c r="G537" t="s">
        <v>152</v>
      </c>
      <c r="H537" t="s">
        <v>174</v>
      </c>
      <c r="I537" t="s">
        <v>154</v>
      </c>
      <c r="J537">
        <v>20210525</v>
      </c>
    </row>
    <row r="538" spans="1:10">
      <c r="A538" t="s">
        <v>3835</v>
      </c>
      <c r="B538">
        <v>600033</v>
      </c>
      <c r="C538" t="s">
        <v>3836</v>
      </c>
      <c r="D538" t="s">
        <v>150</v>
      </c>
      <c r="E538" t="s">
        <v>98</v>
      </c>
      <c r="F538" t="s">
        <v>3837</v>
      </c>
      <c r="G538" t="s">
        <v>152</v>
      </c>
      <c r="H538" t="s">
        <v>174</v>
      </c>
      <c r="I538" t="s">
        <v>154</v>
      </c>
      <c r="J538">
        <v>20010209</v>
      </c>
    </row>
    <row r="539" spans="1:10">
      <c r="A539" t="s">
        <v>3838</v>
      </c>
      <c r="B539">
        <v>600035</v>
      </c>
      <c r="C539" t="s">
        <v>3839</v>
      </c>
      <c r="D539" t="s">
        <v>316</v>
      </c>
      <c r="E539" t="s">
        <v>98</v>
      </c>
      <c r="F539" t="s">
        <v>3840</v>
      </c>
      <c r="G539" t="s">
        <v>152</v>
      </c>
      <c r="H539" t="s">
        <v>174</v>
      </c>
      <c r="I539" t="s">
        <v>154</v>
      </c>
      <c r="J539">
        <v>20040310</v>
      </c>
    </row>
    <row r="540" spans="1:10">
      <c r="A540" t="s">
        <v>4692</v>
      </c>
      <c r="B540">
        <v>600036</v>
      </c>
      <c r="C540" t="s">
        <v>4693</v>
      </c>
      <c r="D540" t="s">
        <v>243</v>
      </c>
      <c r="E540" t="s">
        <v>62</v>
      </c>
      <c r="F540" t="s">
        <v>4694</v>
      </c>
      <c r="G540" t="s">
        <v>152</v>
      </c>
      <c r="H540" t="s">
        <v>174</v>
      </c>
      <c r="I540" t="s">
        <v>154</v>
      </c>
      <c r="J540">
        <v>20020409</v>
      </c>
    </row>
    <row r="541" spans="1:10">
      <c r="A541" t="s">
        <v>6048</v>
      </c>
      <c r="B541">
        <v>600037</v>
      </c>
      <c r="C541" t="s">
        <v>6049</v>
      </c>
      <c r="D541" t="s">
        <v>164</v>
      </c>
      <c r="E541" t="s">
        <v>124</v>
      </c>
      <c r="F541" t="s">
        <v>6050</v>
      </c>
      <c r="G541" t="s">
        <v>152</v>
      </c>
      <c r="H541" t="s">
        <v>174</v>
      </c>
      <c r="I541" t="s">
        <v>154</v>
      </c>
      <c r="J541">
        <v>20010208</v>
      </c>
    </row>
    <row r="542" spans="1:10">
      <c r="A542" t="s">
        <v>3841</v>
      </c>
      <c r="B542">
        <v>600038</v>
      </c>
      <c r="C542" t="s">
        <v>3842</v>
      </c>
      <c r="D542" t="s">
        <v>194</v>
      </c>
      <c r="E542" t="s">
        <v>102</v>
      </c>
      <c r="F542" t="s">
        <v>3843</v>
      </c>
      <c r="G542" t="s">
        <v>152</v>
      </c>
      <c r="H542" t="s">
        <v>174</v>
      </c>
      <c r="I542" t="s">
        <v>154</v>
      </c>
      <c r="J542">
        <v>20001218</v>
      </c>
    </row>
    <row r="543" spans="1:10">
      <c r="A543" t="s">
        <v>5238</v>
      </c>
      <c r="B543">
        <v>600039</v>
      </c>
      <c r="C543" t="s">
        <v>5239</v>
      </c>
      <c r="D543" t="s">
        <v>219</v>
      </c>
      <c r="E543" t="s">
        <v>121</v>
      </c>
      <c r="F543" t="s">
        <v>5240</v>
      </c>
      <c r="G543" t="s">
        <v>152</v>
      </c>
      <c r="H543" t="s">
        <v>174</v>
      </c>
      <c r="I543" t="s">
        <v>154</v>
      </c>
      <c r="J543">
        <v>20030325</v>
      </c>
    </row>
    <row r="544" spans="1:10">
      <c r="A544" t="s">
        <v>4242</v>
      </c>
      <c r="B544">
        <v>600048</v>
      </c>
      <c r="C544" t="s">
        <v>4243</v>
      </c>
      <c r="D544" t="s">
        <v>223</v>
      </c>
      <c r="E544" t="s">
        <v>84</v>
      </c>
      <c r="F544" t="s">
        <v>4244</v>
      </c>
      <c r="G544" t="s">
        <v>152</v>
      </c>
      <c r="H544" t="s">
        <v>174</v>
      </c>
      <c r="I544" t="s">
        <v>154</v>
      </c>
      <c r="J544">
        <v>20060731</v>
      </c>
    </row>
    <row r="545" spans="1:10">
      <c r="A545" t="s">
        <v>6246</v>
      </c>
      <c r="B545">
        <v>600050</v>
      </c>
      <c r="C545" t="s">
        <v>6247</v>
      </c>
      <c r="D545" t="s">
        <v>164</v>
      </c>
      <c r="E545" t="s">
        <v>89</v>
      </c>
      <c r="F545" t="s">
        <v>6248</v>
      </c>
      <c r="G545" t="s">
        <v>152</v>
      </c>
      <c r="H545" t="s">
        <v>174</v>
      </c>
      <c r="I545" t="s">
        <v>154</v>
      </c>
      <c r="J545">
        <v>20021009</v>
      </c>
    </row>
    <row r="546" spans="1:10">
      <c r="A546" t="s">
        <v>5016</v>
      </c>
      <c r="B546">
        <v>600051</v>
      </c>
      <c r="C546" t="s">
        <v>5017</v>
      </c>
      <c r="D546" t="s">
        <v>423</v>
      </c>
      <c r="E546" t="s">
        <v>74</v>
      </c>
      <c r="F546" t="s">
        <v>5018</v>
      </c>
      <c r="G546" t="s">
        <v>152</v>
      </c>
      <c r="H546" t="s">
        <v>174</v>
      </c>
      <c r="I546" t="s">
        <v>154</v>
      </c>
      <c r="J546">
        <v>19970410</v>
      </c>
    </row>
    <row r="547" spans="1:10">
      <c r="A547" t="s">
        <v>6051</v>
      </c>
      <c r="B547">
        <v>600052</v>
      </c>
      <c r="C547" t="s">
        <v>6052</v>
      </c>
      <c r="D547" t="s">
        <v>423</v>
      </c>
      <c r="E547" t="s">
        <v>124</v>
      </c>
      <c r="F547" t="s">
        <v>6053</v>
      </c>
      <c r="G547" t="s">
        <v>152</v>
      </c>
      <c r="H547" t="s">
        <v>174</v>
      </c>
      <c r="I547" t="s">
        <v>154</v>
      </c>
      <c r="J547">
        <v>19970415</v>
      </c>
    </row>
    <row r="548" spans="1:10">
      <c r="A548" t="s">
        <v>4845</v>
      </c>
      <c r="B548">
        <v>600053</v>
      </c>
      <c r="C548" t="s">
        <v>4846</v>
      </c>
      <c r="D548" t="s">
        <v>406</v>
      </c>
      <c r="E548" t="s">
        <v>73</v>
      </c>
      <c r="F548" t="s">
        <v>4847</v>
      </c>
      <c r="G548" t="s">
        <v>152</v>
      </c>
      <c r="H548" t="s">
        <v>174</v>
      </c>
      <c r="I548" t="s">
        <v>154</v>
      </c>
      <c r="J548">
        <v>19970418</v>
      </c>
    </row>
    <row r="549" spans="1:10">
      <c r="A549" t="s">
        <v>4635</v>
      </c>
      <c r="B549">
        <v>600054</v>
      </c>
      <c r="C549" t="s">
        <v>4636</v>
      </c>
      <c r="D549" t="s">
        <v>160</v>
      </c>
      <c r="E549" t="s">
        <v>80</v>
      </c>
      <c r="F549" t="s">
        <v>4637</v>
      </c>
      <c r="G549" t="s">
        <v>152</v>
      </c>
      <c r="H549" t="s">
        <v>174</v>
      </c>
      <c r="I549" t="s">
        <v>154</v>
      </c>
      <c r="J549">
        <v>19970506</v>
      </c>
    </row>
    <row r="550" spans="1:10">
      <c r="A550" t="s">
        <v>3133</v>
      </c>
      <c r="B550">
        <v>600055</v>
      </c>
      <c r="C550" t="s">
        <v>3134</v>
      </c>
      <c r="D550" t="s">
        <v>164</v>
      </c>
      <c r="E550" t="s">
        <v>90</v>
      </c>
      <c r="F550" t="s">
        <v>3135</v>
      </c>
      <c r="G550" t="s">
        <v>152</v>
      </c>
      <c r="H550" t="s">
        <v>174</v>
      </c>
      <c r="I550" t="s">
        <v>154</v>
      </c>
      <c r="J550">
        <v>19970519</v>
      </c>
    </row>
    <row r="551" spans="1:10">
      <c r="A551" t="s">
        <v>3220</v>
      </c>
      <c r="B551">
        <v>600056</v>
      </c>
      <c r="C551" t="s">
        <v>3221</v>
      </c>
      <c r="D551" t="s">
        <v>164</v>
      </c>
      <c r="E551" t="s">
        <v>95</v>
      </c>
      <c r="F551" t="s">
        <v>3222</v>
      </c>
      <c r="G551" t="s">
        <v>152</v>
      </c>
      <c r="H551" t="s">
        <v>174</v>
      </c>
      <c r="I551" t="s">
        <v>154</v>
      </c>
      <c r="J551">
        <v>19970515</v>
      </c>
    </row>
    <row r="552" spans="1:10">
      <c r="A552" t="s">
        <v>3844</v>
      </c>
      <c r="B552">
        <v>600057</v>
      </c>
      <c r="C552" t="s">
        <v>3845</v>
      </c>
      <c r="D552" t="s">
        <v>150</v>
      </c>
      <c r="E552" t="s">
        <v>50</v>
      </c>
      <c r="F552" t="s">
        <v>3846</v>
      </c>
      <c r="G552" t="s">
        <v>152</v>
      </c>
      <c r="H552" t="s">
        <v>174</v>
      </c>
      <c r="I552" t="s">
        <v>154</v>
      </c>
      <c r="J552">
        <v>19970604</v>
      </c>
    </row>
    <row r="553" spans="1:10">
      <c r="A553" t="s">
        <v>4464</v>
      </c>
      <c r="B553">
        <v>600058</v>
      </c>
      <c r="C553" t="s">
        <v>4465</v>
      </c>
      <c r="D553" t="s">
        <v>164</v>
      </c>
      <c r="E553" t="s">
        <v>71</v>
      </c>
      <c r="F553" t="s">
        <v>4466</v>
      </c>
      <c r="G553" t="s">
        <v>152</v>
      </c>
      <c r="H553" t="s">
        <v>174</v>
      </c>
      <c r="I553" t="s">
        <v>154</v>
      </c>
      <c r="J553">
        <v>19970528</v>
      </c>
    </row>
    <row r="554" spans="1:10">
      <c r="A554" t="s">
        <v>2395</v>
      </c>
      <c r="B554">
        <v>600059</v>
      </c>
      <c r="C554" t="s">
        <v>2396</v>
      </c>
      <c r="D554" t="s">
        <v>423</v>
      </c>
      <c r="E554" t="s">
        <v>44</v>
      </c>
      <c r="F554" t="s">
        <v>2397</v>
      </c>
      <c r="G554" t="s">
        <v>152</v>
      </c>
      <c r="H554" t="s">
        <v>174</v>
      </c>
      <c r="I554" t="s">
        <v>154</v>
      </c>
      <c r="J554">
        <v>19970516</v>
      </c>
    </row>
    <row r="555" spans="1:10">
      <c r="A555" t="s">
        <v>2242</v>
      </c>
      <c r="B555">
        <v>600060</v>
      </c>
      <c r="C555" t="s">
        <v>2243</v>
      </c>
      <c r="D555" t="s">
        <v>198</v>
      </c>
      <c r="E555" t="s">
        <v>8</v>
      </c>
      <c r="F555" t="s">
        <v>2244</v>
      </c>
      <c r="G555" t="s">
        <v>152</v>
      </c>
      <c r="H555" t="s">
        <v>174</v>
      </c>
      <c r="I555" t="s">
        <v>154</v>
      </c>
      <c r="J555">
        <v>19970422</v>
      </c>
    </row>
    <row r="556" spans="1:10">
      <c r="A556" t="s">
        <v>4848</v>
      </c>
      <c r="B556">
        <v>600061</v>
      </c>
      <c r="C556" t="s">
        <v>4849</v>
      </c>
      <c r="D556" t="s">
        <v>172</v>
      </c>
      <c r="E556" t="s">
        <v>87</v>
      </c>
      <c r="F556" t="s">
        <v>4850</v>
      </c>
      <c r="G556" t="s">
        <v>152</v>
      </c>
      <c r="H556" t="s">
        <v>174</v>
      </c>
      <c r="I556" t="s">
        <v>154</v>
      </c>
      <c r="J556">
        <v>19970519</v>
      </c>
    </row>
    <row r="557" spans="1:10">
      <c r="A557" t="s">
        <v>2947</v>
      </c>
      <c r="B557">
        <v>600062</v>
      </c>
      <c r="C557" t="s">
        <v>2948</v>
      </c>
      <c r="D557" t="s">
        <v>164</v>
      </c>
      <c r="E557" t="s">
        <v>81</v>
      </c>
      <c r="F557" t="s">
        <v>2949</v>
      </c>
      <c r="G557" t="s">
        <v>152</v>
      </c>
      <c r="H557" t="s">
        <v>174</v>
      </c>
      <c r="I557" t="s">
        <v>154</v>
      </c>
      <c r="J557">
        <v>19970522</v>
      </c>
    </row>
    <row r="558" spans="1:10">
      <c r="A558" t="s">
        <v>428</v>
      </c>
      <c r="B558">
        <v>600063</v>
      </c>
      <c r="C558" t="s">
        <v>429</v>
      </c>
      <c r="D558" t="s">
        <v>160</v>
      </c>
      <c r="E558" t="s">
        <v>24</v>
      </c>
      <c r="F558" t="s">
        <v>430</v>
      </c>
      <c r="G558" t="s">
        <v>152</v>
      </c>
      <c r="H558" t="s">
        <v>174</v>
      </c>
      <c r="I558" t="s">
        <v>154</v>
      </c>
      <c r="J558">
        <v>19970528</v>
      </c>
    </row>
    <row r="559" spans="1:10">
      <c r="A559" t="s">
        <v>4245</v>
      </c>
      <c r="B559">
        <v>600064</v>
      </c>
      <c r="C559" t="s">
        <v>4246</v>
      </c>
      <c r="D559" t="s">
        <v>212</v>
      </c>
      <c r="E559" t="s">
        <v>93</v>
      </c>
      <c r="F559" t="s">
        <v>4247</v>
      </c>
      <c r="G559" t="s">
        <v>152</v>
      </c>
      <c r="H559" t="s">
        <v>174</v>
      </c>
      <c r="I559" t="s">
        <v>154</v>
      </c>
      <c r="J559">
        <v>19970506</v>
      </c>
    </row>
    <row r="560" spans="1:10">
      <c r="A560" t="s">
        <v>1873</v>
      </c>
      <c r="B560">
        <v>600066</v>
      </c>
      <c r="C560" t="s">
        <v>1874</v>
      </c>
      <c r="D560" t="s">
        <v>292</v>
      </c>
      <c r="E560" t="s">
        <v>36</v>
      </c>
      <c r="F560" t="s">
        <v>1875</v>
      </c>
      <c r="G560" t="s">
        <v>152</v>
      </c>
      <c r="H560" t="s">
        <v>174</v>
      </c>
      <c r="I560" t="s">
        <v>154</v>
      </c>
      <c r="J560">
        <v>19970508</v>
      </c>
    </row>
    <row r="561" spans="1:10">
      <c r="A561" t="s">
        <v>1324</v>
      </c>
      <c r="B561">
        <v>600067</v>
      </c>
      <c r="C561" t="s">
        <v>1325</v>
      </c>
      <c r="D561" t="s">
        <v>150</v>
      </c>
      <c r="E561" t="s">
        <v>17</v>
      </c>
      <c r="F561" t="s">
        <v>1326</v>
      </c>
      <c r="G561" t="s">
        <v>152</v>
      </c>
      <c r="H561" t="s">
        <v>174</v>
      </c>
      <c r="I561" t="s">
        <v>154</v>
      </c>
      <c r="J561">
        <v>19970508</v>
      </c>
    </row>
    <row r="562" spans="1:10">
      <c r="A562" t="s">
        <v>5868</v>
      </c>
      <c r="B562">
        <v>600070</v>
      </c>
      <c r="C562" t="s">
        <v>5869</v>
      </c>
      <c r="D562" t="s">
        <v>423</v>
      </c>
      <c r="E562" t="s">
        <v>116</v>
      </c>
      <c r="F562" t="s">
        <v>5870</v>
      </c>
      <c r="G562" t="s">
        <v>152</v>
      </c>
      <c r="H562" t="s">
        <v>174</v>
      </c>
      <c r="I562" t="s">
        <v>154</v>
      </c>
      <c r="J562">
        <v>19970604</v>
      </c>
    </row>
    <row r="563" spans="1:10">
      <c r="A563" t="s">
        <v>1327</v>
      </c>
      <c r="B563">
        <v>600071</v>
      </c>
      <c r="C563" t="s">
        <v>1328</v>
      </c>
      <c r="D563" t="s">
        <v>406</v>
      </c>
      <c r="E563" t="s">
        <v>42</v>
      </c>
      <c r="F563" t="s">
        <v>1329</v>
      </c>
      <c r="G563" t="s">
        <v>152</v>
      </c>
      <c r="H563" t="s">
        <v>174</v>
      </c>
      <c r="I563" t="s">
        <v>154</v>
      </c>
      <c r="J563">
        <v>19970528</v>
      </c>
    </row>
    <row r="564" spans="1:10">
      <c r="A564" t="s">
        <v>3847</v>
      </c>
      <c r="B564">
        <v>600072</v>
      </c>
      <c r="C564" t="s">
        <v>3848</v>
      </c>
      <c r="D564" t="s">
        <v>172</v>
      </c>
      <c r="E564" t="s">
        <v>66</v>
      </c>
      <c r="F564" t="s">
        <v>3849</v>
      </c>
      <c r="G564" t="s">
        <v>152</v>
      </c>
      <c r="H564" t="s">
        <v>174</v>
      </c>
      <c r="I564" t="s">
        <v>154</v>
      </c>
      <c r="J564">
        <v>19970603</v>
      </c>
    </row>
    <row r="565" spans="1:10">
      <c r="A565" t="s">
        <v>2398</v>
      </c>
      <c r="B565">
        <v>600073</v>
      </c>
      <c r="C565" t="s">
        <v>2399</v>
      </c>
      <c r="D565" t="s">
        <v>172</v>
      </c>
      <c r="E565" t="s">
        <v>19</v>
      </c>
      <c r="F565" t="s">
        <v>2400</v>
      </c>
      <c r="G565" t="s">
        <v>152</v>
      </c>
      <c r="H565" t="s">
        <v>174</v>
      </c>
      <c r="I565" t="s">
        <v>154</v>
      </c>
      <c r="J565">
        <v>19970704</v>
      </c>
    </row>
    <row r="566" spans="1:10">
      <c r="A566" t="s">
        <v>431</v>
      </c>
      <c r="B566">
        <v>600075</v>
      </c>
      <c r="C566" t="s">
        <v>432</v>
      </c>
      <c r="D566" t="s">
        <v>202</v>
      </c>
      <c r="E566" t="s">
        <v>14</v>
      </c>
      <c r="F566" t="s">
        <v>433</v>
      </c>
      <c r="G566" t="s">
        <v>152</v>
      </c>
      <c r="H566" t="s">
        <v>174</v>
      </c>
      <c r="I566" t="s">
        <v>154</v>
      </c>
      <c r="J566">
        <v>19970617</v>
      </c>
    </row>
    <row r="567" spans="1:10">
      <c r="A567" t="s">
        <v>5091</v>
      </c>
      <c r="B567">
        <v>600076</v>
      </c>
      <c r="C567" t="s">
        <v>5092</v>
      </c>
      <c r="D567" t="s">
        <v>198</v>
      </c>
      <c r="E567" t="s">
        <v>94</v>
      </c>
      <c r="F567" t="s">
        <v>5093</v>
      </c>
      <c r="G567" t="s">
        <v>152</v>
      </c>
      <c r="H567" t="s">
        <v>174</v>
      </c>
      <c r="I567" t="s">
        <v>154</v>
      </c>
      <c r="J567">
        <v>19970526</v>
      </c>
    </row>
    <row r="568" spans="1:10">
      <c r="A568" t="s">
        <v>4248</v>
      </c>
      <c r="B568">
        <v>600077</v>
      </c>
      <c r="C568" t="s">
        <v>4249</v>
      </c>
      <c r="D568" t="s">
        <v>423</v>
      </c>
      <c r="E568" t="s">
        <v>84</v>
      </c>
      <c r="F568" t="s">
        <v>4250</v>
      </c>
      <c r="G568" t="s">
        <v>152</v>
      </c>
      <c r="H568" t="s">
        <v>174</v>
      </c>
      <c r="I568" t="s">
        <v>154</v>
      </c>
      <c r="J568">
        <v>19970520</v>
      </c>
    </row>
    <row r="569" spans="1:10">
      <c r="A569" t="s">
        <v>434</v>
      </c>
      <c r="B569">
        <v>600078</v>
      </c>
      <c r="C569" t="s">
        <v>435</v>
      </c>
      <c r="D569" t="s">
        <v>212</v>
      </c>
      <c r="E569" t="s">
        <v>14</v>
      </c>
      <c r="F569" t="s">
        <v>436</v>
      </c>
      <c r="G569" t="s">
        <v>152</v>
      </c>
      <c r="H569" t="s">
        <v>174</v>
      </c>
      <c r="I569" t="s">
        <v>154</v>
      </c>
      <c r="J569">
        <v>19970627</v>
      </c>
    </row>
    <row r="570" spans="1:10">
      <c r="A570" t="s">
        <v>2974</v>
      </c>
      <c r="B570">
        <v>600079</v>
      </c>
      <c r="C570" t="s">
        <v>2975</v>
      </c>
      <c r="D570" t="s">
        <v>316</v>
      </c>
      <c r="E570" t="s">
        <v>81</v>
      </c>
      <c r="F570" t="s">
        <v>2976</v>
      </c>
      <c r="G570" t="s">
        <v>152</v>
      </c>
      <c r="H570" t="s">
        <v>174</v>
      </c>
      <c r="I570" t="s">
        <v>154</v>
      </c>
      <c r="J570">
        <v>19970606</v>
      </c>
    </row>
    <row r="571" spans="1:10">
      <c r="A571" t="s">
        <v>3364</v>
      </c>
      <c r="B571">
        <v>600080</v>
      </c>
      <c r="C571" t="s">
        <v>3365</v>
      </c>
      <c r="D571" t="s">
        <v>419</v>
      </c>
      <c r="E571" t="s">
        <v>67</v>
      </c>
      <c r="F571" t="s">
        <v>3366</v>
      </c>
      <c r="G571" t="s">
        <v>152</v>
      </c>
      <c r="H571" t="s">
        <v>174</v>
      </c>
      <c r="I571" t="s">
        <v>154</v>
      </c>
      <c r="J571">
        <v>19970612</v>
      </c>
    </row>
    <row r="572" spans="1:10">
      <c r="A572" t="s">
        <v>1876</v>
      </c>
      <c r="B572">
        <v>600081</v>
      </c>
      <c r="C572" t="s">
        <v>1877</v>
      </c>
      <c r="D572" t="s">
        <v>172</v>
      </c>
      <c r="E572" t="s">
        <v>28</v>
      </c>
      <c r="F572" t="s">
        <v>1878</v>
      </c>
      <c r="G572" t="s">
        <v>152</v>
      </c>
      <c r="H572" t="s">
        <v>174</v>
      </c>
      <c r="I572" t="s">
        <v>154</v>
      </c>
      <c r="J572">
        <v>19970703</v>
      </c>
    </row>
    <row r="573" spans="1:10">
      <c r="A573" t="s">
        <v>4251</v>
      </c>
      <c r="B573">
        <v>600082</v>
      </c>
      <c r="C573" t="s">
        <v>4252</v>
      </c>
      <c r="D573" t="s">
        <v>576</v>
      </c>
      <c r="E573" t="s">
        <v>93</v>
      </c>
      <c r="F573" t="s">
        <v>4253</v>
      </c>
      <c r="G573" t="s">
        <v>152</v>
      </c>
      <c r="H573" t="s">
        <v>174</v>
      </c>
      <c r="I573" t="s">
        <v>154</v>
      </c>
      <c r="J573">
        <v>19970620</v>
      </c>
    </row>
    <row r="574" spans="1:10">
      <c r="A574" t="s">
        <v>5019</v>
      </c>
      <c r="B574">
        <v>600083</v>
      </c>
      <c r="C574" t="s">
        <v>5020</v>
      </c>
      <c r="D574" t="s">
        <v>212</v>
      </c>
      <c r="E574" t="s">
        <v>74</v>
      </c>
      <c r="F574" t="s">
        <v>5021</v>
      </c>
      <c r="G574" t="s">
        <v>152</v>
      </c>
      <c r="H574" t="s">
        <v>174</v>
      </c>
      <c r="I574" t="s">
        <v>154</v>
      </c>
      <c r="J574">
        <v>19970606</v>
      </c>
    </row>
    <row r="575" spans="1:10">
      <c r="A575" t="s">
        <v>2401</v>
      </c>
      <c r="B575">
        <v>600084</v>
      </c>
      <c r="C575" t="s">
        <v>2402</v>
      </c>
      <c r="D575" t="s">
        <v>202</v>
      </c>
      <c r="E575" t="s">
        <v>44</v>
      </c>
      <c r="F575" t="s">
        <v>2403</v>
      </c>
      <c r="G575" t="s">
        <v>152</v>
      </c>
      <c r="H575" t="s">
        <v>174</v>
      </c>
      <c r="I575" t="s">
        <v>154</v>
      </c>
      <c r="J575">
        <v>19970711</v>
      </c>
    </row>
    <row r="576" spans="1:10">
      <c r="A576" t="s">
        <v>3286</v>
      </c>
      <c r="B576">
        <v>600085</v>
      </c>
      <c r="C576" t="s">
        <v>3287</v>
      </c>
      <c r="D576" t="s">
        <v>164</v>
      </c>
      <c r="E576" t="s">
        <v>67</v>
      </c>
      <c r="F576" t="s">
        <v>3288</v>
      </c>
      <c r="G576" t="s">
        <v>152</v>
      </c>
      <c r="H576" t="s">
        <v>174</v>
      </c>
      <c r="I576" t="s">
        <v>154</v>
      </c>
      <c r="J576">
        <v>19970625</v>
      </c>
    </row>
    <row r="577" spans="1:10">
      <c r="A577" t="s">
        <v>6054</v>
      </c>
      <c r="B577">
        <v>600088</v>
      </c>
      <c r="C577" t="s">
        <v>6055</v>
      </c>
      <c r="D577" t="s">
        <v>172</v>
      </c>
      <c r="E577" t="s">
        <v>124</v>
      </c>
      <c r="F577" t="s">
        <v>6056</v>
      </c>
      <c r="G577" t="s">
        <v>152</v>
      </c>
      <c r="H577" t="s">
        <v>174</v>
      </c>
      <c r="I577" t="s">
        <v>154</v>
      </c>
      <c r="J577">
        <v>19970616</v>
      </c>
    </row>
    <row r="578" spans="1:10">
      <c r="A578" t="s">
        <v>1330</v>
      </c>
      <c r="B578">
        <v>600089</v>
      </c>
      <c r="C578" t="s">
        <v>1331</v>
      </c>
      <c r="D578" t="s">
        <v>202</v>
      </c>
      <c r="E578" t="s">
        <v>17</v>
      </c>
      <c r="F578" t="s">
        <v>1332</v>
      </c>
      <c r="G578" t="s">
        <v>152</v>
      </c>
      <c r="H578" t="s">
        <v>174</v>
      </c>
      <c r="I578" t="s">
        <v>154</v>
      </c>
      <c r="J578">
        <v>19970618</v>
      </c>
    </row>
    <row r="579" spans="1:10">
      <c r="A579" t="s">
        <v>4254</v>
      </c>
      <c r="B579">
        <v>600094</v>
      </c>
      <c r="C579" t="s">
        <v>4255</v>
      </c>
      <c r="D579" t="s">
        <v>172</v>
      </c>
      <c r="E579" t="s">
        <v>79</v>
      </c>
      <c r="F579" t="s">
        <v>4256</v>
      </c>
      <c r="G579" t="s">
        <v>152</v>
      </c>
      <c r="H579" t="s">
        <v>174</v>
      </c>
      <c r="I579" t="s">
        <v>154</v>
      </c>
      <c r="J579">
        <v>19970703</v>
      </c>
    </row>
    <row r="580" spans="1:10">
      <c r="A580" t="s">
        <v>4851</v>
      </c>
      <c r="B580">
        <v>600095</v>
      </c>
      <c r="C580" t="s">
        <v>4852</v>
      </c>
      <c r="D580" t="s">
        <v>194</v>
      </c>
      <c r="E580" t="s">
        <v>87</v>
      </c>
      <c r="F580" t="s">
        <v>4853</v>
      </c>
      <c r="G580" t="s">
        <v>152</v>
      </c>
      <c r="H580" t="s">
        <v>174</v>
      </c>
      <c r="I580" t="s">
        <v>154</v>
      </c>
      <c r="J580">
        <v>19970708</v>
      </c>
    </row>
    <row r="581" spans="1:10">
      <c r="A581" t="s">
        <v>437</v>
      </c>
      <c r="B581">
        <v>600096</v>
      </c>
      <c r="C581" t="s">
        <v>438</v>
      </c>
      <c r="D581" t="s">
        <v>184</v>
      </c>
      <c r="E581" t="s">
        <v>47</v>
      </c>
      <c r="F581" t="s">
        <v>439</v>
      </c>
      <c r="G581" t="s">
        <v>152</v>
      </c>
      <c r="H581" t="s">
        <v>174</v>
      </c>
      <c r="I581" t="s">
        <v>154</v>
      </c>
      <c r="J581">
        <v>19970709</v>
      </c>
    </row>
    <row r="582" spans="1:10">
      <c r="A582" t="s">
        <v>170</v>
      </c>
      <c r="B582">
        <v>600097</v>
      </c>
      <c r="C582" t="s">
        <v>171</v>
      </c>
      <c r="D582" t="s">
        <v>172</v>
      </c>
      <c r="E582" t="s">
        <v>23</v>
      </c>
      <c r="F582" t="s">
        <v>173</v>
      </c>
      <c r="G582" t="s">
        <v>152</v>
      </c>
      <c r="H582" t="s">
        <v>174</v>
      </c>
      <c r="I582" t="s">
        <v>154</v>
      </c>
      <c r="J582">
        <v>19970619</v>
      </c>
    </row>
    <row r="583" spans="1:10">
      <c r="A583" t="s">
        <v>3526</v>
      </c>
      <c r="B583">
        <v>600098</v>
      </c>
      <c r="C583" t="s">
        <v>3527</v>
      </c>
      <c r="D583" t="s">
        <v>223</v>
      </c>
      <c r="E583" t="s">
        <v>77</v>
      </c>
      <c r="F583" t="s">
        <v>3528</v>
      </c>
      <c r="G583" t="s">
        <v>152</v>
      </c>
      <c r="H583" t="s">
        <v>174</v>
      </c>
      <c r="I583" t="s">
        <v>154</v>
      </c>
      <c r="J583">
        <v>19970718</v>
      </c>
    </row>
    <row r="584" spans="1:10">
      <c r="A584" t="s">
        <v>1879</v>
      </c>
      <c r="B584">
        <v>600099</v>
      </c>
      <c r="C584" t="s">
        <v>1880</v>
      </c>
      <c r="D584" t="s">
        <v>212</v>
      </c>
      <c r="E584" t="s">
        <v>36</v>
      </c>
      <c r="F584" t="s">
        <v>1881</v>
      </c>
      <c r="G584" t="s">
        <v>152</v>
      </c>
      <c r="H584" t="s">
        <v>174</v>
      </c>
      <c r="I584" t="s">
        <v>154</v>
      </c>
      <c r="J584">
        <v>19970704</v>
      </c>
    </row>
    <row r="585" spans="1:10">
      <c r="A585" t="s">
        <v>1333</v>
      </c>
      <c r="B585">
        <v>600100</v>
      </c>
      <c r="C585" t="s">
        <v>1334</v>
      </c>
      <c r="D585" t="s">
        <v>164</v>
      </c>
      <c r="E585" t="s">
        <v>1</v>
      </c>
      <c r="F585" t="s">
        <v>1335</v>
      </c>
      <c r="G585" t="s">
        <v>152</v>
      </c>
      <c r="H585" t="s">
        <v>174</v>
      </c>
      <c r="I585" t="s">
        <v>154</v>
      </c>
      <c r="J585">
        <v>19970627</v>
      </c>
    </row>
    <row r="586" spans="1:10">
      <c r="A586" t="s">
        <v>3529</v>
      </c>
      <c r="B586">
        <v>600101</v>
      </c>
      <c r="C586" t="s">
        <v>3530</v>
      </c>
      <c r="D586" t="s">
        <v>219</v>
      </c>
      <c r="E586" t="s">
        <v>68</v>
      </c>
      <c r="F586" t="s">
        <v>3531</v>
      </c>
      <c r="G586" t="s">
        <v>152</v>
      </c>
      <c r="H586" t="s">
        <v>174</v>
      </c>
      <c r="I586" t="s">
        <v>154</v>
      </c>
      <c r="J586">
        <v>19970627</v>
      </c>
    </row>
    <row r="587" spans="1:10">
      <c r="A587" t="s">
        <v>2752</v>
      </c>
      <c r="B587">
        <v>600103</v>
      </c>
      <c r="C587" t="s">
        <v>2753</v>
      </c>
      <c r="D587" t="s">
        <v>150</v>
      </c>
      <c r="E587" t="s">
        <v>30</v>
      </c>
      <c r="F587" t="s">
        <v>2754</v>
      </c>
      <c r="G587" t="s">
        <v>152</v>
      </c>
      <c r="H587" t="s">
        <v>174</v>
      </c>
      <c r="I587" t="s">
        <v>154</v>
      </c>
      <c r="J587">
        <v>19970703</v>
      </c>
    </row>
    <row r="588" spans="1:10">
      <c r="A588" t="s">
        <v>1882</v>
      </c>
      <c r="B588">
        <v>600104</v>
      </c>
      <c r="C588" t="s">
        <v>1883</v>
      </c>
      <c r="D588" t="s">
        <v>172</v>
      </c>
      <c r="E588" t="s">
        <v>36</v>
      </c>
      <c r="F588" t="s">
        <v>1884</v>
      </c>
      <c r="G588" t="s">
        <v>152</v>
      </c>
      <c r="H588" t="s">
        <v>174</v>
      </c>
      <c r="I588" t="s">
        <v>154</v>
      </c>
      <c r="J588">
        <v>19971125</v>
      </c>
    </row>
    <row r="589" spans="1:10">
      <c r="A589" t="s">
        <v>6249</v>
      </c>
      <c r="B589">
        <v>600105</v>
      </c>
      <c r="C589" t="s">
        <v>6250</v>
      </c>
      <c r="D589" t="s">
        <v>212</v>
      </c>
      <c r="E589" t="s">
        <v>125</v>
      </c>
      <c r="F589" t="s">
        <v>6251</v>
      </c>
      <c r="G589" t="s">
        <v>152</v>
      </c>
      <c r="H589" t="s">
        <v>174</v>
      </c>
      <c r="I589" t="s">
        <v>154</v>
      </c>
      <c r="J589">
        <v>19970929</v>
      </c>
    </row>
    <row r="590" spans="1:10">
      <c r="A590" t="s">
        <v>3850</v>
      </c>
      <c r="B590">
        <v>600106</v>
      </c>
      <c r="C590" t="s">
        <v>3851</v>
      </c>
      <c r="D590" t="s">
        <v>937</v>
      </c>
      <c r="E590" t="s">
        <v>98</v>
      </c>
      <c r="F590" t="s">
        <v>3852</v>
      </c>
      <c r="G590" t="s">
        <v>152</v>
      </c>
      <c r="H590" t="s">
        <v>174</v>
      </c>
      <c r="I590" t="s">
        <v>154</v>
      </c>
      <c r="J590">
        <v>19970618</v>
      </c>
    </row>
    <row r="591" spans="1:10">
      <c r="A591" t="s">
        <v>2638</v>
      </c>
      <c r="B591">
        <v>600107</v>
      </c>
      <c r="C591" t="s">
        <v>2639</v>
      </c>
      <c r="D591" t="s">
        <v>316</v>
      </c>
      <c r="E591" t="s">
        <v>20</v>
      </c>
      <c r="F591" t="s">
        <v>2640</v>
      </c>
      <c r="G591" t="s">
        <v>152</v>
      </c>
      <c r="H591" t="s">
        <v>174</v>
      </c>
      <c r="I591" t="s">
        <v>154</v>
      </c>
      <c r="J591">
        <v>19971106</v>
      </c>
    </row>
    <row r="592" spans="1:10">
      <c r="A592" t="s">
        <v>175</v>
      </c>
      <c r="B592">
        <v>600108</v>
      </c>
      <c r="C592" t="s">
        <v>176</v>
      </c>
      <c r="D592" t="s">
        <v>177</v>
      </c>
      <c r="E592" t="s">
        <v>13</v>
      </c>
      <c r="F592" t="s">
        <v>178</v>
      </c>
      <c r="G592" t="s">
        <v>152</v>
      </c>
      <c r="H592" t="s">
        <v>174</v>
      </c>
      <c r="I592" t="s">
        <v>154</v>
      </c>
      <c r="J592">
        <v>19970818</v>
      </c>
    </row>
    <row r="593" spans="1:10">
      <c r="A593" t="s">
        <v>4854</v>
      </c>
      <c r="B593">
        <v>600109</v>
      </c>
      <c r="C593" t="s">
        <v>4855</v>
      </c>
      <c r="D593" t="s">
        <v>219</v>
      </c>
      <c r="E593" t="s">
        <v>87</v>
      </c>
      <c r="F593" t="s">
        <v>4856</v>
      </c>
      <c r="G593" t="s">
        <v>152</v>
      </c>
      <c r="H593" t="s">
        <v>174</v>
      </c>
      <c r="I593" t="s">
        <v>154</v>
      </c>
      <c r="J593">
        <v>19970807</v>
      </c>
    </row>
    <row r="594" spans="1:10">
      <c r="A594" t="s">
        <v>1036</v>
      </c>
      <c r="B594">
        <v>600110</v>
      </c>
      <c r="C594" t="s">
        <v>1037</v>
      </c>
      <c r="D594" t="s">
        <v>312</v>
      </c>
      <c r="E594" t="s">
        <v>26</v>
      </c>
      <c r="F594" t="s">
        <v>1038</v>
      </c>
      <c r="G594" t="s">
        <v>152</v>
      </c>
      <c r="H594" t="s">
        <v>174</v>
      </c>
      <c r="I594" t="s">
        <v>154</v>
      </c>
      <c r="J594">
        <v>19971007</v>
      </c>
    </row>
    <row r="595" spans="1:10">
      <c r="A595" t="s">
        <v>1039</v>
      </c>
      <c r="B595">
        <v>600111</v>
      </c>
      <c r="C595" t="s">
        <v>1040</v>
      </c>
      <c r="D595" t="s">
        <v>266</v>
      </c>
      <c r="E595" t="s">
        <v>41</v>
      </c>
      <c r="F595" t="s">
        <v>1041</v>
      </c>
      <c r="G595" t="s">
        <v>152</v>
      </c>
      <c r="H595" t="s">
        <v>174</v>
      </c>
      <c r="I595" t="s">
        <v>154</v>
      </c>
      <c r="J595">
        <v>19970924</v>
      </c>
    </row>
    <row r="596" spans="1:10">
      <c r="A596" t="s">
        <v>1336</v>
      </c>
      <c r="B596">
        <v>600112</v>
      </c>
      <c r="C596" t="s">
        <v>1337</v>
      </c>
      <c r="D596" t="s">
        <v>463</v>
      </c>
      <c r="E596" t="s">
        <v>17</v>
      </c>
      <c r="F596" t="s">
        <v>1338</v>
      </c>
      <c r="G596" t="s">
        <v>152</v>
      </c>
      <c r="H596" t="s">
        <v>174</v>
      </c>
      <c r="I596" t="s">
        <v>154</v>
      </c>
      <c r="J596">
        <v>19971127</v>
      </c>
    </row>
    <row r="597" spans="1:10">
      <c r="A597" t="s">
        <v>4257</v>
      </c>
      <c r="B597">
        <v>600113</v>
      </c>
      <c r="C597" t="s">
        <v>4258</v>
      </c>
      <c r="D597" t="s">
        <v>423</v>
      </c>
      <c r="E597" t="s">
        <v>79</v>
      </c>
      <c r="F597" t="s">
        <v>4259</v>
      </c>
      <c r="G597" t="s">
        <v>152</v>
      </c>
      <c r="H597" t="s">
        <v>174</v>
      </c>
      <c r="I597" t="s">
        <v>154</v>
      </c>
      <c r="J597">
        <v>19971021</v>
      </c>
    </row>
    <row r="598" spans="1:10">
      <c r="A598" t="s">
        <v>5508</v>
      </c>
      <c r="B598">
        <v>600114</v>
      </c>
      <c r="C598" t="s">
        <v>5509</v>
      </c>
      <c r="D598" t="s">
        <v>423</v>
      </c>
      <c r="E598" t="s">
        <v>135</v>
      </c>
      <c r="F598" t="s">
        <v>5510</v>
      </c>
      <c r="G598" t="s">
        <v>152</v>
      </c>
      <c r="H598" t="s">
        <v>174</v>
      </c>
      <c r="I598" t="s">
        <v>154</v>
      </c>
      <c r="J598">
        <v>20040511</v>
      </c>
    </row>
    <row r="599" spans="1:10">
      <c r="A599" t="s">
        <v>3853</v>
      </c>
      <c r="B599">
        <v>600115</v>
      </c>
      <c r="C599" t="s">
        <v>3854</v>
      </c>
      <c r="D599" t="s">
        <v>172</v>
      </c>
      <c r="E599" t="s">
        <v>103</v>
      </c>
      <c r="F599" t="s">
        <v>3855</v>
      </c>
      <c r="G599" t="s">
        <v>152</v>
      </c>
      <c r="H599" t="s">
        <v>174</v>
      </c>
      <c r="I599" t="s">
        <v>154</v>
      </c>
      <c r="J599">
        <v>19971105</v>
      </c>
    </row>
    <row r="600" spans="1:10">
      <c r="A600" t="s">
        <v>3532</v>
      </c>
      <c r="B600">
        <v>600116</v>
      </c>
      <c r="C600" t="s">
        <v>3533</v>
      </c>
      <c r="D600" t="s">
        <v>937</v>
      </c>
      <c r="E600" t="s">
        <v>68</v>
      </c>
      <c r="F600" t="s">
        <v>3534</v>
      </c>
      <c r="G600" t="s">
        <v>152</v>
      </c>
      <c r="H600" t="s">
        <v>174</v>
      </c>
      <c r="I600" t="s">
        <v>154</v>
      </c>
      <c r="J600">
        <v>19970804</v>
      </c>
    </row>
    <row r="601" spans="1:10">
      <c r="A601" t="s">
        <v>881</v>
      </c>
      <c r="B601">
        <v>600117</v>
      </c>
      <c r="C601" t="s">
        <v>882</v>
      </c>
      <c r="D601" t="s">
        <v>308</v>
      </c>
      <c r="E601" t="s">
        <v>15</v>
      </c>
      <c r="F601" t="s">
        <v>883</v>
      </c>
      <c r="G601" t="s">
        <v>152</v>
      </c>
      <c r="H601" t="s">
        <v>174</v>
      </c>
      <c r="I601" t="s">
        <v>154</v>
      </c>
      <c r="J601">
        <v>19971015</v>
      </c>
    </row>
    <row r="602" spans="1:10">
      <c r="A602" t="s">
        <v>3856</v>
      </c>
      <c r="B602">
        <v>600118</v>
      </c>
      <c r="C602" t="s">
        <v>3857</v>
      </c>
      <c r="D602" t="s">
        <v>164</v>
      </c>
      <c r="E602" t="s">
        <v>102</v>
      </c>
      <c r="F602" t="s">
        <v>3858</v>
      </c>
      <c r="G602" t="s">
        <v>152</v>
      </c>
      <c r="H602" t="s">
        <v>174</v>
      </c>
      <c r="I602" t="s">
        <v>154</v>
      </c>
      <c r="J602">
        <v>19970908</v>
      </c>
    </row>
    <row r="603" spans="1:10">
      <c r="A603" t="s">
        <v>3859</v>
      </c>
      <c r="B603">
        <v>600119</v>
      </c>
      <c r="C603" t="s">
        <v>3860</v>
      </c>
      <c r="D603" t="s">
        <v>172</v>
      </c>
      <c r="E603" t="s">
        <v>50</v>
      </c>
      <c r="F603" t="s">
        <v>3861</v>
      </c>
      <c r="G603" t="s">
        <v>152</v>
      </c>
      <c r="H603" t="s">
        <v>174</v>
      </c>
      <c r="I603" t="s">
        <v>154</v>
      </c>
      <c r="J603">
        <v>19980115</v>
      </c>
    </row>
    <row r="604" spans="1:10">
      <c r="A604" t="s">
        <v>4857</v>
      </c>
      <c r="B604">
        <v>600120</v>
      </c>
      <c r="C604" t="s">
        <v>4858</v>
      </c>
      <c r="D604" t="s">
        <v>423</v>
      </c>
      <c r="E604" t="s">
        <v>73</v>
      </c>
      <c r="F604" t="s">
        <v>4859</v>
      </c>
      <c r="G604" t="s">
        <v>152</v>
      </c>
      <c r="H604" t="s">
        <v>174</v>
      </c>
      <c r="I604" t="s">
        <v>154</v>
      </c>
      <c r="J604">
        <v>19971201</v>
      </c>
    </row>
    <row r="605" spans="1:10">
      <c r="A605" t="s">
        <v>6369</v>
      </c>
      <c r="B605">
        <v>600121</v>
      </c>
      <c r="C605" t="s">
        <v>6370</v>
      </c>
      <c r="D605" t="s">
        <v>292</v>
      </c>
      <c r="E605" t="s">
        <v>126</v>
      </c>
      <c r="F605" t="s">
        <v>6371</v>
      </c>
      <c r="G605" t="s">
        <v>152</v>
      </c>
      <c r="H605" t="s">
        <v>174</v>
      </c>
      <c r="I605" t="s">
        <v>154</v>
      </c>
      <c r="J605">
        <v>19980107</v>
      </c>
    </row>
    <row r="606" spans="1:10">
      <c r="A606" t="s">
        <v>6693</v>
      </c>
      <c r="B606">
        <v>600122</v>
      </c>
      <c r="C606" t="s">
        <v>6694</v>
      </c>
      <c r="D606" t="s">
        <v>212</v>
      </c>
      <c r="E606" t="s">
        <v>114</v>
      </c>
      <c r="F606" t="s">
        <v>6695</v>
      </c>
      <c r="G606" t="s">
        <v>152</v>
      </c>
      <c r="H606" t="s">
        <v>174</v>
      </c>
      <c r="I606" t="s">
        <v>154</v>
      </c>
      <c r="J606">
        <v>19980420</v>
      </c>
    </row>
    <row r="607" spans="1:10">
      <c r="A607" t="s">
        <v>6372</v>
      </c>
      <c r="B607">
        <v>600123</v>
      </c>
      <c r="C607" t="s">
        <v>6373</v>
      </c>
      <c r="D607" t="s">
        <v>557</v>
      </c>
      <c r="E607" t="s">
        <v>126</v>
      </c>
      <c r="F607" t="s">
        <v>6374</v>
      </c>
      <c r="G607" t="s">
        <v>152</v>
      </c>
      <c r="H607" t="s">
        <v>174</v>
      </c>
      <c r="I607" t="s">
        <v>154</v>
      </c>
      <c r="J607">
        <v>19981217</v>
      </c>
    </row>
    <row r="608" spans="1:10">
      <c r="A608" t="s">
        <v>3862</v>
      </c>
      <c r="B608">
        <v>600125</v>
      </c>
      <c r="C608" t="s">
        <v>3863</v>
      </c>
      <c r="D608" t="s">
        <v>236</v>
      </c>
      <c r="E608" t="s">
        <v>97</v>
      </c>
      <c r="F608" t="s">
        <v>3864</v>
      </c>
      <c r="G608" t="s">
        <v>152</v>
      </c>
      <c r="H608" t="s">
        <v>174</v>
      </c>
      <c r="I608" t="s">
        <v>154</v>
      </c>
      <c r="J608">
        <v>19980511</v>
      </c>
    </row>
    <row r="609" spans="1:10">
      <c r="A609" t="s">
        <v>884</v>
      </c>
      <c r="B609">
        <v>600126</v>
      </c>
      <c r="C609" t="s">
        <v>885</v>
      </c>
      <c r="D609" t="s">
        <v>423</v>
      </c>
      <c r="E609" t="s">
        <v>25</v>
      </c>
      <c r="F609" t="s">
        <v>886</v>
      </c>
      <c r="G609" t="s">
        <v>152</v>
      </c>
      <c r="H609" t="s">
        <v>174</v>
      </c>
      <c r="I609" t="s">
        <v>154</v>
      </c>
      <c r="J609">
        <v>19980311</v>
      </c>
    </row>
    <row r="610" spans="1:10">
      <c r="A610" t="s">
        <v>258</v>
      </c>
      <c r="B610">
        <v>600127</v>
      </c>
      <c r="C610" t="s">
        <v>259</v>
      </c>
      <c r="D610" t="s">
        <v>168</v>
      </c>
      <c r="E610" t="s">
        <v>46</v>
      </c>
      <c r="F610" t="s">
        <v>260</v>
      </c>
      <c r="G610" t="s">
        <v>152</v>
      </c>
      <c r="H610" t="s">
        <v>174</v>
      </c>
      <c r="I610" t="s">
        <v>154</v>
      </c>
      <c r="J610">
        <v>19980506</v>
      </c>
    </row>
    <row r="611" spans="1:10">
      <c r="A611" t="s">
        <v>4467</v>
      </c>
      <c r="B611">
        <v>600128</v>
      </c>
      <c r="C611" t="s">
        <v>4468</v>
      </c>
      <c r="D611" t="s">
        <v>212</v>
      </c>
      <c r="E611" t="s">
        <v>71</v>
      </c>
      <c r="F611" t="s">
        <v>4469</v>
      </c>
      <c r="G611" t="s">
        <v>152</v>
      </c>
      <c r="H611" t="s">
        <v>174</v>
      </c>
      <c r="I611" t="s">
        <v>154</v>
      </c>
      <c r="J611">
        <v>19970901</v>
      </c>
    </row>
    <row r="612" spans="1:10">
      <c r="A612" t="s">
        <v>3406</v>
      </c>
      <c r="B612">
        <v>600129</v>
      </c>
      <c r="C612" t="s">
        <v>3407</v>
      </c>
      <c r="D612" t="s">
        <v>937</v>
      </c>
      <c r="E612" t="s">
        <v>67</v>
      </c>
      <c r="F612" t="s">
        <v>3408</v>
      </c>
      <c r="G612" t="s">
        <v>152</v>
      </c>
      <c r="H612" t="s">
        <v>174</v>
      </c>
      <c r="I612" t="s">
        <v>154</v>
      </c>
      <c r="J612">
        <v>19971118</v>
      </c>
    </row>
    <row r="613" spans="1:10">
      <c r="A613" t="s">
        <v>6252</v>
      </c>
      <c r="B613">
        <v>600130</v>
      </c>
      <c r="C613" t="s">
        <v>6253</v>
      </c>
      <c r="D613" t="s">
        <v>423</v>
      </c>
      <c r="E613" t="s">
        <v>125</v>
      </c>
      <c r="F613" t="s">
        <v>6254</v>
      </c>
      <c r="G613" t="s">
        <v>152</v>
      </c>
      <c r="H613" t="s">
        <v>174</v>
      </c>
      <c r="I613" t="s">
        <v>154</v>
      </c>
      <c r="J613">
        <v>20000706</v>
      </c>
    </row>
    <row r="614" spans="1:10">
      <c r="A614" t="s">
        <v>6255</v>
      </c>
      <c r="B614">
        <v>600131</v>
      </c>
      <c r="C614" t="s">
        <v>6256</v>
      </c>
      <c r="D614" t="s">
        <v>219</v>
      </c>
      <c r="E614" t="s">
        <v>125</v>
      </c>
      <c r="F614" t="s">
        <v>6257</v>
      </c>
      <c r="G614" t="s">
        <v>152</v>
      </c>
      <c r="H614" t="s">
        <v>174</v>
      </c>
      <c r="I614" t="s">
        <v>154</v>
      </c>
      <c r="J614">
        <v>19980402</v>
      </c>
    </row>
    <row r="615" spans="1:10">
      <c r="A615" t="s">
        <v>2404</v>
      </c>
      <c r="B615">
        <v>600132</v>
      </c>
      <c r="C615" t="s">
        <v>2405</v>
      </c>
      <c r="D615" t="s">
        <v>937</v>
      </c>
      <c r="E615" t="s">
        <v>49</v>
      </c>
      <c r="F615" t="s">
        <v>2406</v>
      </c>
      <c r="G615" t="s">
        <v>152</v>
      </c>
      <c r="H615" t="s">
        <v>174</v>
      </c>
      <c r="I615" t="s">
        <v>154</v>
      </c>
      <c r="J615">
        <v>19971030</v>
      </c>
    </row>
    <row r="616" spans="1:10">
      <c r="A616" t="s">
        <v>5241</v>
      </c>
      <c r="B616">
        <v>600133</v>
      </c>
      <c r="C616" t="s">
        <v>5242</v>
      </c>
      <c r="D616" t="s">
        <v>316</v>
      </c>
      <c r="E616" t="s">
        <v>121</v>
      </c>
      <c r="F616" t="s">
        <v>5243</v>
      </c>
      <c r="G616" t="s">
        <v>152</v>
      </c>
      <c r="H616" t="s">
        <v>174</v>
      </c>
      <c r="I616" t="s">
        <v>154</v>
      </c>
      <c r="J616">
        <v>19980212</v>
      </c>
    </row>
    <row r="617" spans="1:10">
      <c r="A617" t="s">
        <v>440</v>
      </c>
      <c r="B617">
        <v>600135</v>
      </c>
      <c r="C617" t="s">
        <v>441</v>
      </c>
      <c r="D617" t="s">
        <v>279</v>
      </c>
      <c r="E617" t="s">
        <v>14</v>
      </c>
      <c r="F617" t="s">
        <v>442</v>
      </c>
      <c r="G617" t="s">
        <v>152</v>
      </c>
      <c r="H617" t="s">
        <v>174</v>
      </c>
      <c r="I617" t="s">
        <v>154</v>
      </c>
      <c r="J617">
        <v>19980122</v>
      </c>
    </row>
    <row r="618" spans="1:10">
      <c r="A618" t="s">
        <v>6057</v>
      </c>
      <c r="B618">
        <v>600136</v>
      </c>
      <c r="C618" t="s">
        <v>6058</v>
      </c>
      <c r="D618" t="s">
        <v>316</v>
      </c>
      <c r="E618" t="s">
        <v>124</v>
      </c>
      <c r="F618" t="s">
        <v>6059</v>
      </c>
      <c r="G618" t="s">
        <v>152</v>
      </c>
      <c r="H618" t="s">
        <v>174</v>
      </c>
      <c r="I618" t="s">
        <v>154</v>
      </c>
      <c r="J618">
        <v>19980303</v>
      </c>
    </row>
    <row r="619" spans="1:10">
      <c r="A619" t="s">
        <v>2641</v>
      </c>
      <c r="B619">
        <v>600137</v>
      </c>
      <c r="C619" t="s">
        <v>2642</v>
      </c>
      <c r="D619" t="s">
        <v>219</v>
      </c>
      <c r="E619" t="s">
        <v>20</v>
      </c>
      <c r="F619" t="s">
        <v>2643</v>
      </c>
      <c r="G619" t="s">
        <v>152</v>
      </c>
      <c r="H619" t="s">
        <v>174</v>
      </c>
      <c r="I619" t="s">
        <v>154</v>
      </c>
      <c r="J619">
        <v>19980416</v>
      </c>
    </row>
    <row r="620" spans="1:10">
      <c r="A620" t="s">
        <v>4638</v>
      </c>
      <c r="B620">
        <v>600138</v>
      </c>
      <c r="C620" t="s">
        <v>4639</v>
      </c>
      <c r="D620" t="s">
        <v>164</v>
      </c>
      <c r="E620" t="s">
        <v>72</v>
      </c>
      <c r="F620" t="s">
        <v>4640</v>
      </c>
      <c r="G620" t="s">
        <v>152</v>
      </c>
      <c r="H620" t="s">
        <v>174</v>
      </c>
      <c r="I620" t="s">
        <v>154</v>
      </c>
      <c r="J620">
        <v>19971203</v>
      </c>
    </row>
    <row r="621" spans="1:10">
      <c r="A621" t="s">
        <v>5022</v>
      </c>
      <c r="B621">
        <v>600139</v>
      </c>
      <c r="C621" t="s">
        <v>5023</v>
      </c>
      <c r="D621" t="s">
        <v>219</v>
      </c>
      <c r="E621" t="s">
        <v>74</v>
      </c>
      <c r="F621" t="s">
        <v>5024</v>
      </c>
      <c r="G621" t="s">
        <v>152</v>
      </c>
      <c r="H621" t="s">
        <v>174</v>
      </c>
      <c r="I621" t="s">
        <v>154</v>
      </c>
      <c r="J621">
        <v>19980225</v>
      </c>
    </row>
    <row r="622" spans="1:10">
      <c r="A622" t="s">
        <v>443</v>
      </c>
      <c r="B622">
        <v>600141</v>
      </c>
      <c r="C622" t="s">
        <v>444</v>
      </c>
      <c r="D622" t="s">
        <v>316</v>
      </c>
      <c r="E622" t="s">
        <v>47</v>
      </c>
      <c r="F622" t="s">
        <v>445</v>
      </c>
      <c r="G622" t="s">
        <v>152</v>
      </c>
      <c r="H622" t="s">
        <v>174</v>
      </c>
      <c r="I622" t="s">
        <v>154</v>
      </c>
      <c r="J622">
        <v>19990616</v>
      </c>
    </row>
    <row r="623" spans="1:10">
      <c r="A623" t="s">
        <v>446</v>
      </c>
      <c r="B623">
        <v>600143</v>
      </c>
      <c r="C623" t="s">
        <v>447</v>
      </c>
      <c r="D623" t="s">
        <v>223</v>
      </c>
      <c r="E623" t="s">
        <v>40</v>
      </c>
      <c r="F623" t="s">
        <v>448</v>
      </c>
      <c r="G623" t="s">
        <v>152</v>
      </c>
      <c r="H623" t="s">
        <v>174</v>
      </c>
      <c r="I623" t="s">
        <v>154</v>
      </c>
      <c r="J623">
        <v>20040623</v>
      </c>
    </row>
    <row r="624" spans="1:10">
      <c r="A624" t="s">
        <v>1885</v>
      </c>
      <c r="B624">
        <v>600148</v>
      </c>
      <c r="C624" t="s">
        <v>1886</v>
      </c>
      <c r="D624" t="s">
        <v>312</v>
      </c>
      <c r="E624" t="s">
        <v>28</v>
      </c>
      <c r="F624" t="s">
        <v>1887</v>
      </c>
      <c r="G624" t="s">
        <v>152</v>
      </c>
      <c r="H624" t="s">
        <v>174</v>
      </c>
      <c r="I624" t="s">
        <v>154</v>
      </c>
      <c r="J624">
        <v>19980520</v>
      </c>
    </row>
    <row r="625" spans="1:10">
      <c r="A625" t="s">
        <v>5025</v>
      </c>
      <c r="B625">
        <v>600149</v>
      </c>
      <c r="C625" t="s">
        <v>5026</v>
      </c>
      <c r="D625" t="s">
        <v>279</v>
      </c>
      <c r="E625" t="s">
        <v>74</v>
      </c>
      <c r="F625" t="s">
        <v>5027</v>
      </c>
      <c r="G625" t="s">
        <v>152</v>
      </c>
      <c r="H625" t="s">
        <v>174</v>
      </c>
      <c r="I625" t="s">
        <v>154</v>
      </c>
      <c r="J625">
        <v>19991014</v>
      </c>
    </row>
    <row r="626" spans="1:10">
      <c r="A626" t="s">
        <v>3865</v>
      </c>
      <c r="B626">
        <v>600150</v>
      </c>
      <c r="C626" t="s">
        <v>3866</v>
      </c>
      <c r="D626" t="s">
        <v>172</v>
      </c>
      <c r="E626" t="s">
        <v>66</v>
      </c>
      <c r="F626" t="s">
        <v>3867</v>
      </c>
      <c r="G626" t="s">
        <v>152</v>
      </c>
      <c r="H626" t="s">
        <v>174</v>
      </c>
      <c r="I626" t="s">
        <v>154</v>
      </c>
      <c r="J626">
        <v>19980520</v>
      </c>
    </row>
    <row r="627" spans="1:10">
      <c r="A627" t="s">
        <v>1888</v>
      </c>
      <c r="B627">
        <v>600151</v>
      </c>
      <c r="C627" t="s">
        <v>1889</v>
      </c>
      <c r="D627" t="s">
        <v>172</v>
      </c>
      <c r="E627" t="s">
        <v>28</v>
      </c>
      <c r="F627" t="s">
        <v>1890</v>
      </c>
      <c r="G627" t="s">
        <v>152</v>
      </c>
      <c r="H627" t="s">
        <v>174</v>
      </c>
      <c r="I627" t="s">
        <v>154</v>
      </c>
      <c r="J627">
        <v>19980605</v>
      </c>
    </row>
    <row r="628" spans="1:10">
      <c r="A628" t="s">
        <v>1339</v>
      </c>
      <c r="B628">
        <v>600152</v>
      </c>
      <c r="C628" t="s">
        <v>1340</v>
      </c>
      <c r="D628" t="s">
        <v>423</v>
      </c>
      <c r="E628" t="s">
        <v>17</v>
      </c>
      <c r="F628" t="s">
        <v>1341</v>
      </c>
      <c r="G628" t="s">
        <v>152</v>
      </c>
      <c r="H628" t="s">
        <v>174</v>
      </c>
      <c r="I628" t="s">
        <v>154</v>
      </c>
      <c r="J628">
        <v>19980609</v>
      </c>
    </row>
    <row r="629" spans="1:10">
      <c r="A629" t="s">
        <v>3868</v>
      </c>
      <c r="B629">
        <v>600153</v>
      </c>
      <c r="C629" t="s">
        <v>3869</v>
      </c>
      <c r="D629" t="s">
        <v>150</v>
      </c>
      <c r="E629" t="s">
        <v>50</v>
      </c>
      <c r="F629" t="s">
        <v>3870</v>
      </c>
      <c r="G629" t="s">
        <v>152</v>
      </c>
      <c r="H629" t="s">
        <v>174</v>
      </c>
      <c r="I629" t="s">
        <v>154</v>
      </c>
      <c r="J629">
        <v>19980616</v>
      </c>
    </row>
    <row r="630" spans="1:10">
      <c r="A630" t="s">
        <v>4860</v>
      </c>
      <c r="B630">
        <v>600155</v>
      </c>
      <c r="C630" t="s">
        <v>4861</v>
      </c>
      <c r="D630" t="s">
        <v>164</v>
      </c>
      <c r="E630" t="s">
        <v>87</v>
      </c>
      <c r="F630" t="s">
        <v>4862</v>
      </c>
      <c r="G630" t="s">
        <v>152</v>
      </c>
      <c r="H630" t="s">
        <v>174</v>
      </c>
      <c r="I630" t="s">
        <v>154</v>
      </c>
      <c r="J630">
        <v>19980918</v>
      </c>
    </row>
    <row r="631" spans="1:10">
      <c r="A631" t="s">
        <v>449</v>
      </c>
      <c r="B631">
        <v>600156</v>
      </c>
      <c r="C631" t="s">
        <v>450</v>
      </c>
      <c r="D631" t="s">
        <v>168</v>
      </c>
      <c r="E631" t="s">
        <v>33</v>
      </c>
      <c r="F631" t="s">
        <v>451</v>
      </c>
      <c r="G631" t="s">
        <v>152</v>
      </c>
      <c r="H631" t="s">
        <v>174</v>
      </c>
      <c r="I631" t="s">
        <v>154</v>
      </c>
      <c r="J631">
        <v>19980527</v>
      </c>
    </row>
    <row r="632" spans="1:10">
      <c r="A632" t="s">
        <v>3535</v>
      </c>
      <c r="B632">
        <v>600157</v>
      </c>
      <c r="C632" t="s">
        <v>3536</v>
      </c>
      <c r="D632" t="s">
        <v>557</v>
      </c>
      <c r="E632" t="s">
        <v>77</v>
      </c>
      <c r="F632" t="s">
        <v>3537</v>
      </c>
      <c r="G632" t="s">
        <v>152</v>
      </c>
      <c r="H632" t="s">
        <v>174</v>
      </c>
      <c r="I632" t="s">
        <v>154</v>
      </c>
      <c r="J632">
        <v>19980513</v>
      </c>
    </row>
    <row r="633" spans="1:10">
      <c r="A633" t="s">
        <v>6117</v>
      </c>
      <c r="B633">
        <v>600158</v>
      </c>
      <c r="C633" t="s">
        <v>6118</v>
      </c>
      <c r="D633" t="s">
        <v>576</v>
      </c>
      <c r="E633" t="s">
        <v>129</v>
      </c>
      <c r="F633" t="s">
        <v>6119</v>
      </c>
      <c r="G633" t="s">
        <v>152</v>
      </c>
      <c r="H633" t="s">
        <v>174</v>
      </c>
      <c r="I633" t="s">
        <v>154</v>
      </c>
      <c r="J633">
        <v>19980327</v>
      </c>
    </row>
    <row r="634" spans="1:10">
      <c r="A634" t="s">
        <v>4260</v>
      </c>
      <c r="B634">
        <v>600159</v>
      </c>
      <c r="C634" t="s">
        <v>4261</v>
      </c>
      <c r="D634" t="s">
        <v>164</v>
      </c>
      <c r="E634" t="s">
        <v>79</v>
      </c>
      <c r="F634" t="s">
        <v>4262</v>
      </c>
      <c r="G634" t="s">
        <v>152</v>
      </c>
      <c r="H634" t="s">
        <v>174</v>
      </c>
      <c r="I634" t="s">
        <v>154</v>
      </c>
      <c r="J634">
        <v>19980526</v>
      </c>
    </row>
    <row r="635" spans="1:10">
      <c r="A635" t="s">
        <v>452</v>
      </c>
      <c r="B635">
        <v>600160</v>
      </c>
      <c r="C635" t="s">
        <v>453</v>
      </c>
      <c r="D635" t="s">
        <v>423</v>
      </c>
      <c r="E635" t="s">
        <v>14</v>
      </c>
      <c r="F635" t="s">
        <v>454</v>
      </c>
      <c r="G635" t="s">
        <v>152</v>
      </c>
      <c r="H635" t="s">
        <v>174</v>
      </c>
      <c r="I635" t="s">
        <v>154</v>
      </c>
      <c r="J635">
        <v>19980626</v>
      </c>
    </row>
    <row r="636" spans="1:10">
      <c r="A636" t="s">
        <v>3091</v>
      </c>
      <c r="B636">
        <v>600161</v>
      </c>
      <c r="C636" t="s">
        <v>3092</v>
      </c>
      <c r="D636" t="s">
        <v>164</v>
      </c>
      <c r="E636" t="s">
        <v>76</v>
      </c>
      <c r="F636" t="s">
        <v>3093</v>
      </c>
      <c r="G636" t="s">
        <v>152</v>
      </c>
      <c r="H636" t="s">
        <v>174</v>
      </c>
      <c r="I636" t="s">
        <v>154</v>
      </c>
      <c r="J636">
        <v>19980616</v>
      </c>
    </row>
    <row r="637" spans="1:10">
      <c r="A637" t="s">
        <v>4263</v>
      </c>
      <c r="B637">
        <v>600162</v>
      </c>
      <c r="C637" t="s">
        <v>4264</v>
      </c>
      <c r="D637" t="s">
        <v>243</v>
      </c>
      <c r="E637" t="s">
        <v>84</v>
      </c>
      <c r="F637" t="s">
        <v>4265</v>
      </c>
      <c r="G637" t="s">
        <v>152</v>
      </c>
      <c r="H637" t="s">
        <v>174</v>
      </c>
      <c r="I637" t="s">
        <v>154</v>
      </c>
      <c r="J637">
        <v>19980609</v>
      </c>
    </row>
    <row r="638" spans="1:10">
      <c r="A638" t="s">
        <v>3538</v>
      </c>
      <c r="B638">
        <v>600163</v>
      </c>
      <c r="C638" t="s">
        <v>3539</v>
      </c>
      <c r="D638" t="s">
        <v>150</v>
      </c>
      <c r="E638" t="s">
        <v>82</v>
      </c>
      <c r="F638" t="s">
        <v>3540</v>
      </c>
      <c r="G638" t="s">
        <v>152</v>
      </c>
      <c r="H638" t="s">
        <v>174</v>
      </c>
      <c r="I638" t="s">
        <v>154</v>
      </c>
      <c r="J638">
        <v>19980602</v>
      </c>
    </row>
    <row r="639" spans="1:10">
      <c r="A639" t="s">
        <v>455</v>
      </c>
      <c r="B639">
        <v>600165</v>
      </c>
      <c r="C639" t="s">
        <v>456</v>
      </c>
      <c r="D639" t="s">
        <v>332</v>
      </c>
      <c r="E639" t="s">
        <v>14</v>
      </c>
      <c r="F639" t="s">
        <v>457</v>
      </c>
      <c r="G639" t="s">
        <v>152</v>
      </c>
      <c r="H639" t="s">
        <v>174</v>
      </c>
      <c r="I639" t="s">
        <v>154</v>
      </c>
      <c r="J639">
        <v>19980529</v>
      </c>
    </row>
    <row r="640" spans="1:10">
      <c r="A640" t="s">
        <v>1891</v>
      </c>
      <c r="B640">
        <v>600166</v>
      </c>
      <c r="C640" t="s">
        <v>1892</v>
      </c>
      <c r="D640" t="s">
        <v>164</v>
      </c>
      <c r="E640" t="s">
        <v>36</v>
      </c>
      <c r="F640" t="s">
        <v>1893</v>
      </c>
      <c r="G640" t="s">
        <v>152</v>
      </c>
      <c r="H640" t="s">
        <v>174</v>
      </c>
      <c r="I640" t="s">
        <v>154</v>
      </c>
      <c r="J640">
        <v>19980602</v>
      </c>
    </row>
    <row r="641" spans="1:10">
      <c r="A641" t="s">
        <v>3541</v>
      </c>
      <c r="B641">
        <v>600167</v>
      </c>
      <c r="C641" t="s">
        <v>3542</v>
      </c>
      <c r="D641" t="s">
        <v>236</v>
      </c>
      <c r="E641" t="s">
        <v>91</v>
      </c>
      <c r="F641" t="s">
        <v>3543</v>
      </c>
      <c r="G641" t="s">
        <v>152</v>
      </c>
      <c r="H641" t="s">
        <v>174</v>
      </c>
      <c r="I641" t="s">
        <v>154</v>
      </c>
      <c r="J641">
        <v>19990128</v>
      </c>
    </row>
    <row r="642" spans="1:10">
      <c r="A642" t="s">
        <v>3544</v>
      </c>
      <c r="B642">
        <v>600168</v>
      </c>
      <c r="C642" t="s">
        <v>3545</v>
      </c>
      <c r="D642" t="s">
        <v>316</v>
      </c>
      <c r="E642" t="s">
        <v>96</v>
      </c>
      <c r="F642" t="s">
        <v>3546</v>
      </c>
      <c r="G642" t="s">
        <v>152</v>
      </c>
      <c r="H642" t="s">
        <v>174</v>
      </c>
      <c r="I642" t="s">
        <v>154</v>
      </c>
      <c r="J642">
        <v>19980427</v>
      </c>
    </row>
    <row r="643" spans="1:10">
      <c r="A643" t="s">
        <v>5511</v>
      </c>
      <c r="B643">
        <v>600169</v>
      </c>
      <c r="C643" t="s">
        <v>5512</v>
      </c>
      <c r="D643" t="s">
        <v>557</v>
      </c>
      <c r="E643" t="s">
        <v>104</v>
      </c>
      <c r="F643" t="s">
        <v>5513</v>
      </c>
      <c r="G643" t="s">
        <v>152</v>
      </c>
      <c r="H643" t="s">
        <v>174</v>
      </c>
      <c r="I643" t="s">
        <v>154</v>
      </c>
      <c r="J643">
        <v>19980904</v>
      </c>
    </row>
    <row r="644" spans="1:10">
      <c r="A644" t="s">
        <v>5244</v>
      </c>
      <c r="B644">
        <v>600170</v>
      </c>
      <c r="C644" t="s">
        <v>5245</v>
      </c>
      <c r="D644" t="s">
        <v>172</v>
      </c>
      <c r="E644" t="s">
        <v>121</v>
      </c>
      <c r="F644" t="s">
        <v>5246</v>
      </c>
      <c r="G644" t="s">
        <v>152</v>
      </c>
      <c r="H644" t="s">
        <v>174</v>
      </c>
      <c r="I644" t="s">
        <v>154</v>
      </c>
      <c r="J644">
        <v>19980623</v>
      </c>
    </row>
    <row r="645" spans="1:10">
      <c r="A645" t="s">
        <v>1342</v>
      </c>
      <c r="B645">
        <v>600171</v>
      </c>
      <c r="C645" t="s">
        <v>1343</v>
      </c>
      <c r="D645" t="s">
        <v>172</v>
      </c>
      <c r="E645" t="s">
        <v>31</v>
      </c>
      <c r="F645" t="s">
        <v>1344</v>
      </c>
      <c r="G645" t="s">
        <v>152</v>
      </c>
      <c r="H645" t="s">
        <v>174</v>
      </c>
      <c r="I645" t="s">
        <v>154</v>
      </c>
      <c r="J645">
        <v>19980924</v>
      </c>
    </row>
    <row r="646" spans="1:10">
      <c r="A646" t="s">
        <v>1042</v>
      </c>
      <c r="B646">
        <v>600172</v>
      </c>
      <c r="C646" t="s">
        <v>1043</v>
      </c>
      <c r="D646" t="s">
        <v>292</v>
      </c>
      <c r="E646" t="s">
        <v>52</v>
      </c>
      <c r="F646" t="s">
        <v>1044</v>
      </c>
      <c r="G646" t="s">
        <v>152</v>
      </c>
      <c r="H646" t="s">
        <v>174</v>
      </c>
      <c r="I646" t="s">
        <v>154</v>
      </c>
      <c r="J646">
        <v>19981126</v>
      </c>
    </row>
    <row r="647" spans="1:10">
      <c r="A647" t="s">
        <v>4266</v>
      </c>
      <c r="B647">
        <v>600173</v>
      </c>
      <c r="C647" t="s">
        <v>4267</v>
      </c>
      <c r="D647" t="s">
        <v>423</v>
      </c>
      <c r="E647" t="s">
        <v>84</v>
      </c>
      <c r="F647" t="s">
        <v>4268</v>
      </c>
      <c r="G647" t="s">
        <v>152</v>
      </c>
      <c r="H647" t="s">
        <v>174</v>
      </c>
      <c r="I647" t="s">
        <v>154</v>
      </c>
      <c r="J647">
        <v>19990415</v>
      </c>
    </row>
    <row r="648" spans="1:10">
      <c r="A648" t="s">
        <v>5094</v>
      </c>
      <c r="B648">
        <v>600176</v>
      </c>
      <c r="C648" t="s">
        <v>5095</v>
      </c>
      <c r="D648" t="s">
        <v>423</v>
      </c>
      <c r="E648" t="s">
        <v>45</v>
      </c>
      <c r="F648" t="s">
        <v>5096</v>
      </c>
      <c r="G648" t="s">
        <v>152</v>
      </c>
      <c r="H648" t="s">
        <v>174</v>
      </c>
      <c r="I648" t="s">
        <v>154</v>
      </c>
      <c r="J648">
        <v>19990422</v>
      </c>
    </row>
    <row r="649" spans="1:10">
      <c r="A649" t="s">
        <v>2644</v>
      </c>
      <c r="B649">
        <v>600177</v>
      </c>
      <c r="C649" t="s">
        <v>2645</v>
      </c>
      <c r="D649" t="s">
        <v>423</v>
      </c>
      <c r="E649" t="s">
        <v>20</v>
      </c>
      <c r="F649" t="s">
        <v>2646</v>
      </c>
      <c r="G649" t="s">
        <v>152</v>
      </c>
      <c r="H649" t="s">
        <v>174</v>
      </c>
      <c r="I649" t="s">
        <v>154</v>
      </c>
      <c r="J649">
        <v>19981119</v>
      </c>
    </row>
    <row r="650" spans="1:10">
      <c r="A650" t="s">
        <v>1894</v>
      </c>
      <c r="B650">
        <v>600178</v>
      </c>
      <c r="C650" t="s">
        <v>1895</v>
      </c>
      <c r="D650" t="s">
        <v>194</v>
      </c>
      <c r="E650" t="s">
        <v>28</v>
      </c>
      <c r="F650" t="s">
        <v>1896</v>
      </c>
      <c r="G650" t="s">
        <v>152</v>
      </c>
      <c r="H650" t="s">
        <v>174</v>
      </c>
      <c r="I650" t="s">
        <v>154</v>
      </c>
      <c r="J650">
        <v>19981014</v>
      </c>
    </row>
    <row r="651" spans="1:10">
      <c r="A651" t="s">
        <v>3871</v>
      </c>
      <c r="B651">
        <v>600179</v>
      </c>
      <c r="C651" t="s">
        <v>3872</v>
      </c>
      <c r="D651" t="s">
        <v>194</v>
      </c>
      <c r="E651" t="s">
        <v>50</v>
      </c>
      <c r="F651" t="s">
        <v>3873</v>
      </c>
      <c r="G651" t="s">
        <v>152</v>
      </c>
      <c r="H651" t="s">
        <v>174</v>
      </c>
      <c r="I651" t="s">
        <v>154</v>
      </c>
      <c r="J651">
        <v>19981104</v>
      </c>
    </row>
    <row r="652" spans="1:10">
      <c r="A652" t="s">
        <v>3874</v>
      </c>
      <c r="B652">
        <v>600180</v>
      </c>
      <c r="C652" t="s">
        <v>3875</v>
      </c>
      <c r="D652" t="s">
        <v>198</v>
      </c>
      <c r="E652" t="s">
        <v>50</v>
      </c>
      <c r="F652" t="s">
        <v>3876</v>
      </c>
      <c r="G652" t="s">
        <v>152</v>
      </c>
      <c r="H652" t="s">
        <v>174</v>
      </c>
      <c r="I652" t="s">
        <v>154</v>
      </c>
      <c r="J652">
        <v>19980703</v>
      </c>
    </row>
    <row r="653" spans="1:10">
      <c r="A653" t="s">
        <v>1897</v>
      </c>
      <c r="B653">
        <v>600182</v>
      </c>
      <c r="C653" t="s">
        <v>1898</v>
      </c>
      <c r="D653" t="s">
        <v>194</v>
      </c>
      <c r="E653" t="s">
        <v>28</v>
      </c>
      <c r="F653" t="s">
        <v>1899</v>
      </c>
      <c r="G653" t="s">
        <v>152</v>
      </c>
      <c r="H653" t="s">
        <v>174</v>
      </c>
      <c r="I653" t="s">
        <v>154</v>
      </c>
      <c r="J653">
        <v>19990507</v>
      </c>
    </row>
    <row r="654" spans="1:10">
      <c r="A654" t="s">
        <v>1345</v>
      </c>
      <c r="B654">
        <v>600183</v>
      </c>
      <c r="C654" t="s">
        <v>1346</v>
      </c>
      <c r="D654" t="s">
        <v>223</v>
      </c>
      <c r="E654" t="s">
        <v>42</v>
      </c>
      <c r="F654" t="s">
        <v>1347</v>
      </c>
      <c r="G654" t="s">
        <v>152</v>
      </c>
      <c r="H654" t="s">
        <v>174</v>
      </c>
      <c r="I654" t="s">
        <v>154</v>
      </c>
      <c r="J654">
        <v>19981028</v>
      </c>
    </row>
    <row r="655" spans="1:10">
      <c r="A655" t="s">
        <v>5514</v>
      </c>
      <c r="B655">
        <v>600184</v>
      </c>
      <c r="C655" t="s">
        <v>5515</v>
      </c>
      <c r="D655" t="s">
        <v>316</v>
      </c>
      <c r="E655" t="s">
        <v>122</v>
      </c>
      <c r="F655" t="s">
        <v>5516</v>
      </c>
      <c r="G655" t="s">
        <v>152</v>
      </c>
      <c r="H655" t="s">
        <v>174</v>
      </c>
      <c r="I655" t="s">
        <v>154</v>
      </c>
      <c r="J655">
        <v>20031106</v>
      </c>
    </row>
    <row r="656" spans="1:10">
      <c r="A656" t="s">
        <v>4269</v>
      </c>
      <c r="B656">
        <v>600185</v>
      </c>
      <c r="C656" t="s">
        <v>4270</v>
      </c>
      <c r="D656" t="s">
        <v>223</v>
      </c>
      <c r="E656" t="s">
        <v>79</v>
      </c>
      <c r="F656" t="s">
        <v>4271</v>
      </c>
      <c r="G656" t="s">
        <v>152</v>
      </c>
      <c r="H656" t="s">
        <v>174</v>
      </c>
      <c r="I656" t="s">
        <v>154</v>
      </c>
      <c r="J656">
        <v>19990611</v>
      </c>
    </row>
    <row r="657" spans="1:10">
      <c r="A657" t="s">
        <v>2407</v>
      </c>
      <c r="B657">
        <v>600186</v>
      </c>
      <c r="C657" t="s">
        <v>2408</v>
      </c>
      <c r="D657" t="s">
        <v>292</v>
      </c>
      <c r="E657" t="s">
        <v>19</v>
      </c>
      <c r="F657" t="s">
        <v>2409</v>
      </c>
      <c r="G657" t="s">
        <v>152</v>
      </c>
      <c r="H657" t="s">
        <v>174</v>
      </c>
      <c r="I657" t="s">
        <v>154</v>
      </c>
      <c r="J657">
        <v>19980825</v>
      </c>
    </row>
    <row r="658" spans="1:10">
      <c r="A658" t="s">
        <v>3547</v>
      </c>
      <c r="B658">
        <v>600187</v>
      </c>
      <c r="C658" t="s">
        <v>3548</v>
      </c>
      <c r="D658" t="s">
        <v>194</v>
      </c>
      <c r="E658" t="s">
        <v>96</v>
      </c>
      <c r="F658" t="s">
        <v>3549</v>
      </c>
      <c r="G658" t="s">
        <v>152</v>
      </c>
      <c r="H658" t="s">
        <v>174</v>
      </c>
      <c r="I658" t="s">
        <v>154</v>
      </c>
      <c r="J658">
        <v>19981111</v>
      </c>
    </row>
    <row r="659" spans="1:10">
      <c r="A659" t="s">
        <v>6375</v>
      </c>
      <c r="B659">
        <v>600188</v>
      </c>
      <c r="C659" t="s">
        <v>6376</v>
      </c>
      <c r="D659" t="s">
        <v>198</v>
      </c>
      <c r="E659" t="s">
        <v>126</v>
      </c>
      <c r="F659" t="s">
        <v>6377</v>
      </c>
      <c r="G659" t="s">
        <v>152</v>
      </c>
      <c r="H659" t="s">
        <v>174</v>
      </c>
      <c r="I659" t="s">
        <v>154</v>
      </c>
      <c r="J659">
        <v>19980701</v>
      </c>
    </row>
    <row r="660" spans="1:10">
      <c r="A660" t="s">
        <v>2410</v>
      </c>
      <c r="B660">
        <v>600189</v>
      </c>
      <c r="C660" t="s">
        <v>2411</v>
      </c>
      <c r="D660" t="s">
        <v>312</v>
      </c>
      <c r="E660" t="s">
        <v>29</v>
      </c>
      <c r="F660" t="s">
        <v>2412</v>
      </c>
      <c r="G660" t="s">
        <v>152</v>
      </c>
      <c r="H660" t="s">
        <v>174</v>
      </c>
      <c r="I660" t="s">
        <v>154</v>
      </c>
      <c r="J660">
        <v>19981007</v>
      </c>
    </row>
    <row r="661" spans="1:10">
      <c r="A661" t="s">
        <v>3877</v>
      </c>
      <c r="B661">
        <v>600190</v>
      </c>
      <c r="C661" t="s">
        <v>3878</v>
      </c>
      <c r="D661" t="s">
        <v>236</v>
      </c>
      <c r="E661" t="s">
        <v>83</v>
      </c>
      <c r="F661" t="s">
        <v>3879</v>
      </c>
      <c r="G661" t="s">
        <v>152</v>
      </c>
      <c r="H661" t="s">
        <v>174</v>
      </c>
      <c r="I661" t="s">
        <v>154</v>
      </c>
      <c r="J661">
        <v>19990609</v>
      </c>
    </row>
    <row r="662" spans="1:10">
      <c r="A662" t="s">
        <v>2413</v>
      </c>
      <c r="B662">
        <v>600191</v>
      </c>
      <c r="C662" t="s">
        <v>2414</v>
      </c>
      <c r="D662" t="s">
        <v>266</v>
      </c>
      <c r="E662" t="s">
        <v>19</v>
      </c>
      <c r="F662" t="s">
        <v>2415</v>
      </c>
      <c r="G662" t="s">
        <v>152</v>
      </c>
      <c r="H662" t="s">
        <v>174</v>
      </c>
      <c r="I662" t="s">
        <v>154</v>
      </c>
      <c r="J662">
        <v>19981210</v>
      </c>
    </row>
    <row r="663" spans="1:10">
      <c r="A663" t="s">
        <v>1348</v>
      </c>
      <c r="B663">
        <v>600192</v>
      </c>
      <c r="C663" t="s">
        <v>1349</v>
      </c>
      <c r="D663" t="s">
        <v>177</v>
      </c>
      <c r="E663" t="s">
        <v>17</v>
      </c>
      <c r="F663" t="s">
        <v>1350</v>
      </c>
      <c r="G663" t="s">
        <v>152</v>
      </c>
      <c r="H663" t="s">
        <v>174</v>
      </c>
      <c r="I663" t="s">
        <v>154</v>
      </c>
      <c r="J663">
        <v>19981224</v>
      </c>
    </row>
    <row r="664" spans="1:10">
      <c r="A664" t="s">
        <v>5247</v>
      </c>
      <c r="B664">
        <v>600193</v>
      </c>
      <c r="C664" t="s">
        <v>5248</v>
      </c>
      <c r="D664" t="s">
        <v>172</v>
      </c>
      <c r="E664" t="s">
        <v>115</v>
      </c>
      <c r="F664" t="s">
        <v>5249</v>
      </c>
      <c r="G664" t="s">
        <v>152</v>
      </c>
      <c r="H664" t="s">
        <v>174</v>
      </c>
      <c r="I664" t="s">
        <v>154</v>
      </c>
      <c r="J664">
        <v>19990527</v>
      </c>
    </row>
    <row r="665" spans="1:10">
      <c r="A665" t="s">
        <v>261</v>
      </c>
      <c r="B665">
        <v>600195</v>
      </c>
      <c r="C665" t="s">
        <v>262</v>
      </c>
      <c r="D665" t="s">
        <v>164</v>
      </c>
      <c r="E665" t="s">
        <v>46</v>
      </c>
      <c r="F665" t="s">
        <v>263</v>
      </c>
      <c r="G665" t="s">
        <v>152</v>
      </c>
      <c r="H665" t="s">
        <v>174</v>
      </c>
      <c r="I665" t="s">
        <v>154</v>
      </c>
      <c r="J665">
        <v>19990107</v>
      </c>
    </row>
    <row r="666" spans="1:10">
      <c r="A666" t="s">
        <v>3022</v>
      </c>
      <c r="B666">
        <v>600196</v>
      </c>
      <c r="C666" t="s">
        <v>3023</v>
      </c>
      <c r="D666" t="s">
        <v>172</v>
      </c>
      <c r="E666" t="s">
        <v>81</v>
      </c>
      <c r="F666" t="s">
        <v>3024</v>
      </c>
      <c r="G666" t="s">
        <v>152</v>
      </c>
      <c r="H666" t="s">
        <v>174</v>
      </c>
      <c r="I666" t="s">
        <v>154</v>
      </c>
      <c r="J666">
        <v>19980807</v>
      </c>
    </row>
    <row r="667" spans="1:10">
      <c r="A667" t="s">
        <v>2416</v>
      </c>
      <c r="B667">
        <v>600197</v>
      </c>
      <c r="C667" t="s">
        <v>2417</v>
      </c>
      <c r="D667" t="s">
        <v>202</v>
      </c>
      <c r="E667" t="s">
        <v>12</v>
      </c>
      <c r="F667" t="s">
        <v>2418</v>
      </c>
      <c r="G667" t="s">
        <v>152</v>
      </c>
      <c r="H667" t="s">
        <v>174</v>
      </c>
      <c r="I667" t="s">
        <v>154</v>
      </c>
      <c r="J667">
        <v>19990916</v>
      </c>
    </row>
    <row r="668" spans="1:10">
      <c r="A668" t="s">
        <v>6258</v>
      </c>
      <c r="B668">
        <v>600198</v>
      </c>
      <c r="C668" t="s">
        <v>6259</v>
      </c>
      <c r="D668" t="s">
        <v>164</v>
      </c>
      <c r="E668" t="s">
        <v>125</v>
      </c>
      <c r="F668" t="s">
        <v>6260</v>
      </c>
      <c r="G668" t="s">
        <v>152</v>
      </c>
      <c r="H668" t="s">
        <v>174</v>
      </c>
      <c r="I668" t="s">
        <v>154</v>
      </c>
      <c r="J668">
        <v>19981021</v>
      </c>
    </row>
    <row r="669" spans="1:10">
      <c r="A669" t="s">
        <v>2419</v>
      </c>
      <c r="B669">
        <v>600199</v>
      </c>
      <c r="C669" t="s">
        <v>2420</v>
      </c>
      <c r="D669" t="s">
        <v>160</v>
      </c>
      <c r="E669" t="s">
        <v>12</v>
      </c>
      <c r="F669" t="s">
        <v>2421</v>
      </c>
      <c r="G669" t="s">
        <v>152</v>
      </c>
      <c r="H669" t="s">
        <v>174</v>
      </c>
      <c r="I669" t="s">
        <v>154</v>
      </c>
      <c r="J669">
        <v>19980812</v>
      </c>
    </row>
    <row r="670" spans="1:10">
      <c r="A670" t="s">
        <v>2989</v>
      </c>
      <c r="B670">
        <v>600200</v>
      </c>
      <c r="C670" t="s">
        <v>2990</v>
      </c>
      <c r="D670" t="s">
        <v>212</v>
      </c>
      <c r="E670" t="s">
        <v>81</v>
      </c>
      <c r="F670" t="s">
        <v>2991</v>
      </c>
      <c r="G670" t="s">
        <v>152</v>
      </c>
      <c r="H670" t="s">
        <v>174</v>
      </c>
      <c r="I670" t="s">
        <v>154</v>
      </c>
      <c r="J670">
        <v>19990401</v>
      </c>
    </row>
    <row r="671" spans="1:10">
      <c r="A671" t="s">
        <v>264</v>
      </c>
      <c r="B671">
        <v>600201</v>
      </c>
      <c r="C671" t="s">
        <v>265</v>
      </c>
      <c r="D671" t="s">
        <v>266</v>
      </c>
      <c r="E671" t="s">
        <v>46</v>
      </c>
      <c r="F671" t="s">
        <v>267</v>
      </c>
      <c r="G671" t="s">
        <v>152</v>
      </c>
      <c r="H671" t="s">
        <v>174</v>
      </c>
      <c r="I671" t="s">
        <v>154</v>
      </c>
      <c r="J671">
        <v>19990115</v>
      </c>
    </row>
    <row r="672" spans="1:10">
      <c r="A672" t="s">
        <v>5517</v>
      </c>
      <c r="B672">
        <v>600202</v>
      </c>
      <c r="C672" t="s">
        <v>5518</v>
      </c>
      <c r="D672" t="s">
        <v>194</v>
      </c>
      <c r="E672" t="s">
        <v>122</v>
      </c>
      <c r="F672" t="s">
        <v>5519</v>
      </c>
      <c r="G672" t="s">
        <v>152</v>
      </c>
      <c r="H672" t="s">
        <v>174</v>
      </c>
      <c r="I672" t="s">
        <v>154</v>
      </c>
      <c r="J672">
        <v>19990603</v>
      </c>
    </row>
    <row r="673" spans="1:10">
      <c r="A673" t="s">
        <v>1351</v>
      </c>
      <c r="B673">
        <v>600203</v>
      </c>
      <c r="C673" t="s">
        <v>1352</v>
      </c>
      <c r="D673" t="s">
        <v>150</v>
      </c>
      <c r="E673" t="s">
        <v>42</v>
      </c>
      <c r="F673" t="s">
        <v>1353</v>
      </c>
      <c r="G673" t="s">
        <v>152</v>
      </c>
      <c r="H673" t="s">
        <v>174</v>
      </c>
      <c r="I673" t="s">
        <v>154</v>
      </c>
      <c r="J673">
        <v>19990514</v>
      </c>
    </row>
    <row r="674" spans="1:10">
      <c r="A674" t="s">
        <v>1354</v>
      </c>
      <c r="B674">
        <v>600206</v>
      </c>
      <c r="C674" t="s">
        <v>1355</v>
      </c>
      <c r="D674" t="s">
        <v>164</v>
      </c>
      <c r="E674" t="s">
        <v>31</v>
      </c>
      <c r="F674" t="s">
        <v>1356</v>
      </c>
      <c r="G674" t="s">
        <v>152</v>
      </c>
      <c r="H674" t="s">
        <v>174</v>
      </c>
      <c r="I674" t="s">
        <v>154</v>
      </c>
      <c r="J674">
        <v>19990319</v>
      </c>
    </row>
    <row r="675" spans="1:10">
      <c r="A675" t="s">
        <v>1357</v>
      </c>
      <c r="B675">
        <v>600207</v>
      </c>
      <c r="C675" t="s">
        <v>1358</v>
      </c>
      <c r="D675" t="s">
        <v>292</v>
      </c>
      <c r="E675" t="s">
        <v>17</v>
      </c>
      <c r="F675" t="s">
        <v>1359</v>
      </c>
      <c r="G675" t="s">
        <v>152</v>
      </c>
      <c r="H675" t="s">
        <v>174</v>
      </c>
      <c r="I675" t="s">
        <v>154</v>
      </c>
      <c r="J675">
        <v>19990714</v>
      </c>
    </row>
    <row r="676" spans="1:10">
      <c r="A676" t="s">
        <v>4272</v>
      </c>
      <c r="B676">
        <v>600208</v>
      </c>
      <c r="C676" t="s">
        <v>4273</v>
      </c>
      <c r="D676" t="s">
        <v>423</v>
      </c>
      <c r="E676" t="s">
        <v>84</v>
      </c>
      <c r="F676" t="s">
        <v>4274</v>
      </c>
      <c r="G676" t="s">
        <v>152</v>
      </c>
      <c r="H676" t="s">
        <v>174</v>
      </c>
      <c r="I676" t="s">
        <v>154</v>
      </c>
      <c r="J676">
        <v>19990623</v>
      </c>
    </row>
    <row r="677" spans="1:10">
      <c r="A677" t="s">
        <v>2755</v>
      </c>
      <c r="B677">
        <v>600210</v>
      </c>
      <c r="C677" t="s">
        <v>2756</v>
      </c>
      <c r="D677" t="s">
        <v>172</v>
      </c>
      <c r="E677" t="s">
        <v>37</v>
      </c>
      <c r="F677" t="s">
        <v>2757</v>
      </c>
      <c r="G677" t="s">
        <v>152</v>
      </c>
      <c r="H677" t="s">
        <v>174</v>
      </c>
      <c r="I677" t="s">
        <v>154</v>
      </c>
      <c r="J677">
        <v>19990824</v>
      </c>
    </row>
    <row r="678" spans="1:10">
      <c r="A678" t="s">
        <v>3385</v>
      </c>
      <c r="B678">
        <v>600211</v>
      </c>
      <c r="C678" t="s">
        <v>3386</v>
      </c>
      <c r="D678" t="s">
        <v>1001</v>
      </c>
      <c r="E678" t="s">
        <v>67</v>
      </c>
      <c r="F678" t="s">
        <v>3387</v>
      </c>
      <c r="G678" t="s">
        <v>152</v>
      </c>
      <c r="H678" t="s">
        <v>174</v>
      </c>
      <c r="I678" t="s">
        <v>154</v>
      </c>
      <c r="J678">
        <v>19990721</v>
      </c>
    </row>
    <row r="679" spans="1:10">
      <c r="A679" t="s">
        <v>5028</v>
      </c>
      <c r="B679">
        <v>600212</v>
      </c>
      <c r="C679" t="s">
        <v>5029</v>
      </c>
      <c r="D679" t="s">
        <v>198</v>
      </c>
      <c r="E679" t="s">
        <v>74</v>
      </c>
      <c r="F679" t="s">
        <v>5030</v>
      </c>
      <c r="G679" t="s">
        <v>152</v>
      </c>
      <c r="H679" t="s">
        <v>174</v>
      </c>
      <c r="I679" t="s">
        <v>154</v>
      </c>
      <c r="J679">
        <v>19990817</v>
      </c>
    </row>
    <row r="680" spans="1:10">
      <c r="A680" t="s">
        <v>1900</v>
      </c>
      <c r="B680">
        <v>600213</v>
      </c>
      <c r="C680" t="s">
        <v>1901</v>
      </c>
      <c r="D680" t="s">
        <v>212</v>
      </c>
      <c r="E680" t="s">
        <v>36</v>
      </c>
      <c r="F680" t="s">
        <v>1902</v>
      </c>
      <c r="G680" t="s">
        <v>152</v>
      </c>
      <c r="H680" t="s">
        <v>174</v>
      </c>
      <c r="I680" t="s">
        <v>154</v>
      </c>
      <c r="J680">
        <v>19990831</v>
      </c>
    </row>
    <row r="681" spans="1:10">
      <c r="A681" t="s">
        <v>5520</v>
      </c>
      <c r="B681">
        <v>600215</v>
      </c>
      <c r="C681" t="s">
        <v>5521</v>
      </c>
      <c r="D681" t="s">
        <v>312</v>
      </c>
      <c r="E681" t="s">
        <v>122</v>
      </c>
      <c r="F681" t="s">
        <v>5522</v>
      </c>
      <c r="G681" t="s">
        <v>152</v>
      </c>
      <c r="H681" t="s">
        <v>174</v>
      </c>
      <c r="I681" t="s">
        <v>154</v>
      </c>
      <c r="J681">
        <v>19990909</v>
      </c>
    </row>
    <row r="682" spans="1:10">
      <c r="A682" t="s">
        <v>3055</v>
      </c>
      <c r="B682">
        <v>600216</v>
      </c>
      <c r="C682" t="s">
        <v>3056</v>
      </c>
      <c r="D682" t="s">
        <v>423</v>
      </c>
      <c r="E682" t="s">
        <v>81</v>
      </c>
      <c r="F682" t="s">
        <v>3057</v>
      </c>
      <c r="G682" t="s">
        <v>152</v>
      </c>
      <c r="H682" t="s">
        <v>174</v>
      </c>
      <c r="I682" t="s">
        <v>154</v>
      </c>
      <c r="J682">
        <v>19991021</v>
      </c>
    </row>
    <row r="683" spans="1:10">
      <c r="A683" t="s">
        <v>6576</v>
      </c>
      <c r="B683">
        <v>600217</v>
      </c>
      <c r="C683" t="s">
        <v>6577</v>
      </c>
      <c r="D683" t="s">
        <v>419</v>
      </c>
      <c r="E683" t="s">
        <v>119</v>
      </c>
      <c r="F683" t="s">
        <v>6578</v>
      </c>
      <c r="G683" t="s">
        <v>152</v>
      </c>
      <c r="H683" t="s">
        <v>174</v>
      </c>
      <c r="I683" t="s">
        <v>154</v>
      </c>
      <c r="J683">
        <v>19991216</v>
      </c>
    </row>
    <row r="684" spans="1:10">
      <c r="A684" t="s">
        <v>1903</v>
      </c>
      <c r="B684">
        <v>600218</v>
      </c>
      <c r="C684" t="s">
        <v>1904</v>
      </c>
      <c r="D684" t="s">
        <v>160</v>
      </c>
      <c r="E684" t="s">
        <v>28</v>
      </c>
      <c r="F684" t="s">
        <v>1905</v>
      </c>
      <c r="G684" t="s">
        <v>152</v>
      </c>
      <c r="H684" t="s">
        <v>174</v>
      </c>
      <c r="I684" t="s">
        <v>154</v>
      </c>
      <c r="J684">
        <v>19981203</v>
      </c>
    </row>
    <row r="685" spans="1:10">
      <c r="A685" t="s">
        <v>1045</v>
      </c>
      <c r="B685">
        <v>600219</v>
      </c>
      <c r="C685" t="s">
        <v>1046</v>
      </c>
      <c r="D685" t="s">
        <v>198</v>
      </c>
      <c r="E685" t="s">
        <v>16</v>
      </c>
      <c r="F685" t="s">
        <v>1047</v>
      </c>
      <c r="G685" t="s">
        <v>152</v>
      </c>
      <c r="H685" t="s">
        <v>174</v>
      </c>
      <c r="I685" t="s">
        <v>154</v>
      </c>
      <c r="J685">
        <v>19991223</v>
      </c>
    </row>
    <row r="686" spans="1:10">
      <c r="A686" t="s">
        <v>458</v>
      </c>
      <c r="B686">
        <v>600220</v>
      </c>
      <c r="C686" t="s">
        <v>459</v>
      </c>
      <c r="D686" t="s">
        <v>212</v>
      </c>
      <c r="E686" t="s">
        <v>33</v>
      </c>
      <c r="F686" t="s">
        <v>460</v>
      </c>
      <c r="G686" t="s">
        <v>152</v>
      </c>
      <c r="H686" t="s">
        <v>174</v>
      </c>
      <c r="I686" t="s">
        <v>154</v>
      </c>
      <c r="J686">
        <v>19990927</v>
      </c>
    </row>
    <row r="687" spans="1:10">
      <c r="A687" t="s">
        <v>3880</v>
      </c>
      <c r="B687">
        <v>600221</v>
      </c>
      <c r="C687" t="s">
        <v>3881</v>
      </c>
      <c r="D687" t="s">
        <v>250</v>
      </c>
      <c r="E687" t="s">
        <v>103</v>
      </c>
      <c r="F687" t="s">
        <v>3882</v>
      </c>
      <c r="G687" t="s">
        <v>152</v>
      </c>
      <c r="H687" t="s">
        <v>174</v>
      </c>
      <c r="I687" t="s">
        <v>154</v>
      </c>
      <c r="J687">
        <v>19991125</v>
      </c>
    </row>
    <row r="688" spans="1:10">
      <c r="A688" t="s">
        <v>3310</v>
      </c>
      <c r="B688">
        <v>600222</v>
      </c>
      <c r="C688" t="s">
        <v>3311</v>
      </c>
      <c r="D688" t="s">
        <v>292</v>
      </c>
      <c r="E688" t="s">
        <v>67</v>
      </c>
      <c r="F688" t="s">
        <v>3312</v>
      </c>
      <c r="G688" t="s">
        <v>152</v>
      </c>
      <c r="H688" t="s">
        <v>174</v>
      </c>
      <c r="I688" t="s">
        <v>154</v>
      </c>
      <c r="J688">
        <v>19991105</v>
      </c>
    </row>
    <row r="689" spans="1:10">
      <c r="A689" t="s">
        <v>4275</v>
      </c>
      <c r="B689">
        <v>600223</v>
      </c>
      <c r="C689" t="s">
        <v>4276</v>
      </c>
      <c r="D689" t="s">
        <v>198</v>
      </c>
      <c r="E689" t="s">
        <v>79</v>
      </c>
      <c r="F689" t="s">
        <v>4277</v>
      </c>
      <c r="G689" t="s">
        <v>152</v>
      </c>
      <c r="H689" t="s">
        <v>174</v>
      </c>
      <c r="I689" t="s">
        <v>154</v>
      </c>
      <c r="J689">
        <v>20000113</v>
      </c>
    </row>
    <row r="690" spans="1:10">
      <c r="A690" t="s">
        <v>5871</v>
      </c>
      <c r="B690">
        <v>600225</v>
      </c>
      <c r="C690" t="s">
        <v>5872</v>
      </c>
      <c r="D690" t="s">
        <v>576</v>
      </c>
      <c r="E690" t="s">
        <v>123</v>
      </c>
      <c r="F690" t="s">
        <v>5873</v>
      </c>
      <c r="G690" t="s">
        <v>152</v>
      </c>
      <c r="H690" t="s">
        <v>174</v>
      </c>
      <c r="I690" t="s">
        <v>154</v>
      </c>
      <c r="J690">
        <v>20000127</v>
      </c>
    </row>
    <row r="691" spans="1:10">
      <c r="A691" t="s">
        <v>5874</v>
      </c>
      <c r="B691">
        <v>600226</v>
      </c>
      <c r="C691" t="s">
        <v>5875</v>
      </c>
      <c r="D691" t="s">
        <v>423</v>
      </c>
      <c r="E691" t="s">
        <v>116</v>
      </c>
      <c r="F691" t="s">
        <v>5876</v>
      </c>
      <c r="G691" t="s">
        <v>152</v>
      </c>
      <c r="H691" t="s">
        <v>174</v>
      </c>
      <c r="I691" t="s">
        <v>154</v>
      </c>
      <c r="J691">
        <v>19991116</v>
      </c>
    </row>
    <row r="692" spans="1:10">
      <c r="A692" t="s">
        <v>461</v>
      </c>
      <c r="B692">
        <v>600227</v>
      </c>
      <c r="C692" t="s">
        <v>462</v>
      </c>
      <c r="D692" t="s">
        <v>463</v>
      </c>
      <c r="E692" t="s">
        <v>47</v>
      </c>
      <c r="F692" t="s">
        <v>464</v>
      </c>
      <c r="G692" t="s">
        <v>152</v>
      </c>
      <c r="H692" t="s">
        <v>174</v>
      </c>
      <c r="I692" t="s">
        <v>154</v>
      </c>
      <c r="J692">
        <v>20000221</v>
      </c>
    </row>
    <row r="693" spans="1:10">
      <c r="A693" t="s">
        <v>5877</v>
      </c>
      <c r="B693">
        <v>600228</v>
      </c>
      <c r="C693" t="s">
        <v>5878</v>
      </c>
      <c r="D693" t="s">
        <v>406</v>
      </c>
      <c r="E693" t="s">
        <v>116</v>
      </c>
      <c r="F693" t="s">
        <v>5879</v>
      </c>
      <c r="G693" t="s">
        <v>152</v>
      </c>
      <c r="H693" t="s">
        <v>174</v>
      </c>
      <c r="I693" t="s">
        <v>154</v>
      </c>
      <c r="J693">
        <v>19990119</v>
      </c>
    </row>
    <row r="694" spans="1:10">
      <c r="A694" t="s">
        <v>6165</v>
      </c>
      <c r="B694">
        <v>600229</v>
      </c>
      <c r="C694" t="s">
        <v>6166</v>
      </c>
      <c r="D694" t="s">
        <v>198</v>
      </c>
      <c r="E694" t="s">
        <v>55</v>
      </c>
      <c r="F694" t="s">
        <v>6167</v>
      </c>
      <c r="G694" t="s">
        <v>152</v>
      </c>
      <c r="H694" t="s">
        <v>174</v>
      </c>
      <c r="I694" t="s">
        <v>154</v>
      </c>
      <c r="J694">
        <v>20000309</v>
      </c>
    </row>
    <row r="695" spans="1:10">
      <c r="A695" t="s">
        <v>465</v>
      </c>
      <c r="B695">
        <v>600230</v>
      </c>
      <c r="C695" t="s">
        <v>466</v>
      </c>
      <c r="D695" t="s">
        <v>279</v>
      </c>
      <c r="E695" t="s">
        <v>14</v>
      </c>
      <c r="F695" t="s">
        <v>467</v>
      </c>
      <c r="G695" t="s">
        <v>152</v>
      </c>
      <c r="H695" t="s">
        <v>174</v>
      </c>
      <c r="I695" t="s">
        <v>154</v>
      </c>
      <c r="J695">
        <v>20000406</v>
      </c>
    </row>
    <row r="696" spans="1:10">
      <c r="A696" t="s">
        <v>887</v>
      </c>
      <c r="B696">
        <v>600231</v>
      </c>
      <c r="C696" t="s">
        <v>888</v>
      </c>
      <c r="D696" t="s">
        <v>236</v>
      </c>
      <c r="E696" t="s">
        <v>25</v>
      </c>
      <c r="F696" t="s">
        <v>889</v>
      </c>
      <c r="G696" t="s">
        <v>152</v>
      </c>
      <c r="H696" t="s">
        <v>174</v>
      </c>
      <c r="I696" t="s">
        <v>154</v>
      </c>
      <c r="J696">
        <v>20000511</v>
      </c>
    </row>
    <row r="697" spans="1:10">
      <c r="A697" t="s">
        <v>468</v>
      </c>
      <c r="B697">
        <v>600232</v>
      </c>
      <c r="C697" t="s">
        <v>469</v>
      </c>
      <c r="D697" t="s">
        <v>423</v>
      </c>
      <c r="E697" t="s">
        <v>33</v>
      </c>
      <c r="F697" t="s">
        <v>470</v>
      </c>
      <c r="G697" t="s">
        <v>152</v>
      </c>
      <c r="H697" t="s">
        <v>174</v>
      </c>
      <c r="I697" t="s">
        <v>154</v>
      </c>
      <c r="J697">
        <v>20000602</v>
      </c>
    </row>
    <row r="698" spans="1:10">
      <c r="A698" t="s">
        <v>3883</v>
      </c>
      <c r="B698">
        <v>600233</v>
      </c>
      <c r="C698" t="s">
        <v>3884</v>
      </c>
      <c r="D698" t="s">
        <v>236</v>
      </c>
      <c r="E698" t="s">
        <v>50</v>
      </c>
      <c r="F698" t="s">
        <v>3885</v>
      </c>
      <c r="G698" t="s">
        <v>152</v>
      </c>
      <c r="H698" t="s">
        <v>174</v>
      </c>
      <c r="I698" t="s">
        <v>154</v>
      </c>
      <c r="J698">
        <v>20000608</v>
      </c>
    </row>
    <row r="699" spans="1:10">
      <c r="A699" t="s">
        <v>5031</v>
      </c>
      <c r="B699">
        <v>600234</v>
      </c>
      <c r="C699" t="s">
        <v>5032</v>
      </c>
      <c r="D699" t="s">
        <v>557</v>
      </c>
      <c r="E699" t="s">
        <v>74</v>
      </c>
      <c r="F699" t="s">
        <v>5033</v>
      </c>
      <c r="G699" t="s">
        <v>152</v>
      </c>
      <c r="H699" t="s">
        <v>174</v>
      </c>
      <c r="I699" t="s">
        <v>154</v>
      </c>
      <c r="J699">
        <v>20000615</v>
      </c>
    </row>
    <row r="700" spans="1:10">
      <c r="A700" t="s">
        <v>2758</v>
      </c>
      <c r="B700">
        <v>600235</v>
      </c>
      <c r="C700" t="s">
        <v>2759</v>
      </c>
      <c r="D700" t="s">
        <v>423</v>
      </c>
      <c r="E700" t="s">
        <v>30</v>
      </c>
      <c r="F700" t="s">
        <v>2760</v>
      </c>
      <c r="G700" t="s">
        <v>152</v>
      </c>
      <c r="H700" t="s">
        <v>174</v>
      </c>
      <c r="I700" t="s">
        <v>154</v>
      </c>
      <c r="J700">
        <v>20000615</v>
      </c>
    </row>
    <row r="701" spans="1:10">
      <c r="A701" t="s">
        <v>3550</v>
      </c>
      <c r="B701">
        <v>600236</v>
      </c>
      <c r="C701" t="s">
        <v>3551</v>
      </c>
      <c r="D701" t="s">
        <v>345</v>
      </c>
      <c r="E701" t="s">
        <v>68</v>
      </c>
      <c r="F701" t="s">
        <v>3552</v>
      </c>
      <c r="G701" t="s">
        <v>152</v>
      </c>
      <c r="H701" t="s">
        <v>174</v>
      </c>
      <c r="I701" t="s">
        <v>154</v>
      </c>
      <c r="J701">
        <v>20000323</v>
      </c>
    </row>
    <row r="702" spans="1:10">
      <c r="A702" t="s">
        <v>1360</v>
      </c>
      <c r="B702">
        <v>600237</v>
      </c>
      <c r="C702" t="s">
        <v>1361</v>
      </c>
      <c r="D702" t="s">
        <v>160</v>
      </c>
      <c r="E702" t="s">
        <v>42</v>
      </c>
      <c r="F702" t="s">
        <v>1362</v>
      </c>
      <c r="G702" t="s">
        <v>152</v>
      </c>
      <c r="H702" t="s">
        <v>174</v>
      </c>
      <c r="I702" t="s">
        <v>154</v>
      </c>
      <c r="J702">
        <v>20000609</v>
      </c>
    </row>
    <row r="703" spans="1:10">
      <c r="A703" t="s">
        <v>2422</v>
      </c>
      <c r="B703">
        <v>600238</v>
      </c>
      <c r="C703" t="s">
        <v>2423</v>
      </c>
      <c r="D703" t="s">
        <v>250</v>
      </c>
      <c r="E703" t="s">
        <v>44</v>
      </c>
      <c r="F703" t="s">
        <v>2424</v>
      </c>
      <c r="G703" t="s">
        <v>152</v>
      </c>
      <c r="H703" t="s">
        <v>174</v>
      </c>
      <c r="I703" t="s">
        <v>154</v>
      </c>
      <c r="J703">
        <v>20000120</v>
      </c>
    </row>
    <row r="704" spans="1:10">
      <c r="A704" t="s">
        <v>4278</v>
      </c>
      <c r="B704">
        <v>600239</v>
      </c>
      <c r="C704" t="s">
        <v>4279</v>
      </c>
      <c r="D704" t="s">
        <v>184</v>
      </c>
      <c r="E704" t="s">
        <v>79</v>
      </c>
      <c r="F704" t="s">
        <v>4280</v>
      </c>
      <c r="G704" t="s">
        <v>152</v>
      </c>
      <c r="H704" t="s">
        <v>174</v>
      </c>
      <c r="I704" t="s">
        <v>154</v>
      </c>
      <c r="J704">
        <v>19991202</v>
      </c>
    </row>
    <row r="705" spans="1:10">
      <c r="A705" t="s">
        <v>1363</v>
      </c>
      <c r="B705">
        <v>600241</v>
      </c>
      <c r="C705" t="s">
        <v>1364</v>
      </c>
      <c r="D705" t="s">
        <v>236</v>
      </c>
      <c r="E705" t="s">
        <v>17</v>
      </c>
      <c r="F705" t="s">
        <v>1365</v>
      </c>
      <c r="G705" t="s">
        <v>152</v>
      </c>
      <c r="H705" t="s">
        <v>174</v>
      </c>
      <c r="I705" t="s">
        <v>154</v>
      </c>
      <c r="J705">
        <v>20001128</v>
      </c>
    </row>
    <row r="706" spans="1:10">
      <c r="A706" t="s">
        <v>5880</v>
      </c>
      <c r="B706">
        <v>600242</v>
      </c>
      <c r="C706" t="s">
        <v>5881</v>
      </c>
      <c r="D706" t="s">
        <v>223</v>
      </c>
      <c r="E706" t="s">
        <v>123</v>
      </c>
      <c r="F706" t="s">
        <v>5882</v>
      </c>
      <c r="G706" t="s">
        <v>152</v>
      </c>
      <c r="H706" t="s">
        <v>174</v>
      </c>
      <c r="I706" t="s">
        <v>154</v>
      </c>
      <c r="J706">
        <v>20001207</v>
      </c>
    </row>
    <row r="707" spans="1:10">
      <c r="A707" t="s">
        <v>5523</v>
      </c>
      <c r="B707">
        <v>600243</v>
      </c>
      <c r="C707" t="s">
        <v>5524</v>
      </c>
      <c r="D707" t="s">
        <v>308</v>
      </c>
      <c r="E707" t="s">
        <v>134</v>
      </c>
      <c r="F707" t="s">
        <v>5525</v>
      </c>
      <c r="G707" t="s">
        <v>152</v>
      </c>
      <c r="H707" t="s">
        <v>174</v>
      </c>
      <c r="I707" t="s">
        <v>154</v>
      </c>
      <c r="J707">
        <v>20001120</v>
      </c>
    </row>
    <row r="708" spans="1:10">
      <c r="A708" t="s">
        <v>4281</v>
      </c>
      <c r="B708">
        <v>600246</v>
      </c>
      <c r="C708" t="s">
        <v>4282</v>
      </c>
      <c r="D708" t="s">
        <v>164</v>
      </c>
      <c r="E708" t="s">
        <v>79</v>
      </c>
      <c r="F708" t="s">
        <v>4283</v>
      </c>
      <c r="G708" t="s">
        <v>152</v>
      </c>
      <c r="H708" t="s">
        <v>174</v>
      </c>
      <c r="I708" t="s">
        <v>154</v>
      </c>
      <c r="J708">
        <v>20000922</v>
      </c>
    </row>
    <row r="709" spans="1:10">
      <c r="A709" t="s">
        <v>5250</v>
      </c>
      <c r="B709">
        <v>600248</v>
      </c>
      <c r="C709" t="s">
        <v>5251</v>
      </c>
      <c r="D709" t="s">
        <v>419</v>
      </c>
      <c r="E709" t="s">
        <v>121</v>
      </c>
      <c r="F709" t="s">
        <v>5252</v>
      </c>
      <c r="G709" t="s">
        <v>152</v>
      </c>
      <c r="H709" t="s">
        <v>174</v>
      </c>
      <c r="I709" t="s">
        <v>154</v>
      </c>
      <c r="J709">
        <v>20000622</v>
      </c>
    </row>
    <row r="710" spans="1:10">
      <c r="A710" t="s">
        <v>6663</v>
      </c>
      <c r="B710">
        <v>600249</v>
      </c>
      <c r="C710" t="s">
        <v>6664</v>
      </c>
      <c r="D710" t="s">
        <v>345</v>
      </c>
      <c r="E710" t="s">
        <v>120</v>
      </c>
      <c r="F710" t="s">
        <v>6665</v>
      </c>
      <c r="G710" t="s">
        <v>152</v>
      </c>
      <c r="H710" t="s">
        <v>174</v>
      </c>
      <c r="I710" t="s">
        <v>154</v>
      </c>
      <c r="J710">
        <v>20040130</v>
      </c>
    </row>
    <row r="711" spans="1:10">
      <c r="A711" t="s">
        <v>4470</v>
      </c>
      <c r="B711">
        <v>600250</v>
      </c>
      <c r="C711" t="s">
        <v>4471</v>
      </c>
      <c r="D711" t="s">
        <v>212</v>
      </c>
      <c r="E711" t="s">
        <v>71</v>
      </c>
      <c r="F711" t="s">
        <v>4472</v>
      </c>
      <c r="G711" t="s">
        <v>152</v>
      </c>
      <c r="H711" t="s">
        <v>174</v>
      </c>
      <c r="I711" t="s">
        <v>154</v>
      </c>
      <c r="J711">
        <v>20010306</v>
      </c>
    </row>
    <row r="712" spans="1:10">
      <c r="A712" t="s">
        <v>268</v>
      </c>
      <c r="B712">
        <v>600251</v>
      </c>
      <c r="C712" t="s">
        <v>269</v>
      </c>
      <c r="D712" t="s">
        <v>202</v>
      </c>
      <c r="E712" t="s">
        <v>46</v>
      </c>
      <c r="F712" t="s">
        <v>270</v>
      </c>
      <c r="G712" t="s">
        <v>152</v>
      </c>
      <c r="H712" t="s">
        <v>174</v>
      </c>
      <c r="I712" t="s">
        <v>154</v>
      </c>
      <c r="J712">
        <v>20030609</v>
      </c>
    </row>
    <row r="713" spans="1:10">
      <c r="A713" t="s">
        <v>3298</v>
      </c>
      <c r="B713">
        <v>600252</v>
      </c>
      <c r="C713" t="s">
        <v>3299</v>
      </c>
      <c r="D713" t="s">
        <v>345</v>
      </c>
      <c r="E713" t="s">
        <v>67</v>
      </c>
      <c r="F713" t="s">
        <v>3300</v>
      </c>
      <c r="G713" t="s">
        <v>152</v>
      </c>
      <c r="H713" t="s">
        <v>174</v>
      </c>
      <c r="I713" t="s">
        <v>154</v>
      </c>
      <c r="J713">
        <v>20001130</v>
      </c>
    </row>
    <row r="714" spans="1:10">
      <c r="A714" t="s">
        <v>1048</v>
      </c>
      <c r="B714">
        <v>600255</v>
      </c>
      <c r="C714" t="s">
        <v>1049</v>
      </c>
      <c r="D714" t="s">
        <v>160</v>
      </c>
      <c r="E714" t="s">
        <v>41</v>
      </c>
      <c r="F714" t="s">
        <v>1050</v>
      </c>
      <c r="G714" t="s">
        <v>152</v>
      </c>
      <c r="H714" t="s">
        <v>174</v>
      </c>
      <c r="I714" t="s">
        <v>154</v>
      </c>
      <c r="J714">
        <v>20001122</v>
      </c>
    </row>
    <row r="715" spans="1:10">
      <c r="A715" t="s">
        <v>6480</v>
      </c>
      <c r="B715">
        <v>600256</v>
      </c>
      <c r="C715" t="s">
        <v>6481</v>
      </c>
      <c r="D715" t="s">
        <v>202</v>
      </c>
      <c r="E715" t="s">
        <v>118</v>
      </c>
      <c r="F715" t="s">
        <v>6482</v>
      </c>
      <c r="G715" t="s">
        <v>152</v>
      </c>
      <c r="H715" t="s">
        <v>174</v>
      </c>
      <c r="I715" t="s">
        <v>154</v>
      </c>
      <c r="J715">
        <v>20000526</v>
      </c>
    </row>
    <row r="716" spans="1:10">
      <c r="A716" t="s">
        <v>179</v>
      </c>
      <c r="B716">
        <v>600257</v>
      </c>
      <c r="C716" t="s">
        <v>180</v>
      </c>
      <c r="D716" t="s">
        <v>168</v>
      </c>
      <c r="E716" t="s">
        <v>23</v>
      </c>
      <c r="F716" t="s">
        <v>181</v>
      </c>
      <c r="G716" t="s">
        <v>152</v>
      </c>
      <c r="H716" t="s">
        <v>174</v>
      </c>
      <c r="I716" t="s">
        <v>154</v>
      </c>
      <c r="J716">
        <v>20000612</v>
      </c>
    </row>
    <row r="717" spans="1:10">
      <c r="A717" t="s">
        <v>4641</v>
      </c>
      <c r="B717">
        <v>600258</v>
      </c>
      <c r="C717" t="s">
        <v>4642</v>
      </c>
      <c r="D717" t="s">
        <v>164</v>
      </c>
      <c r="E717" t="s">
        <v>86</v>
      </c>
      <c r="F717" t="s">
        <v>4643</v>
      </c>
      <c r="G717" t="s">
        <v>152</v>
      </c>
      <c r="H717" t="s">
        <v>174</v>
      </c>
      <c r="I717" t="s">
        <v>154</v>
      </c>
      <c r="J717">
        <v>20000601</v>
      </c>
    </row>
    <row r="718" spans="1:10">
      <c r="A718" t="s">
        <v>1051</v>
      </c>
      <c r="B718">
        <v>600259</v>
      </c>
      <c r="C718" t="s">
        <v>1052</v>
      </c>
      <c r="D718" t="s">
        <v>250</v>
      </c>
      <c r="E718" t="s">
        <v>41</v>
      </c>
      <c r="F718" t="s">
        <v>1053</v>
      </c>
      <c r="G718" t="s">
        <v>152</v>
      </c>
      <c r="H718" t="s">
        <v>174</v>
      </c>
      <c r="I718" t="s">
        <v>154</v>
      </c>
      <c r="J718">
        <v>20000525</v>
      </c>
    </row>
    <row r="719" spans="1:10">
      <c r="A719" t="s">
        <v>6261</v>
      </c>
      <c r="B719">
        <v>600260</v>
      </c>
      <c r="C719" t="s">
        <v>6262</v>
      </c>
      <c r="D719" t="s">
        <v>316</v>
      </c>
      <c r="E719" t="s">
        <v>125</v>
      </c>
      <c r="F719" t="s">
        <v>6263</v>
      </c>
      <c r="G719" t="s">
        <v>152</v>
      </c>
      <c r="H719" t="s">
        <v>174</v>
      </c>
      <c r="I719" t="s">
        <v>154</v>
      </c>
      <c r="J719">
        <v>20000706</v>
      </c>
    </row>
    <row r="720" spans="1:10">
      <c r="A720" t="s">
        <v>2245</v>
      </c>
      <c r="B720">
        <v>600261</v>
      </c>
      <c r="C720" t="s">
        <v>2246</v>
      </c>
      <c r="D720" t="s">
        <v>423</v>
      </c>
      <c r="E720" t="s">
        <v>8</v>
      </c>
      <c r="F720" t="s">
        <v>2247</v>
      </c>
      <c r="G720" t="s">
        <v>152</v>
      </c>
      <c r="H720" t="s">
        <v>174</v>
      </c>
      <c r="I720" t="s">
        <v>154</v>
      </c>
      <c r="J720">
        <v>20000720</v>
      </c>
    </row>
    <row r="721" spans="1:10">
      <c r="A721" t="s">
        <v>5526</v>
      </c>
      <c r="B721">
        <v>600262</v>
      </c>
      <c r="C721" t="s">
        <v>5527</v>
      </c>
      <c r="D721" t="s">
        <v>266</v>
      </c>
      <c r="E721" t="s">
        <v>122</v>
      </c>
      <c r="F721" t="s">
        <v>5528</v>
      </c>
      <c r="G721" t="s">
        <v>152</v>
      </c>
      <c r="H721" t="s">
        <v>174</v>
      </c>
      <c r="I721" t="s">
        <v>154</v>
      </c>
      <c r="J721">
        <v>20000630</v>
      </c>
    </row>
    <row r="722" spans="1:10">
      <c r="A722" t="s">
        <v>182</v>
      </c>
      <c r="B722">
        <v>600265</v>
      </c>
      <c r="C722" t="s">
        <v>183</v>
      </c>
      <c r="D722" t="s">
        <v>184</v>
      </c>
      <c r="E722" t="s">
        <v>32</v>
      </c>
      <c r="F722" t="s">
        <v>185</v>
      </c>
      <c r="G722" t="s">
        <v>152</v>
      </c>
      <c r="H722" t="s">
        <v>174</v>
      </c>
      <c r="I722" t="s">
        <v>154</v>
      </c>
      <c r="J722">
        <v>20000825</v>
      </c>
    </row>
    <row r="723" spans="1:10">
      <c r="A723" t="s">
        <v>4284</v>
      </c>
      <c r="B723">
        <v>600266</v>
      </c>
      <c r="C723" t="s">
        <v>4285</v>
      </c>
      <c r="D723" t="s">
        <v>164</v>
      </c>
      <c r="E723" t="s">
        <v>79</v>
      </c>
      <c r="F723" t="s">
        <v>4286</v>
      </c>
      <c r="G723" t="s">
        <v>152</v>
      </c>
      <c r="H723" t="s">
        <v>174</v>
      </c>
      <c r="I723" t="s">
        <v>154</v>
      </c>
      <c r="J723">
        <v>19990203</v>
      </c>
    </row>
    <row r="724" spans="1:10">
      <c r="A724" t="s">
        <v>3058</v>
      </c>
      <c r="B724">
        <v>600267</v>
      </c>
      <c r="C724" t="s">
        <v>3059</v>
      </c>
      <c r="D724" t="s">
        <v>423</v>
      </c>
      <c r="E724" t="s">
        <v>81</v>
      </c>
      <c r="F724" t="s">
        <v>3060</v>
      </c>
      <c r="G724" t="s">
        <v>152</v>
      </c>
      <c r="H724" t="s">
        <v>174</v>
      </c>
      <c r="I724" t="s">
        <v>154</v>
      </c>
      <c r="J724">
        <v>20000725</v>
      </c>
    </row>
    <row r="725" spans="1:10">
      <c r="A725" t="s">
        <v>1366</v>
      </c>
      <c r="B725">
        <v>600268</v>
      </c>
      <c r="C725" t="s">
        <v>1367</v>
      </c>
      <c r="D725" t="s">
        <v>212</v>
      </c>
      <c r="E725" t="s">
        <v>17</v>
      </c>
      <c r="F725" t="s">
        <v>1368</v>
      </c>
      <c r="G725" t="s">
        <v>152</v>
      </c>
      <c r="H725" t="s">
        <v>174</v>
      </c>
      <c r="I725" t="s">
        <v>154</v>
      </c>
      <c r="J725">
        <v>19991118</v>
      </c>
    </row>
    <row r="726" spans="1:10">
      <c r="A726" t="s">
        <v>3886</v>
      </c>
      <c r="B726">
        <v>600269</v>
      </c>
      <c r="C726" t="s">
        <v>3887</v>
      </c>
      <c r="D726" t="s">
        <v>406</v>
      </c>
      <c r="E726" t="s">
        <v>98</v>
      </c>
      <c r="F726" t="s">
        <v>3888</v>
      </c>
      <c r="G726" t="s">
        <v>152</v>
      </c>
      <c r="H726" t="s">
        <v>174</v>
      </c>
      <c r="I726" t="s">
        <v>154</v>
      </c>
      <c r="J726">
        <v>20000518</v>
      </c>
    </row>
    <row r="727" spans="1:10">
      <c r="A727" t="s">
        <v>5883</v>
      </c>
      <c r="B727">
        <v>600271</v>
      </c>
      <c r="C727" t="s">
        <v>5884</v>
      </c>
      <c r="D727" t="s">
        <v>164</v>
      </c>
      <c r="E727" t="s">
        <v>123</v>
      </c>
      <c r="F727" t="s">
        <v>5885</v>
      </c>
      <c r="G727" t="s">
        <v>152</v>
      </c>
      <c r="H727" t="s">
        <v>174</v>
      </c>
      <c r="I727" t="s">
        <v>154</v>
      </c>
      <c r="J727">
        <v>20030711</v>
      </c>
    </row>
    <row r="728" spans="1:10">
      <c r="A728" t="s">
        <v>3256</v>
      </c>
      <c r="B728">
        <v>600272</v>
      </c>
      <c r="C728" t="s">
        <v>3257</v>
      </c>
      <c r="D728" t="s">
        <v>172</v>
      </c>
      <c r="E728" t="s">
        <v>95</v>
      </c>
      <c r="F728" t="s">
        <v>3258</v>
      </c>
      <c r="G728" t="s">
        <v>152</v>
      </c>
      <c r="H728" t="s">
        <v>174</v>
      </c>
      <c r="I728" t="s">
        <v>154</v>
      </c>
      <c r="J728">
        <v>20010228</v>
      </c>
    </row>
    <row r="729" spans="1:10">
      <c r="A729" t="s">
        <v>471</v>
      </c>
      <c r="B729">
        <v>600273</v>
      </c>
      <c r="C729" t="s">
        <v>472</v>
      </c>
      <c r="D729" t="s">
        <v>423</v>
      </c>
      <c r="E729" t="s">
        <v>14</v>
      </c>
      <c r="F729" t="s">
        <v>473</v>
      </c>
      <c r="G729" t="s">
        <v>152</v>
      </c>
      <c r="H729" t="s">
        <v>174</v>
      </c>
      <c r="I729" t="s">
        <v>154</v>
      </c>
      <c r="J729">
        <v>20030627</v>
      </c>
    </row>
    <row r="730" spans="1:10">
      <c r="A730" t="s">
        <v>2992</v>
      </c>
      <c r="B730">
        <v>600276</v>
      </c>
      <c r="C730" t="s">
        <v>2993</v>
      </c>
      <c r="D730" t="s">
        <v>212</v>
      </c>
      <c r="E730" t="s">
        <v>81</v>
      </c>
      <c r="F730" t="s">
        <v>2994</v>
      </c>
      <c r="G730" t="s">
        <v>152</v>
      </c>
      <c r="H730" t="s">
        <v>174</v>
      </c>
      <c r="I730" t="s">
        <v>154</v>
      </c>
      <c r="J730">
        <v>20001018</v>
      </c>
    </row>
    <row r="731" spans="1:10">
      <c r="A731" t="s">
        <v>474</v>
      </c>
      <c r="B731">
        <v>600277</v>
      </c>
      <c r="C731" t="s">
        <v>475</v>
      </c>
      <c r="D731" t="s">
        <v>266</v>
      </c>
      <c r="E731" t="s">
        <v>14</v>
      </c>
      <c r="F731" t="s">
        <v>476</v>
      </c>
      <c r="G731" t="s">
        <v>152</v>
      </c>
      <c r="H731" t="s">
        <v>174</v>
      </c>
      <c r="I731" t="s">
        <v>154</v>
      </c>
      <c r="J731">
        <v>20000725</v>
      </c>
    </row>
    <row r="732" spans="1:10">
      <c r="A732" t="s">
        <v>4473</v>
      </c>
      <c r="B732">
        <v>600278</v>
      </c>
      <c r="C732" t="s">
        <v>4474</v>
      </c>
      <c r="D732" t="s">
        <v>172</v>
      </c>
      <c r="E732" t="s">
        <v>71</v>
      </c>
      <c r="F732" t="s">
        <v>4475</v>
      </c>
      <c r="G732" t="s">
        <v>152</v>
      </c>
      <c r="H732" t="s">
        <v>174</v>
      </c>
      <c r="I732" t="s">
        <v>154</v>
      </c>
      <c r="J732">
        <v>20000712</v>
      </c>
    </row>
    <row r="733" spans="1:10">
      <c r="A733" t="s">
        <v>3889</v>
      </c>
      <c r="B733">
        <v>600279</v>
      </c>
      <c r="C733" t="s">
        <v>3890</v>
      </c>
      <c r="D733" t="s">
        <v>937</v>
      </c>
      <c r="E733" t="s">
        <v>83</v>
      </c>
      <c r="F733" t="s">
        <v>3891</v>
      </c>
      <c r="G733" t="s">
        <v>152</v>
      </c>
      <c r="H733" t="s">
        <v>174</v>
      </c>
      <c r="I733" t="s">
        <v>154</v>
      </c>
      <c r="J733">
        <v>20000731</v>
      </c>
    </row>
    <row r="734" spans="1:10">
      <c r="A734" t="s">
        <v>4476</v>
      </c>
      <c r="B734">
        <v>600280</v>
      </c>
      <c r="C734" t="s">
        <v>4477</v>
      </c>
      <c r="D734" t="s">
        <v>212</v>
      </c>
      <c r="E734" t="s">
        <v>22</v>
      </c>
      <c r="F734" t="s">
        <v>4478</v>
      </c>
      <c r="G734" t="s">
        <v>152</v>
      </c>
      <c r="H734" t="s">
        <v>174</v>
      </c>
      <c r="I734" t="s">
        <v>154</v>
      </c>
      <c r="J734">
        <v>20000926</v>
      </c>
    </row>
    <row r="735" spans="1:10">
      <c r="A735" t="s">
        <v>1054</v>
      </c>
      <c r="B735">
        <v>600281</v>
      </c>
      <c r="C735" t="s">
        <v>1055</v>
      </c>
      <c r="D735" t="s">
        <v>557</v>
      </c>
      <c r="E735" t="s">
        <v>41</v>
      </c>
      <c r="F735" t="s">
        <v>1056</v>
      </c>
      <c r="G735" t="s">
        <v>152</v>
      </c>
      <c r="H735" t="s">
        <v>174</v>
      </c>
      <c r="I735" t="s">
        <v>154</v>
      </c>
      <c r="J735">
        <v>20001109</v>
      </c>
    </row>
    <row r="736" spans="1:10">
      <c r="A736" t="s">
        <v>890</v>
      </c>
      <c r="B736">
        <v>600282</v>
      </c>
      <c r="C736" t="s">
        <v>891</v>
      </c>
      <c r="D736" t="s">
        <v>212</v>
      </c>
      <c r="E736" t="s">
        <v>25</v>
      </c>
      <c r="F736" t="s">
        <v>892</v>
      </c>
      <c r="G736" t="s">
        <v>152</v>
      </c>
      <c r="H736" t="s">
        <v>174</v>
      </c>
      <c r="I736" t="s">
        <v>154</v>
      </c>
      <c r="J736">
        <v>20000919</v>
      </c>
    </row>
    <row r="737" spans="1:10">
      <c r="A737" t="s">
        <v>3553</v>
      </c>
      <c r="B737">
        <v>600283</v>
      </c>
      <c r="C737" t="s">
        <v>3554</v>
      </c>
      <c r="D737" t="s">
        <v>423</v>
      </c>
      <c r="E737" t="s">
        <v>96</v>
      </c>
      <c r="F737" t="s">
        <v>3555</v>
      </c>
      <c r="G737" t="s">
        <v>152</v>
      </c>
      <c r="H737" t="s">
        <v>174</v>
      </c>
      <c r="I737" t="s">
        <v>154</v>
      </c>
      <c r="J737">
        <v>20001018</v>
      </c>
    </row>
    <row r="738" spans="1:10">
      <c r="A738" t="s">
        <v>5253</v>
      </c>
      <c r="B738">
        <v>600284</v>
      </c>
      <c r="C738" t="s">
        <v>5254</v>
      </c>
      <c r="D738" t="s">
        <v>172</v>
      </c>
      <c r="E738" t="s">
        <v>121</v>
      </c>
      <c r="F738" t="s">
        <v>5255</v>
      </c>
      <c r="G738" t="s">
        <v>152</v>
      </c>
      <c r="H738" t="s">
        <v>174</v>
      </c>
      <c r="I738" t="s">
        <v>154</v>
      </c>
      <c r="J738">
        <v>20040316</v>
      </c>
    </row>
    <row r="739" spans="1:10">
      <c r="A739" t="s">
        <v>3313</v>
      </c>
      <c r="B739">
        <v>600285</v>
      </c>
      <c r="C739" t="s">
        <v>3314</v>
      </c>
      <c r="D739" t="s">
        <v>292</v>
      </c>
      <c r="E739" t="s">
        <v>67</v>
      </c>
      <c r="F739" t="s">
        <v>3315</v>
      </c>
      <c r="G739" t="s">
        <v>152</v>
      </c>
      <c r="H739" t="s">
        <v>174</v>
      </c>
      <c r="I739" t="s">
        <v>154</v>
      </c>
      <c r="J739">
        <v>20001018</v>
      </c>
    </row>
    <row r="740" spans="1:10">
      <c r="A740" t="s">
        <v>4479</v>
      </c>
      <c r="B740">
        <v>600287</v>
      </c>
      <c r="C740" t="s">
        <v>4480</v>
      </c>
      <c r="D740" t="s">
        <v>212</v>
      </c>
      <c r="E740" t="s">
        <v>71</v>
      </c>
      <c r="F740" t="s">
        <v>4481</v>
      </c>
      <c r="G740" t="s">
        <v>152</v>
      </c>
      <c r="H740" t="s">
        <v>174</v>
      </c>
      <c r="I740" t="s">
        <v>154</v>
      </c>
      <c r="J740">
        <v>20000901</v>
      </c>
    </row>
    <row r="741" spans="1:10">
      <c r="A741" t="s">
        <v>1369</v>
      </c>
      <c r="B741">
        <v>600288</v>
      </c>
      <c r="C741" t="s">
        <v>1370</v>
      </c>
      <c r="D741" t="s">
        <v>164</v>
      </c>
      <c r="E741" t="s">
        <v>42</v>
      </c>
      <c r="F741" t="s">
        <v>1371</v>
      </c>
      <c r="G741" t="s">
        <v>152</v>
      </c>
      <c r="H741" t="s">
        <v>174</v>
      </c>
      <c r="I741" t="s">
        <v>154</v>
      </c>
      <c r="J741">
        <v>20001129</v>
      </c>
    </row>
    <row r="742" spans="1:10">
      <c r="A742" t="s">
        <v>5886</v>
      </c>
      <c r="B742">
        <v>600289</v>
      </c>
      <c r="C742" t="s">
        <v>5887</v>
      </c>
      <c r="D742" t="s">
        <v>194</v>
      </c>
      <c r="E742" t="s">
        <v>123</v>
      </c>
      <c r="F742" t="s">
        <v>5888</v>
      </c>
      <c r="G742" t="s">
        <v>152</v>
      </c>
      <c r="H742" t="s">
        <v>174</v>
      </c>
      <c r="I742" t="s">
        <v>154</v>
      </c>
      <c r="J742">
        <v>20000720</v>
      </c>
    </row>
    <row r="743" spans="1:10">
      <c r="A743" t="s">
        <v>1372</v>
      </c>
      <c r="B743">
        <v>600290</v>
      </c>
      <c r="C743" t="s">
        <v>1373</v>
      </c>
      <c r="D743" t="s">
        <v>423</v>
      </c>
      <c r="E743" t="s">
        <v>17</v>
      </c>
      <c r="F743" t="s">
        <v>1374</v>
      </c>
      <c r="G743" t="s">
        <v>152</v>
      </c>
      <c r="H743" t="s">
        <v>174</v>
      </c>
      <c r="I743" t="s">
        <v>154</v>
      </c>
      <c r="J743">
        <v>20001106</v>
      </c>
    </row>
    <row r="744" spans="1:10">
      <c r="A744" t="s">
        <v>6579</v>
      </c>
      <c r="B744">
        <v>600292</v>
      </c>
      <c r="C744" t="s">
        <v>6580</v>
      </c>
      <c r="D744" t="s">
        <v>937</v>
      </c>
      <c r="E744" t="s">
        <v>119</v>
      </c>
      <c r="F744" t="s">
        <v>6581</v>
      </c>
      <c r="G744" t="s">
        <v>152</v>
      </c>
      <c r="H744" t="s">
        <v>174</v>
      </c>
      <c r="I744" t="s">
        <v>154</v>
      </c>
      <c r="J744">
        <v>20001101</v>
      </c>
    </row>
    <row r="745" spans="1:10">
      <c r="A745" t="s">
        <v>5097</v>
      </c>
      <c r="B745">
        <v>600293</v>
      </c>
      <c r="C745" t="s">
        <v>5098</v>
      </c>
      <c r="D745" t="s">
        <v>316</v>
      </c>
      <c r="E745" t="s">
        <v>45</v>
      </c>
      <c r="F745" t="s">
        <v>5099</v>
      </c>
      <c r="G745" t="s">
        <v>152</v>
      </c>
      <c r="H745" t="s">
        <v>174</v>
      </c>
      <c r="I745" t="s">
        <v>154</v>
      </c>
      <c r="J745">
        <v>20000919</v>
      </c>
    </row>
    <row r="746" spans="1:10">
      <c r="A746" t="s">
        <v>893</v>
      </c>
      <c r="B746">
        <v>600295</v>
      </c>
      <c r="C746" t="s">
        <v>894</v>
      </c>
      <c r="D746" t="s">
        <v>266</v>
      </c>
      <c r="E746" t="s">
        <v>15</v>
      </c>
      <c r="F746" t="s">
        <v>895</v>
      </c>
      <c r="G746" t="s">
        <v>152</v>
      </c>
      <c r="H746" t="s">
        <v>174</v>
      </c>
      <c r="I746" t="s">
        <v>154</v>
      </c>
      <c r="J746">
        <v>20010426</v>
      </c>
    </row>
    <row r="747" spans="1:10">
      <c r="A747" t="s">
        <v>1906</v>
      </c>
      <c r="B747">
        <v>600297</v>
      </c>
      <c r="C747" t="s">
        <v>1907</v>
      </c>
      <c r="D747" t="s">
        <v>236</v>
      </c>
      <c r="E747" t="s">
        <v>18</v>
      </c>
      <c r="F747" t="s">
        <v>1908</v>
      </c>
      <c r="G747" t="s">
        <v>152</v>
      </c>
      <c r="H747" t="s">
        <v>174</v>
      </c>
      <c r="I747" t="s">
        <v>154</v>
      </c>
      <c r="J747">
        <v>20001116</v>
      </c>
    </row>
    <row r="748" spans="1:10">
      <c r="A748" t="s">
        <v>2425</v>
      </c>
      <c r="B748">
        <v>600298</v>
      </c>
      <c r="C748" t="s">
        <v>2426</v>
      </c>
      <c r="D748" t="s">
        <v>316</v>
      </c>
      <c r="E748" t="s">
        <v>19</v>
      </c>
      <c r="F748" t="s">
        <v>2427</v>
      </c>
      <c r="G748" t="s">
        <v>152</v>
      </c>
      <c r="H748" t="s">
        <v>174</v>
      </c>
      <c r="I748" t="s">
        <v>154</v>
      </c>
      <c r="J748">
        <v>20000818</v>
      </c>
    </row>
    <row r="749" spans="1:10">
      <c r="A749" t="s">
        <v>225</v>
      </c>
      <c r="B749">
        <v>600299</v>
      </c>
      <c r="C749" t="s">
        <v>226</v>
      </c>
      <c r="D749" t="s">
        <v>164</v>
      </c>
      <c r="E749" t="s">
        <v>39</v>
      </c>
      <c r="F749" t="s">
        <v>227</v>
      </c>
      <c r="G749" t="s">
        <v>152</v>
      </c>
      <c r="H749" t="s">
        <v>174</v>
      </c>
      <c r="I749" t="s">
        <v>154</v>
      </c>
      <c r="J749">
        <v>20000420</v>
      </c>
    </row>
    <row r="750" spans="1:10">
      <c r="A750" t="s">
        <v>2428</v>
      </c>
      <c r="B750">
        <v>600300</v>
      </c>
      <c r="C750" t="s">
        <v>2429</v>
      </c>
      <c r="D750" t="s">
        <v>212</v>
      </c>
      <c r="E750" t="s">
        <v>29</v>
      </c>
      <c r="F750" t="s">
        <v>2430</v>
      </c>
      <c r="G750" t="s">
        <v>152</v>
      </c>
      <c r="H750" t="s">
        <v>174</v>
      </c>
      <c r="I750" t="s">
        <v>154</v>
      </c>
      <c r="J750">
        <v>20000630</v>
      </c>
    </row>
    <row r="751" spans="1:10">
      <c r="A751" t="s">
        <v>4482</v>
      </c>
      <c r="B751">
        <v>600301</v>
      </c>
      <c r="C751" t="s">
        <v>4483</v>
      </c>
      <c r="D751" t="s">
        <v>345</v>
      </c>
      <c r="E751" t="s">
        <v>71</v>
      </c>
      <c r="F751" t="s">
        <v>4484</v>
      </c>
      <c r="G751" t="s">
        <v>152</v>
      </c>
      <c r="H751" t="s">
        <v>174</v>
      </c>
      <c r="I751" t="s">
        <v>154</v>
      </c>
      <c r="J751">
        <v>20000712</v>
      </c>
    </row>
    <row r="752" spans="1:10">
      <c r="A752" t="s">
        <v>5529</v>
      </c>
      <c r="B752">
        <v>600302</v>
      </c>
      <c r="C752" t="s">
        <v>5530</v>
      </c>
      <c r="D752" t="s">
        <v>419</v>
      </c>
      <c r="E752" t="s">
        <v>100</v>
      </c>
      <c r="F752" t="s">
        <v>5531</v>
      </c>
      <c r="G752" t="s">
        <v>152</v>
      </c>
      <c r="H752" t="s">
        <v>174</v>
      </c>
      <c r="I752" t="s">
        <v>154</v>
      </c>
      <c r="J752">
        <v>20001213</v>
      </c>
    </row>
    <row r="753" spans="1:10">
      <c r="A753" t="s">
        <v>1909</v>
      </c>
      <c r="B753">
        <v>600303</v>
      </c>
      <c r="C753" t="s">
        <v>1910</v>
      </c>
      <c r="D753" t="s">
        <v>236</v>
      </c>
      <c r="E753" t="s">
        <v>36</v>
      </c>
      <c r="F753" t="s">
        <v>1911</v>
      </c>
      <c r="G753" t="s">
        <v>152</v>
      </c>
      <c r="H753" t="s">
        <v>174</v>
      </c>
      <c r="I753" t="s">
        <v>154</v>
      </c>
      <c r="J753">
        <v>20001226</v>
      </c>
    </row>
    <row r="754" spans="1:10">
      <c r="A754" t="s">
        <v>2431</v>
      </c>
      <c r="B754">
        <v>600305</v>
      </c>
      <c r="C754" t="s">
        <v>2432</v>
      </c>
      <c r="D754" t="s">
        <v>212</v>
      </c>
      <c r="E754" t="s">
        <v>19</v>
      </c>
      <c r="F754" t="s">
        <v>2433</v>
      </c>
      <c r="G754" t="s">
        <v>152</v>
      </c>
      <c r="H754" t="s">
        <v>174</v>
      </c>
      <c r="I754" t="s">
        <v>154</v>
      </c>
      <c r="J754">
        <v>20010206</v>
      </c>
    </row>
    <row r="755" spans="1:10">
      <c r="A755" t="s">
        <v>4485</v>
      </c>
      <c r="B755">
        <v>600306</v>
      </c>
      <c r="C755" t="s">
        <v>4486</v>
      </c>
      <c r="D755" t="s">
        <v>236</v>
      </c>
      <c r="E755" t="s">
        <v>22</v>
      </c>
      <c r="F755" t="s">
        <v>4487</v>
      </c>
      <c r="G755" t="s">
        <v>152</v>
      </c>
      <c r="H755" t="s">
        <v>174</v>
      </c>
      <c r="I755" t="s">
        <v>154</v>
      </c>
      <c r="J755">
        <v>20001226</v>
      </c>
    </row>
    <row r="756" spans="1:10">
      <c r="A756" t="s">
        <v>896</v>
      </c>
      <c r="B756">
        <v>600307</v>
      </c>
      <c r="C756" t="s">
        <v>897</v>
      </c>
      <c r="D756" t="s">
        <v>177</v>
      </c>
      <c r="E756" t="s">
        <v>25</v>
      </c>
      <c r="F756" t="s">
        <v>898</v>
      </c>
      <c r="G756" t="s">
        <v>152</v>
      </c>
      <c r="H756" t="s">
        <v>174</v>
      </c>
      <c r="I756" t="s">
        <v>154</v>
      </c>
      <c r="J756">
        <v>20001220</v>
      </c>
    </row>
    <row r="757" spans="1:10">
      <c r="A757" t="s">
        <v>2761</v>
      </c>
      <c r="B757">
        <v>600308</v>
      </c>
      <c r="C757" t="s">
        <v>2762</v>
      </c>
      <c r="D757" t="s">
        <v>198</v>
      </c>
      <c r="E757" t="s">
        <v>30</v>
      </c>
      <c r="F757" t="s">
        <v>2763</v>
      </c>
      <c r="G757" t="s">
        <v>152</v>
      </c>
      <c r="H757" t="s">
        <v>174</v>
      </c>
      <c r="I757" t="s">
        <v>154</v>
      </c>
      <c r="J757">
        <v>20000928</v>
      </c>
    </row>
    <row r="758" spans="1:10">
      <c r="A758" t="s">
        <v>477</v>
      </c>
      <c r="B758">
        <v>600309</v>
      </c>
      <c r="C758" t="s">
        <v>478</v>
      </c>
      <c r="D758" t="s">
        <v>198</v>
      </c>
      <c r="E758" t="s">
        <v>14</v>
      </c>
      <c r="F758" t="s">
        <v>479</v>
      </c>
      <c r="G758" t="s">
        <v>152</v>
      </c>
      <c r="H758" t="s">
        <v>174</v>
      </c>
      <c r="I758" t="s">
        <v>154</v>
      </c>
      <c r="J758">
        <v>20010105</v>
      </c>
    </row>
    <row r="759" spans="1:10">
      <c r="A759" t="s">
        <v>3556</v>
      </c>
      <c r="B759">
        <v>600310</v>
      </c>
      <c r="C759" t="s">
        <v>3557</v>
      </c>
      <c r="D759" t="s">
        <v>345</v>
      </c>
      <c r="E759" t="s">
        <v>68</v>
      </c>
      <c r="F759" t="s">
        <v>3558</v>
      </c>
      <c r="G759" t="s">
        <v>152</v>
      </c>
      <c r="H759" t="s">
        <v>174</v>
      </c>
      <c r="I759" t="s">
        <v>154</v>
      </c>
      <c r="J759">
        <v>20010228</v>
      </c>
    </row>
    <row r="760" spans="1:10">
      <c r="A760" t="s">
        <v>1057</v>
      </c>
      <c r="B760">
        <v>600311</v>
      </c>
      <c r="C760" t="s">
        <v>1058</v>
      </c>
      <c r="D760" t="s">
        <v>177</v>
      </c>
      <c r="E760" t="s">
        <v>48</v>
      </c>
      <c r="F760" t="s">
        <v>1059</v>
      </c>
      <c r="G760" t="s">
        <v>152</v>
      </c>
      <c r="H760" t="s">
        <v>174</v>
      </c>
      <c r="I760" t="s">
        <v>154</v>
      </c>
      <c r="J760">
        <v>20010626</v>
      </c>
    </row>
    <row r="761" spans="1:10">
      <c r="A761" t="s">
        <v>1375</v>
      </c>
      <c r="B761">
        <v>600312</v>
      </c>
      <c r="C761" t="s">
        <v>1376</v>
      </c>
      <c r="D761" t="s">
        <v>292</v>
      </c>
      <c r="E761" t="s">
        <v>17</v>
      </c>
      <c r="F761" t="s">
        <v>1377</v>
      </c>
      <c r="G761" t="s">
        <v>152</v>
      </c>
      <c r="H761" t="s">
        <v>174</v>
      </c>
      <c r="I761" t="s">
        <v>154</v>
      </c>
      <c r="J761">
        <v>20010221</v>
      </c>
    </row>
    <row r="762" spans="1:10">
      <c r="A762" t="s">
        <v>186</v>
      </c>
      <c r="B762">
        <v>600313</v>
      </c>
      <c r="C762" t="s">
        <v>187</v>
      </c>
      <c r="D762" t="s">
        <v>164</v>
      </c>
      <c r="E762" t="s">
        <v>13</v>
      </c>
      <c r="F762" t="s">
        <v>188</v>
      </c>
      <c r="G762" t="s">
        <v>152</v>
      </c>
      <c r="H762" t="s">
        <v>174</v>
      </c>
      <c r="I762" t="s">
        <v>154</v>
      </c>
      <c r="J762">
        <v>20010119</v>
      </c>
    </row>
    <row r="763" spans="1:10">
      <c r="A763" t="s">
        <v>6666</v>
      </c>
      <c r="B763">
        <v>600315</v>
      </c>
      <c r="C763" t="s">
        <v>6667</v>
      </c>
      <c r="D763" t="s">
        <v>172</v>
      </c>
      <c r="E763" t="s">
        <v>120</v>
      </c>
      <c r="F763" t="s">
        <v>6668</v>
      </c>
      <c r="G763" t="s">
        <v>152</v>
      </c>
      <c r="H763" t="s">
        <v>174</v>
      </c>
      <c r="I763" t="s">
        <v>154</v>
      </c>
      <c r="J763">
        <v>20010315</v>
      </c>
    </row>
    <row r="764" spans="1:10">
      <c r="A764" t="s">
        <v>3892</v>
      </c>
      <c r="B764">
        <v>600316</v>
      </c>
      <c r="C764" t="s">
        <v>3893</v>
      </c>
      <c r="D764" t="s">
        <v>406</v>
      </c>
      <c r="E764" t="s">
        <v>102</v>
      </c>
      <c r="F764" t="s">
        <v>3894</v>
      </c>
      <c r="G764" t="s">
        <v>152</v>
      </c>
      <c r="H764" t="s">
        <v>174</v>
      </c>
      <c r="I764" t="s">
        <v>154</v>
      </c>
      <c r="J764">
        <v>20001215</v>
      </c>
    </row>
    <row r="765" spans="1:10">
      <c r="A765" t="s">
        <v>4863</v>
      </c>
      <c r="B765">
        <v>600318</v>
      </c>
      <c r="C765" t="s">
        <v>4864</v>
      </c>
      <c r="D765" t="s">
        <v>160</v>
      </c>
      <c r="E765" t="s">
        <v>73</v>
      </c>
      <c r="F765" t="s">
        <v>4865</v>
      </c>
      <c r="G765" t="s">
        <v>152</v>
      </c>
      <c r="H765" t="s">
        <v>174</v>
      </c>
      <c r="I765" t="s">
        <v>154</v>
      </c>
      <c r="J765">
        <v>20001208</v>
      </c>
    </row>
    <row r="766" spans="1:10">
      <c r="A766" t="s">
        <v>480</v>
      </c>
      <c r="B766">
        <v>600319</v>
      </c>
      <c r="C766" t="s">
        <v>481</v>
      </c>
      <c r="D766" t="s">
        <v>198</v>
      </c>
      <c r="E766" t="s">
        <v>14</v>
      </c>
      <c r="F766" t="s">
        <v>482</v>
      </c>
      <c r="G766" t="s">
        <v>152</v>
      </c>
      <c r="H766" t="s">
        <v>174</v>
      </c>
      <c r="I766" t="s">
        <v>154</v>
      </c>
      <c r="J766">
        <v>20010326</v>
      </c>
    </row>
    <row r="767" spans="1:10">
      <c r="A767" t="s">
        <v>5532</v>
      </c>
      <c r="B767">
        <v>600320</v>
      </c>
      <c r="C767" t="s">
        <v>5533</v>
      </c>
      <c r="D767" t="s">
        <v>172</v>
      </c>
      <c r="E767" t="s">
        <v>104</v>
      </c>
      <c r="F767" t="s">
        <v>5534</v>
      </c>
      <c r="G767" t="s">
        <v>152</v>
      </c>
      <c r="H767" t="s">
        <v>174</v>
      </c>
      <c r="I767" t="s">
        <v>154</v>
      </c>
      <c r="J767">
        <v>20001221</v>
      </c>
    </row>
    <row r="768" spans="1:10">
      <c r="A768" t="s">
        <v>5100</v>
      </c>
      <c r="B768">
        <v>600321</v>
      </c>
      <c r="C768" t="s">
        <v>5101</v>
      </c>
      <c r="D768" t="s">
        <v>219</v>
      </c>
      <c r="E768" t="s">
        <v>94</v>
      </c>
      <c r="F768" t="s">
        <v>5102</v>
      </c>
      <c r="G768" t="s">
        <v>152</v>
      </c>
      <c r="H768" t="s">
        <v>174</v>
      </c>
      <c r="I768" t="s">
        <v>154</v>
      </c>
      <c r="J768">
        <v>20010524</v>
      </c>
    </row>
    <row r="769" spans="1:10">
      <c r="A769" t="s">
        <v>4287</v>
      </c>
      <c r="B769">
        <v>600322</v>
      </c>
      <c r="C769" t="s">
        <v>4288</v>
      </c>
      <c r="D769" t="s">
        <v>576</v>
      </c>
      <c r="E769" t="s">
        <v>79</v>
      </c>
      <c r="F769" t="s">
        <v>4289</v>
      </c>
      <c r="G769" t="s">
        <v>152</v>
      </c>
      <c r="H769" t="s">
        <v>174</v>
      </c>
      <c r="I769" t="s">
        <v>154</v>
      </c>
      <c r="J769">
        <v>20010910</v>
      </c>
    </row>
    <row r="770" spans="1:10">
      <c r="A770" t="s">
        <v>6582</v>
      </c>
      <c r="B770">
        <v>600323</v>
      </c>
      <c r="C770" t="s">
        <v>6583</v>
      </c>
      <c r="D770" t="s">
        <v>223</v>
      </c>
      <c r="E770" t="s">
        <v>119</v>
      </c>
      <c r="F770" t="s">
        <v>6584</v>
      </c>
      <c r="G770" t="s">
        <v>152</v>
      </c>
      <c r="H770" t="s">
        <v>174</v>
      </c>
      <c r="I770" t="s">
        <v>154</v>
      </c>
      <c r="J770">
        <v>20001225</v>
      </c>
    </row>
    <row r="771" spans="1:10">
      <c r="A771" t="s">
        <v>4290</v>
      </c>
      <c r="B771">
        <v>600325</v>
      </c>
      <c r="C771" t="s">
        <v>4291</v>
      </c>
      <c r="D771" t="s">
        <v>223</v>
      </c>
      <c r="E771" t="s">
        <v>79</v>
      </c>
      <c r="F771" t="s">
        <v>4292</v>
      </c>
      <c r="G771" t="s">
        <v>152</v>
      </c>
      <c r="H771" t="s">
        <v>174</v>
      </c>
      <c r="I771" t="s">
        <v>154</v>
      </c>
      <c r="J771">
        <v>20040225</v>
      </c>
    </row>
    <row r="772" spans="1:10">
      <c r="A772" t="s">
        <v>5103</v>
      </c>
      <c r="B772">
        <v>600326</v>
      </c>
      <c r="C772" t="s">
        <v>5104</v>
      </c>
      <c r="D772" t="s">
        <v>1001</v>
      </c>
      <c r="E772" t="s">
        <v>75</v>
      </c>
      <c r="F772" t="s">
        <v>5105</v>
      </c>
      <c r="G772" t="s">
        <v>152</v>
      </c>
      <c r="H772" t="s">
        <v>174</v>
      </c>
      <c r="I772" t="s">
        <v>154</v>
      </c>
      <c r="J772">
        <v>20010116</v>
      </c>
    </row>
    <row r="773" spans="1:10">
      <c r="A773" t="s">
        <v>3160</v>
      </c>
      <c r="B773">
        <v>600327</v>
      </c>
      <c r="C773" t="s">
        <v>3161</v>
      </c>
      <c r="D773" t="s">
        <v>212</v>
      </c>
      <c r="E773" t="s">
        <v>90</v>
      </c>
      <c r="F773" t="s">
        <v>3162</v>
      </c>
      <c r="G773" t="s">
        <v>152</v>
      </c>
      <c r="H773" t="s">
        <v>174</v>
      </c>
      <c r="I773" t="s">
        <v>154</v>
      </c>
      <c r="J773">
        <v>20020625</v>
      </c>
    </row>
    <row r="774" spans="1:10">
      <c r="A774" t="s">
        <v>483</v>
      </c>
      <c r="B774">
        <v>600328</v>
      </c>
      <c r="C774" t="s">
        <v>484</v>
      </c>
      <c r="D774" t="s">
        <v>266</v>
      </c>
      <c r="E774" t="s">
        <v>14</v>
      </c>
      <c r="F774" t="s">
        <v>485</v>
      </c>
      <c r="G774" t="s">
        <v>152</v>
      </c>
      <c r="H774" t="s">
        <v>174</v>
      </c>
      <c r="I774" t="s">
        <v>154</v>
      </c>
      <c r="J774">
        <v>20001222</v>
      </c>
    </row>
    <row r="775" spans="1:10">
      <c r="A775" t="s">
        <v>3379</v>
      </c>
      <c r="B775">
        <v>600329</v>
      </c>
      <c r="C775" t="s">
        <v>3380</v>
      </c>
      <c r="D775" t="s">
        <v>576</v>
      </c>
      <c r="E775" t="s">
        <v>67</v>
      </c>
      <c r="F775" t="s">
        <v>3381</v>
      </c>
      <c r="G775" t="s">
        <v>152</v>
      </c>
      <c r="H775" t="s">
        <v>174</v>
      </c>
      <c r="I775" t="s">
        <v>154</v>
      </c>
      <c r="J775">
        <v>20010606</v>
      </c>
    </row>
    <row r="776" spans="1:10">
      <c r="A776" t="s">
        <v>1378</v>
      </c>
      <c r="B776">
        <v>600330</v>
      </c>
      <c r="C776" t="s">
        <v>1379</v>
      </c>
      <c r="D776" t="s">
        <v>423</v>
      </c>
      <c r="E776" t="s">
        <v>42</v>
      </c>
      <c r="F776" t="s">
        <v>1380</v>
      </c>
      <c r="G776" t="s">
        <v>152</v>
      </c>
      <c r="H776" t="s">
        <v>174</v>
      </c>
      <c r="I776" t="s">
        <v>154</v>
      </c>
      <c r="J776">
        <v>20010118</v>
      </c>
    </row>
    <row r="777" spans="1:10">
      <c r="A777" t="s">
        <v>1060</v>
      </c>
      <c r="B777">
        <v>600331</v>
      </c>
      <c r="C777" t="s">
        <v>1061</v>
      </c>
      <c r="D777" t="s">
        <v>219</v>
      </c>
      <c r="E777" t="s">
        <v>35</v>
      </c>
      <c r="F777" t="s">
        <v>1062</v>
      </c>
      <c r="G777" t="s">
        <v>152</v>
      </c>
      <c r="H777" t="s">
        <v>174</v>
      </c>
      <c r="I777" t="s">
        <v>154</v>
      </c>
      <c r="J777">
        <v>20011220</v>
      </c>
    </row>
    <row r="778" spans="1:10">
      <c r="A778" t="s">
        <v>3292</v>
      </c>
      <c r="B778">
        <v>600332</v>
      </c>
      <c r="C778" t="s">
        <v>3293</v>
      </c>
      <c r="D778" t="s">
        <v>223</v>
      </c>
      <c r="E778" t="s">
        <v>67</v>
      </c>
      <c r="F778" t="s">
        <v>3294</v>
      </c>
      <c r="G778" t="s">
        <v>152</v>
      </c>
      <c r="H778" t="s">
        <v>174</v>
      </c>
      <c r="I778" t="s">
        <v>154</v>
      </c>
      <c r="J778">
        <v>20010206</v>
      </c>
    </row>
    <row r="779" spans="1:10">
      <c r="A779" t="s">
        <v>3559</v>
      </c>
      <c r="B779">
        <v>600333</v>
      </c>
      <c r="C779" t="s">
        <v>3560</v>
      </c>
      <c r="D779" t="s">
        <v>312</v>
      </c>
      <c r="E779" t="s">
        <v>91</v>
      </c>
      <c r="F779" t="s">
        <v>3561</v>
      </c>
      <c r="G779" t="s">
        <v>152</v>
      </c>
      <c r="H779" t="s">
        <v>174</v>
      </c>
      <c r="I779" t="s">
        <v>154</v>
      </c>
      <c r="J779">
        <v>20001211</v>
      </c>
    </row>
    <row r="780" spans="1:10">
      <c r="A780" t="s">
        <v>1912</v>
      </c>
      <c r="B780">
        <v>600335</v>
      </c>
      <c r="C780" t="s">
        <v>1913</v>
      </c>
      <c r="D780" t="s">
        <v>576</v>
      </c>
      <c r="E780" t="s">
        <v>28</v>
      </c>
      <c r="F780" t="s">
        <v>1914</v>
      </c>
      <c r="G780" t="s">
        <v>152</v>
      </c>
      <c r="H780" t="s">
        <v>174</v>
      </c>
      <c r="I780" t="s">
        <v>154</v>
      </c>
      <c r="J780">
        <v>20010305</v>
      </c>
    </row>
    <row r="781" spans="1:10">
      <c r="A781" t="s">
        <v>2248</v>
      </c>
      <c r="B781">
        <v>600336</v>
      </c>
      <c r="C781" t="s">
        <v>2249</v>
      </c>
      <c r="D781" t="s">
        <v>198</v>
      </c>
      <c r="E781" t="s">
        <v>8</v>
      </c>
      <c r="F781" t="s">
        <v>2250</v>
      </c>
      <c r="G781" t="s">
        <v>152</v>
      </c>
      <c r="H781" t="s">
        <v>174</v>
      </c>
      <c r="I781" t="s">
        <v>154</v>
      </c>
      <c r="J781">
        <v>20001229</v>
      </c>
    </row>
    <row r="782" spans="1:10">
      <c r="A782" t="s">
        <v>2764</v>
      </c>
      <c r="B782">
        <v>600337</v>
      </c>
      <c r="C782" t="s">
        <v>2765</v>
      </c>
      <c r="D782" t="s">
        <v>406</v>
      </c>
      <c r="E782" t="s">
        <v>21</v>
      </c>
      <c r="F782" t="s">
        <v>2766</v>
      </c>
      <c r="G782" t="s">
        <v>152</v>
      </c>
      <c r="H782" t="s">
        <v>174</v>
      </c>
      <c r="I782" t="s">
        <v>154</v>
      </c>
      <c r="J782">
        <v>20001127</v>
      </c>
    </row>
    <row r="783" spans="1:10">
      <c r="A783" t="s">
        <v>1063</v>
      </c>
      <c r="B783">
        <v>600338</v>
      </c>
      <c r="C783" t="s">
        <v>1064</v>
      </c>
      <c r="D783" t="s">
        <v>1001</v>
      </c>
      <c r="E783" t="s">
        <v>35</v>
      </c>
      <c r="F783" t="s">
        <v>1065</v>
      </c>
      <c r="G783" t="s">
        <v>152</v>
      </c>
      <c r="H783" t="s">
        <v>174</v>
      </c>
      <c r="I783" t="s">
        <v>154</v>
      </c>
      <c r="J783">
        <v>20001227</v>
      </c>
    </row>
    <row r="784" spans="1:10">
      <c r="A784" t="s">
        <v>6483</v>
      </c>
      <c r="B784">
        <v>600339</v>
      </c>
      <c r="C784" t="s">
        <v>6484</v>
      </c>
      <c r="D784" t="s">
        <v>202</v>
      </c>
      <c r="E784" t="s">
        <v>130</v>
      </c>
      <c r="F784" t="s">
        <v>6485</v>
      </c>
      <c r="G784" t="s">
        <v>152</v>
      </c>
      <c r="H784" t="s">
        <v>174</v>
      </c>
      <c r="I784" t="s">
        <v>154</v>
      </c>
      <c r="J784">
        <v>20001225</v>
      </c>
    </row>
    <row r="785" spans="1:10">
      <c r="A785" t="s">
        <v>4293</v>
      </c>
      <c r="B785">
        <v>600340</v>
      </c>
      <c r="C785" t="s">
        <v>4294</v>
      </c>
      <c r="D785" t="s">
        <v>279</v>
      </c>
      <c r="E785" t="s">
        <v>79</v>
      </c>
      <c r="F785" t="s">
        <v>4295</v>
      </c>
      <c r="G785" t="s">
        <v>152</v>
      </c>
      <c r="H785" t="s">
        <v>174</v>
      </c>
      <c r="I785" t="s">
        <v>154</v>
      </c>
      <c r="J785">
        <v>20031230</v>
      </c>
    </row>
    <row r="786" spans="1:10">
      <c r="A786" t="s">
        <v>3895</v>
      </c>
      <c r="B786">
        <v>600343</v>
      </c>
      <c r="C786" t="s">
        <v>3896</v>
      </c>
      <c r="D786" t="s">
        <v>419</v>
      </c>
      <c r="E786" t="s">
        <v>102</v>
      </c>
      <c r="F786" t="s">
        <v>3897</v>
      </c>
      <c r="G786" t="s">
        <v>152</v>
      </c>
      <c r="H786" t="s">
        <v>174</v>
      </c>
      <c r="I786" t="s">
        <v>154</v>
      </c>
      <c r="J786">
        <v>20030408</v>
      </c>
    </row>
    <row r="787" spans="1:10">
      <c r="A787" t="s">
        <v>6264</v>
      </c>
      <c r="B787">
        <v>600345</v>
      </c>
      <c r="C787" t="s">
        <v>6265</v>
      </c>
      <c r="D787" t="s">
        <v>316</v>
      </c>
      <c r="E787" t="s">
        <v>125</v>
      </c>
      <c r="F787" t="s">
        <v>6266</v>
      </c>
      <c r="G787" t="s">
        <v>152</v>
      </c>
      <c r="H787" t="s">
        <v>174</v>
      </c>
      <c r="I787" t="s">
        <v>154</v>
      </c>
      <c r="J787">
        <v>20001222</v>
      </c>
    </row>
    <row r="788" spans="1:10">
      <c r="A788" t="s">
        <v>6486</v>
      </c>
      <c r="B788">
        <v>600346</v>
      </c>
      <c r="C788" t="s">
        <v>6487</v>
      </c>
      <c r="D788" t="s">
        <v>236</v>
      </c>
      <c r="E788" t="s">
        <v>130</v>
      </c>
      <c r="F788" t="s">
        <v>6488</v>
      </c>
      <c r="G788" t="s">
        <v>152</v>
      </c>
      <c r="H788" t="s">
        <v>174</v>
      </c>
      <c r="I788" t="s">
        <v>154</v>
      </c>
      <c r="J788">
        <v>20010820</v>
      </c>
    </row>
    <row r="789" spans="1:10">
      <c r="A789" t="s">
        <v>6378</v>
      </c>
      <c r="B789">
        <v>600348</v>
      </c>
      <c r="C789" t="s">
        <v>6379</v>
      </c>
      <c r="D789" t="s">
        <v>557</v>
      </c>
      <c r="E789" t="s">
        <v>126</v>
      </c>
      <c r="F789" t="s">
        <v>6380</v>
      </c>
      <c r="G789" t="s">
        <v>152</v>
      </c>
      <c r="H789" t="s">
        <v>174</v>
      </c>
      <c r="I789" t="s">
        <v>154</v>
      </c>
      <c r="J789">
        <v>20030821</v>
      </c>
    </row>
    <row r="790" spans="1:10">
      <c r="A790" t="s">
        <v>3898</v>
      </c>
      <c r="B790">
        <v>600350</v>
      </c>
      <c r="C790" t="s">
        <v>3899</v>
      </c>
      <c r="D790" t="s">
        <v>198</v>
      </c>
      <c r="E790" t="s">
        <v>98</v>
      </c>
      <c r="F790" t="s">
        <v>3900</v>
      </c>
      <c r="G790" t="s">
        <v>152</v>
      </c>
      <c r="H790" t="s">
        <v>174</v>
      </c>
      <c r="I790" t="s">
        <v>154</v>
      </c>
      <c r="J790">
        <v>20020318</v>
      </c>
    </row>
    <row r="791" spans="1:10">
      <c r="A791" t="s">
        <v>3358</v>
      </c>
      <c r="B791">
        <v>600351</v>
      </c>
      <c r="C791" t="s">
        <v>3359</v>
      </c>
      <c r="D791" t="s">
        <v>557</v>
      </c>
      <c r="E791" t="s">
        <v>67</v>
      </c>
      <c r="F791" t="s">
        <v>3360</v>
      </c>
      <c r="G791" t="s">
        <v>152</v>
      </c>
      <c r="H791" t="s">
        <v>174</v>
      </c>
      <c r="I791" t="s">
        <v>154</v>
      </c>
      <c r="J791">
        <v>20020926</v>
      </c>
    </row>
    <row r="792" spans="1:10">
      <c r="A792" t="s">
        <v>5106</v>
      </c>
      <c r="B792">
        <v>600352</v>
      </c>
      <c r="C792" t="s">
        <v>5107</v>
      </c>
      <c r="D792" t="s">
        <v>423</v>
      </c>
      <c r="E792" t="s">
        <v>88</v>
      </c>
      <c r="F792" t="s">
        <v>5108</v>
      </c>
      <c r="G792" t="s">
        <v>152</v>
      </c>
      <c r="H792" t="s">
        <v>174</v>
      </c>
      <c r="I792" t="s">
        <v>154</v>
      </c>
      <c r="J792">
        <v>20030801</v>
      </c>
    </row>
    <row r="793" spans="1:10">
      <c r="A793" t="s">
        <v>1381</v>
      </c>
      <c r="B793">
        <v>600353</v>
      </c>
      <c r="C793" t="s">
        <v>1382</v>
      </c>
      <c r="D793" t="s">
        <v>219</v>
      </c>
      <c r="E793" t="s">
        <v>42</v>
      </c>
      <c r="F793" t="s">
        <v>1383</v>
      </c>
      <c r="G793" t="s">
        <v>152</v>
      </c>
      <c r="H793" t="s">
        <v>174</v>
      </c>
      <c r="I793" t="s">
        <v>154</v>
      </c>
      <c r="J793">
        <v>20021120</v>
      </c>
    </row>
    <row r="794" spans="1:10">
      <c r="A794" t="s">
        <v>189</v>
      </c>
      <c r="B794">
        <v>600354</v>
      </c>
      <c r="C794" t="s">
        <v>190</v>
      </c>
      <c r="D794" t="s">
        <v>177</v>
      </c>
      <c r="E794" t="s">
        <v>13</v>
      </c>
      <c r="F794" t="s">
        <v>191</v>
      </c>
      <c r="G794" t="s">
        <v>152</v>
      </c>
      <c r="H794" t="s">
        <v>174</v>
      </c>
      <c r="I794" t="s">
        <v>154</v>
      </c>
      <c r="J794">
        <v>20040115</v>
      </c>
    </row>
    <row r="795" spans="1:10">
      <c r="A795" t="s">
        <v>1384</v>
      </c>
      <c r="B795">
        <v>600355</v>
      </c>
      <c r="C795" t="s">
        <v>1385</v>
      </c>
      <c r="D795" t="s">
        <v>316</v>
      </c>
      <c r="E795" t="s">
        <v>42</v>
      </c>
      <c r="F795" t="s">
        <v>1386</v>
      </c>
      <c r="G795" t="s">
        <v>152</v>
      </c>
      <c r="H795" t="s">
        <v>174</v>
      </c>
      <c r="I795" t="s">
        <v>154</v>
      </c>
      <c r="J795">
        <v>20020613</v>
      </c>
    </row>
    <row r="796" spans="1:10">
      <c r="A796" t="s">
        <v>2767</v>
      </c>
      <c r="B796">
        <v>600356</v>
      </c>
      <c r="C796" t="s">
        <v>2768</v>
      </c>
      <c r="D796" t="s">
        <v>194</v>
      </c>
      <c r="E796" t="s">
        <v>30</v>
      </c>
      <c r="F796" t="s">
        <v>2769</v>
      </c>
      <c r="G796" t="s">
        <v>152</v>
      </c>
      <c r="H796" t="s">
        <v>174</v>
      </c>
      <c r="I796" t="s">
        <v>154</v>
      </c>
      <c r="J796">
        <v>20010419</v>
      </c>
    </row>
    <row r="797" spans="1:10">
      <c r="A797" t="s">
        <v>4644</v>
      </c>
      <c r="B797">
        <v>600358</v>
      </c>
      <c r="C797" t="s">
        <v>4645</v>
      </c>
      <c r="D797" t="s">
        <v>406</v>
      </c>
      <c r="E797" t="s">
        <v>72</v>
      </c>
      <c r="F797" t="s">
        <v>4646</v>
      </c>
      <c r="G797" t="s">
        <v>152</v>
      </c>
      <c r="H797" t="s">
        <v>174</v>
      </c>
      <c r="I797" t="s">
        <v>154</v>
      </c>
      <c r="J797">
        <v>20000922</v>
      </c>
    </row>
    <row r="798" spans="1:10">
      <c r="A798" t="s">
        <v>271</v>
      </c>
      <c r="B798">
        <v>600359</v>
      </c>
      <c r="C798" t="s">
        <v>272</v>
      </c>
      <c r="D798" t="s">
        <v>202</v>
      </c>
      <c r="E798" t="s">
        <v>46</v>
      </c>
      <c r="F798" t="s">
        <v>273</v>
      </c>
      <c r="G798" t="s">
        <v>152</v>
      </c>
      <c r="H798" t="s">
        <v>174</v>
      </c>
      <c r="I798" t="s">
        <v>154</v>
      </c>
      <c r="J798">
        <v>19990429</v>
      </c>
    </row>
    <row r="799" spans="1:10">
      <c r="A799" t="s">
        <v>1387</v>
      </c>
      <c r="B799">
        <v>600360</v>
      </c>
      <c r="C799" t="s">
        <v>1388</v>
      </c>
      <c r="D799" t="s">
        <v>312</v>
      </c>
      <c r="E799" t="s">
        <v>31</v>
      </c>
      <c r="F799" t="s">
        <v>1389</v>
      </c>
      <c r="G799" t="s">
        <v>152</v>
      </c>
      <c r="H799" t="s">
        <v>174</v>
      </c>
      <c r="I799" t="s">
        <v>154</v>
      </c>
      <c r="J799">
        <v>20010316</v>
      </c>
    </row>
    <row r="800" spans="1:10">
      <c r="A800" t="s">
        <v>4488</v>
      </c>
      <c r="B800">
        <v>600361</v>
      </c>
      <c r="C800" t="s">
        <v>4489</v>
      </c>
      <c r="D800" t="s">
        <v>164</v>
      </c>
      <c r="E800" t="s">
        <v>54</v>
      </c>
      <c r="F800" t="s">
        <v>4490</v>
      </c>
      <c r="G800" t="s">
        <v>152</v>
      </c>
      <c r="H800" t="s">
        <v>174</v>
      </c>
      <c r="I800" t="s">
        <v>154</v>
      </c>
      <c r="J800">
        <v>20011129</v>
      </c>
    </row>
    <row r="801" spans="1:10">
      <c r="A801" t="s">
        <v>1066</v>
      </c>
      <c r="B801">
        <v>600362</v>
      </c>
      <c r="C801" t="s">
        <v>1067</v>
      </c>
      <c r="D801" t="s">
        <v>406</v>
      </c>
      <c r="E801" t="s">
        <v>26</v>
      </c>
      <c r="F801" t="s">
        <v>1068</v>
      </c>
      <c r="G801" t="s">
        <v>152</v>
      </c>
      <c r="H801" t="s">
        <v>174</v>
      </c>
      <c r="I801" t="s">
        <v>154</v>
      </c>
      <c r="J801">
        <v>20020111</v>
      </c>
    </row>
    <row r="802" spans="1:10">
      <c r="A802" t="s">
        <v>1390</v>
      </c>
      <c r="B802">
        <v>600363</v>
      </c>
      <c r="C802" t="s">
        <v>1391</v>
      </c>
      <c r="D802" t="s">
        <v>406</v>
      </c>
      <c r="E802" t="s">
        <v>42</v>
      </c>
      <c r="F802" t="s">
        <v>1392</v>
      </c>
      <c r="G802" t="s">
        <v>152</v>
      </c>
      <c r="H802" t="s">
        <v>174</v>
      </c>
      <c r="I802" t="s">
        <v>154</v>
      </c>
      <c r="J802">
        <v>20010329</v>
      </c>
    </row>
    <row r="803" spans="1:10">
      <c r="A803" t="s">
        <v>2434</v>
      </c>
      <c r="B803">
        <v>600365</v>
      </c>
      <c r="C803" t="s">
        <v>2435</v>
      </c>
      <c r="D803" t="s">
        <v>312</v>
      </c>
      <c r="E803" t="s">
        <v>44</v>
      </c>
      <c r="F803" t="s">
        <v>2436</v>
      </c>
      <c r="G803" t="s">
        <v>152</v>
      </c>
      <c r="H803" t="s">
        <v>174</v>
      </c>
      <c r="I803" t="s">
        <v>154</v>
      </c>
      <c r="J803">
        <v>20010115</v>
      </c>
    </row>
    <row r="804" spans="1:10">
      <c r="A804" t="s">
        <v>1069</v>
      </c>
      <c r="B804">
        <v>600366</v>
      </c>
      <c r="C804" t="s">
        <v>1070</v>
      </c>
      <c r="D804" t="s">
        <v>423</v>
      </c>
      <c r="E804" t="s">
        <v>52</v>
      </c>
      <c r="F804" t="s">
        <v>1071</v>
      </c>
      <c r="G804" t="s">
        <v>152</v>
      </c>
      <c r="H804" t="s">
        <v>174</v>
      </c>
      <c r="I804" t="s">
        <v>154</v>
      </c>
      <c r="J804">
        <v>20001030</v>
      </c>
    </row>
    <row r="805" spans="1:10">
      <c r="A805" t="s">
        <v>486</v>
      </c>
      <c r="B805">
        <v>600367</v>
      </c>
      <c r="C805" t="s">
        <v>487</v>
      </c>
      <c r="D805" t="s">
        <v>463</v>
      </c>
      <c r="E805" t="s">
        <v>14</v>
      </c>
      <c r="F805" t="s">
        <v>488</v>
      </c>
      <c r="G805" t="s">
        <v>152</v>
      </c>
      <c r="H805" t="s">
        <v>174</v>
      </c>
      <c r="I805" t="s">
        <v>154</v>
      </c>
      <c r="J805">
        <v>20010320</v>
      </c>
    </row>
    <row r="806" spans="1:10">
      <c r="A806" t="s">
        <v>3901</v>
      </c>
      <c r="B806">
        <v>600368</v>
      </c>
      <c r="C806" t="s">
        <v>3902</v>
      </c>
      <c r="D806" t="s">
        <v>345</v>
      </c>
      <c r="E806" t="s">
        <v>98</v>
      </c>
      <c r="F806" t="s">
        <v>3903</v>
      </c>
      <c r="G806" t="s">
        <v>152</v>
      </c>
      <c r="H806" t="s">
        <v>174</v>
      </c>
      <c r="I806" t="s">
        <v>154</v>
      </c>
      <c r="J806">
        <v>20001221</v>
      </c>
    </row>
    <row r="807" spans="1:10">
      <c r="A807" t="s">
        <v>4866</v>
      </c>
      <c r="B807">
        <v>600369</v>
      </c>
      <c r="C807" t="s">
        <v>4867</v>
      </c>
      <c r="D807" t="s">
        <v>937</v>
      </c>
      <c r="E807" t="s">
        <v>87</v>
      </c>
      <c r="F807" t="s">
        <v>4868</v>
      </c>
      <c r="G807" t="s">
        <v>152</v>
      </c>
      <c r="H807" t="s">
        <v>174</v>
      </c>
      <c r="I807" t="s">
        <v>154</v>
      </c>
      <c r="J807">
        <v>20010109</v>
      </c>
    </row>
    <row r="808" spans="1:10">
      <c r="A808" t="s">
        <v>489</v>
      </c>
      <c r="B808">
        <v>600370</v>
      </c>
      <c r="C808" t="s">
        <v>490</v>
      </c>
      <c r="D808" t="s">
        <v>212</v>
      </c>
      <c r="E808" t="s">
        <v>14</v>
      </c>
      <c r="F808" t="s">
        <v>491</v>
      </c>
      <c r="G808" t="s">
        <v>152</v>
      </c>
      <c r="H808" t="s">
        <v>174</v>
      </c>
      <c r="I808" t="s">
        <v>154</v>
      </c>
      <c r="J808">
        <v>20030306</v>
      </c>
    </row>
    <row r="809" spans="1:10">
      <c r="A809" t="s">
        <v>192</v>
      </c>
      <c r="B809">
        <v>600371</v>
      </c>
      <c r="C809" t="s">
        <v>193</v>
      </c>
      <c r="D809" t="s">
        <v>194</v>
      </c>
      <c r="E809" t="s">
        <v>13</v>
      </c>
      <c r="F809" t="s">
        <v>195</v>
      </c>
      <c r="G809" t="s">
        <v>152</v>
      </c>
      <c r="H809" t="s">
        <v>174</v>
      </c>
      <c r="I809" t="s">
        <v>154</v>
      </c>
      <c r="J809">
        <v>20020916</v>
      </c>
    </row>
    <row r="810" spans="1:10">
      <c r="A810" t="s">
        <v>3904</v>
      </c>
      <c r="B810">
        <v>600372</v>
      </c>
      <c r="C810" t="s">
        <v>3905</v>
      </c>
      <c r="D810" t="s">
        <v>164</v>
      </c>
      <c r="E810" t="s">
        <v>102</v>
      </c>
      <c r="F810" t="s">
        <v>3906</v>
      </c>
      <c r="G810" t="s">
        <v>152</v>
      </c>
      <c r="H810" t="s">
        <v>174</v>
      </c>
      <c r="I810" t="s">
        <v>154</v>
      </c>
      <c r="J810">
        <v>20010706</v>
      </c>
    </row>
    <row r="811" spans="1:10">
      <c r="A811" t="s">
        <v>6168</v>
      </c>
      <c r="B811">
        <v>600373</v>
      </c>
      <c r="C811" t="s">
        <v>6169</v>
      </c>
      <c r="D811" t="s">
        <v>406</v>
      </c>
      <c r="E811" t="s">
        <v>55</v>
      </c>
      <c r="F811" t="s">
        <v>6170</v>
      </c>
      <c r="G811" t="s">
        <v>152</v>
      </c>
      <c r="H811" t="s">
        <v>174</v>
      </c>
      <c r="I811" t="s">
        <v>154</v>
      </c>
      <c r="J811">
        <v>20020304</v>
      </c>
    </row>
    <row r="812" spans="1:10">
      <c r="A812" t="s">
        <v>1915</v>
      </c>
      <c r="B812">
        <v>600375</v>
      </c>
      <c r="C812" t="s">
        <v>1916</v>
      </c>
      <c r="D812" t="s">
        <v>160</v>
      </c>
      <c r="E812" t="s">
        <v>36</v>
      </c>
      <c r="F812" t="s">
        <v>1917</v>
      </c>
      <c r="G812" t="s">
        <v>152</v>
      </c>
      <c r="H812" t="s">
        <v>174</v>
      </c>
      <c r="I812" t="s">
        <v>154</v>
      </c>
      <c r="J812">
        <v>20030401</v>
      </c>
    </row>
    <row r="813" spans="1:10">
      <c r="A813" t="s">
        <v>4296</v>
      </c>
      <c r="B813">
        <v>600376</v>
      </c>
      <c r="C813" t="s">
        <v>4297</v>
      </c>
      <c r="D813" t="s">
        <v>164</v>
      </c>
      <c r="E813" t="s">
        <v>79</v>
      </c>
      <c r="F813" t="s">
        <v>4298</v>
      </c>
      <c r="G813" t="s">
        <v>152</v>
      </c>
      <c r="H813" t="s">
        <v>174</v>
      </c>
      <c r="I813" t="s">
        <v>154</v>
      </c>
      <c r="J813">
        <v>20010312</v>
      </c>
    </row>
    <row r="814" spans="1:10">
      <c r="A814" t="s">
        <v>3907</v>
      </c>
      <c r="B814">
        <v>600377</v>
      </c>
      <c r="C814" t="s">
        <v>3908</v>
      </c>
      <c r="D814" t="s">
        <v>212</v>
      </c>
      <c r="E814" t="s">
        <v>98</v>
      </c>
      <c r="F814" t="s">
        <v>3909</v>
      </c>
      <c r="G814" t="s">
        <v>152</v>
      </c>
      <c r="H814" t="s">
        <v>174</v>
      </c>
      <c r="I814" t="s">
        <v>154</v>
      </c>
      <c r="J814">
        <v>20010116</v>
      </c>
    </row>
    <row r="815" spans="1:10">
      <c r="A815" t="s">
        <v>492</v>
      </c>
      <c r="B815">
        <v>600378</v>
      </c>
      <c r="C815" t="s">
        <v>493</v>
      </c>
      <c r="D815" t="s">
        <v>219</v>
      </c>
      <c r="E815" t="s">
        <v>14</v>
      </c>
      <c r="F815" t="s">
        <v>494</v>
      </c>
      <c r="G815" t="s">
        <v>152</v>
      </c>
      <c r="H815" t="s">
        <v>174</v>
      </c>
      <c r="I815" t="s">
        <v>154</v>
      </c>
      <c r="J815">
        <v>20010111</v>
      </c>
    </row>
    <row r="816" spans="1:10">
      <c r="A816" t="s">
        <v>1393</v>
      </c>
      <c r="B816">
        <v>600379</v>
      </c>
      <c r="C816" t="s">
        <v>1394</v>
      </c>
      <c r="D816" t="s">
        <v>419</v>
      </c>
      <c r="E816" t="s">
        <v>17</v>
      </c>
      <c r="F816" t="s">
        <v>1395</v>
      </c>
      <c r="G816" t="s">
        <v>152</v>
      </c>
      <c r="H816" t="s">
        <v>174</v>
      </c>
      <c r="I816" t="s">
        <v>154</v>
      </c>
      <c r="J816">
        <v>20020116</v>
      </c>
    </row>
    <row r="817" spans="1:10">
      <c r="A817" t="s">
        <v>3034</v>
      </c>
      <c r="B817">
        <v>600380</v>
      </c>
      <c r="C817" t="s">
        <v>3035</v>
      </c>
      <c r="D817" t="s">
        <v>243</v>
      </c>
      <c r="E817" t="s">
        <v>81</v>
      </c>
      <c r="F817" t="s">
        <v>3036</v>
      </c>
      <c r="G817" t="s">
        <v>152</v>
      </c>
      <c r="H817" t="s">
        <v>174</v>
      </c>
      <c r="I817" t="s">
        <v>154</v>
      </c>
      <c r="J817">
        <v>20010608</v>
      </c>
    </row>
    <row r="818" spans="1:10">
      <c r="A818" t="s">
        <v>3169</v>
      </c>
      <c r="B818">
        <v>600381</v>
      </c>
      <c r="C818" t="s">
        <v>3170</v>
      </c>
      <c r="D818" t="s">
        <v>308</v>
      </c>
      <c r="E818" t="s">
        <v>90</v>
      </c>
      <c r="F818" t="s">
        <v>3171</v>
      </c>
      <c r="G818" t="s">
        <v>152</v>
      </c>
      <c r="H818" t="s">
        <v>174</v>
      </c>
      <c r="I818" t="s">
        <v>154</v>
      </c>
      <c r="J818">
        <v>20010508</v>
      </c>
    </row>
    <row r="819" spans="1:10">
      <c r="A819" t="s">
        <v>899</v>
      </c>
      <c r="B819">
        <v>600382</v>
      </c>
      <c r="C819" t="s">
        <v>900</v>
      </c>
      <c r="D819" t="s">
        <v>223</v>
      </c>
      <c r="E819" t="s">
        <v>25</v>
      </c>
      <c r="F819" t="s">
        <v>901</v>
      </c>
      <c r="G819" t="s">
        <v>152</v>
      </c>
      <c r="H819" t="s">
        <v>174</v>
      </c>
      <c r="I819" t="s">
        <v>154</v>
      </c>
      <c r="J819">
        <v>20010118</v>
      </c>
    </row>
    <row r="820" spans="1:10">
      <c r="A820" t="s">
        <v>4299</v>
      </c>
      <c r="B820">
        <v>600383</v>
      </c>
      <c r="C820" t="s">
        <v>4300</v>
      </c>
      <c r="D820" t="s">
        <v>243</v>
      </c>
      <c r="E820" t="s">
        <v>84</v>
      </c>
      <c r="F820" t="s">
        <v>4301</v>
      </c>
      <c r="G820" t="s">
        <v>152</v>
      </c>
      <c r="H820" t="s">
        <v>174</v>
      </c>
      <c r="I820" t="s">
        <v>154</v>
      </c>
      <c r="J820">
        <v>20010412</v>
      </c>
    </row>
    <row r="821" spans="1:10">
      <c r="A821" t="s">
        <v>1918</v>
      </c>
      <c r="B821">
        <v>600386</v>
      </c>
      <c r="C821" t="s">
        <v>1919</v>
      </c>
      <c r="D821" t="s">
        <v>164</v>
      </c>
      <c r="E821" t="s">
        <v>18</v>
      </c>
      <c r="F821" t="s">
        <v>1920</v>
      </c>
      <c r="G821" t="s">
        <v>152</v>
      </c>
      <c r="H821" t="s">
        <v>174</v>
      </c>
      <c r="I821" t="s">
        <v>154</v>
      </c>
      <c r="J821">
        <v>20010216</v>
      </c>
    </row>
    <row r="822" spans="1:10">
      <c r="A822" t="s">
        <v>6489</v>
      </c>
      <c r="B822">
        <v>600387</v>
      </c>
      <c r="C822" t="s">
        <v>6490</v>
      </c>
      <c r="D822" t="s">
        <v>423</v>
      </c>
      <c r="E822" t="s">
        <v>127</v>
      </c>
      <c r="F822" t="s">
        <v>6491</v>
      </c>
      <c r="G822" t="s">
        <v>152</v>
      </c>
      <c r="H822" t="s">
        <v>174</v>
      </c>
      <c r="I822" t="s">
        <v>154</v>
      </c>
      <c r="J822">
        <v>20040218</v>
      </c>
    </row>
    <row r="823" spans="1:10">
      <c r="A823" t="s">
        <v>6585</v>
      </c>
      <c r="B823">
        <v>600388</v>
      </c>
      <c r="C823" t="s">
        <v>6586</v>
      </c>
      <c r="D823" t="s">
        <v>150</v>
      </c>
      <c r="E823" t="s">
        <v>119</v>
      </c>
      <c r="F823" t="s">
        <v>6587</v>
      </c>
      <c r="G823" t="s">
        <v>152</v>
      </c>
      <c r="H823" t="s">
        <v>174</v>
      </c>
      <c r="I823" t="s">
        <v>154</v>
      </c>
      <c r="J823">
        <v>20001229</v>
      </c>
    </row>
    <row r="824" spans="1:10">
      <c r="A824" t="s">
        <v>495</v>
      </c>
      <c r="B824">
        <v>600389</v>
      </c>
      <c r="C824" t="s">
        <v>496</v>
      </c>
      <c r="D824" t="s">
        <v>212</v>
      </c>
      <c r="E824" t="s">
        <v>47</v>
      </c>
      <c r="F824" t="s">
        <v>497</v>
      </c>
      <c r="G824" t="s">
        <v>152</v>
      </c>
      <c r="H824" t="s">
        <v>174</v>
      </c>
      <c r="I824" t="s">
        <v>154</v>
      </c>
      <c r="J824">
        <v>20010110</v>
      </c>
    </row>
    <row r="825" spans="1:10">
      <c r="A825" t="s">
        <v>4869</v>
      </c>
      <c r="B825">
        <v>600390</v>
      </c>
      <c r="C825" t="s">
        <v>4870</v>
      </c>
      <c r="D825" t="s">
        <v>168</v>
      </c>
      <c r="E825" t="s">
        <v>73</v>
      </c>
      <c r="F825" t="s">
        <v>4871</v>
      </c>
      <c r="G825" t="s">
        <v>152</v>
      </c>
      <c r="H825" t="s">
        <v>174</v>
      </c>
      <c r="I825" t="s">
        <v>154</v>
      </c>
      <c r="J825">
        <v>20010115</v>
      </c>
    </row>
    <row r="826" spans="1:10">
      <c r="A826" t="s">
        <v>3910</v>
      </c>
      <c r="B826">
        <v>600391</v>
      </c>
      <c r="C826" t="s">
        <v>3911</v>
      </c>
      <c r="D826" t="s">
        <v>219</v>
      </c>
      <c r="E826" t="s">
        <v>102</v>
      </c>
      <c r="F826" t="s">
        <v>3912</v>
      </c>
      <c r="G826" t="s">
        <v>152</v>
      </c>
      <c r="H826" t="s">
        <v>174</v>
      </c>
      <c r="I826" t="s">
        <v>154</v>
      </c>
      <c r="J826">
        <v>20011212</v>
      </c>
    </row>
    <row r="827" spans="1:10">
      <c r="A827" t="s">
        <v>1072</v>
      </c>
      <c r="B827">
        <v>600392</v>
      </c>
      <c r="C827" t="s">
        <v>1073</v>
      </c>
      <c r="D827" t="s">
        <v>219</v>
      </c>
      <c r="E827" t="s">
        <v>41</v>
      </c>
      <c r="F827" t="s">
        <v>1074</v>
      </c>
      <c r="G827" t="s">
        <v>152</v>
      </c>
      <c r="H827" t="s">
        <v>174</v>
      </c>
      <c r="I827" t="s">
        <v>154</v>
      </c>
      <c r="J827">
        <v>20030529</v>
      </c>
    </row>
    <row r="828" spans="1:10">
      <c r="A828" t="s">
        <v>4302</v>
      </c>
      <c r="B828">
        <v>600393</v>
      </c>
      <c r="C828" t="s">
        <v>4303</v>
      </c>
      <c r="D828" t="s">
        <v>223</v>
      </c>
      <c r="E828" t="s">
        <v>84</v>
      </c>
      <c r="F828" t="s">
        <v>4304</v>
      </c>
      <c r="G828" t="s">
        <v>152</v>
      </c>
      <c r="H828" t="s">
        <v>174</v>
      </c>
      <c r="I828" t="s">
        <v>154</v>
      </c>
      <c r="J828">
        <v>20010319</v>
      </c>
    </row>
    <row r="829" spans="1:10">
      <c r="A829" t="s">
        <v>6381</v>
      </c>
      <c r="B829">
        <v>600395</v>
      </c>
      <c r="C829" t="s">
        <v>6382</v>
      </c>
      <c r="D829" t="s">
        <v>463</v>
      </c>
      <c r="E829" t="s">
        <v>126</v>
      </c>
      <c r="F829" t="s">
        <v>6383</v>
      </c>
      <c r="G829" t="s">
        <v>152</v>
      </c>
      <c r="H829" t="s">
        <v>174</v>
      </c>
      <c r="I829" t="s">
        <v>154</v>
      </c>
      <c r="J829">
        <v>20010531</v>
      </c>
    </row>
    <row r="830" spans="1:10">
      <c r="A830" t="s">
        <v>3562</v>
      </c>
      <c r="B830">
        <v>600396</v>
      </c>
      <c r="C830" t="s">
        <v>3563</v>
      </c>
      <c r="D830" t="s">
        <v>236</v>
      </c>
      <c r="E830" t="s">
        <v>77</v>
      </c>
      <c r="F830" t="s">
        <v>3564</v>
      </c>
      <c r="G830" t="s">
        <v>152</v>
      </c>
      <c r="H830" t="s">
        <v>174</v>
      </c>
      <c r="I830" t="s">
        <v>154</v>
      </c>
      <c r="J830">
        <v>20010328</v>
      </c>
    </row>
    <row r="831" spans="1:10">
      <c r="A831" t="s">
        <v>6384</v>
      </c>
      <c r="B831">
        <v>600397</v>
      </c>
      <c r="C831" t="s">
        <v>6385</v>
      </c>
      <c r="D831" t="s">
        <v>406</v>
      </c>
      <c r="E831" t="s">
        <v>126</v>
      </c>
      <c r="F831" t="s">
        <v>6386</v>
      </c>
      <c r="G831" t="s">
        <v>152</v>
      </c>
      <c r="H831" t="s">
        <v>174</v>
      </c>
      <c r="I831" t="s">
        <v>154</v>
      </c>
      <c r="J831">
        <v>20020702</v>
      </c>
    </row>
    <row r="832" spans="1:10">
      <c r="A832" t="s">
        <v>2647</v>
      </c>
      <c r="B832">
        <v>600398</v>
      </c>
      <c r="C832" t="s">
        <v>2648</v>
      </c>
      <c r="D832" t="s">
        <v>212</v>
      </c>
      <c r="E832" t="s">
        <v>20</v>
      </c>
      <c r="F832" t="s">
        <v>2649</v>
      </c>
      <c r="G832" t="s">
        <v>152</v>
      </c>
      <c r="H832" t="s">
        <v>174</v>
      </c>
      <c r="I832" t="s">
        <v>154</v>
      </c>
      <c r="J832">
        <v>20001228</v>
      </c>
    </row>
    <row r="833" spans="1:10">
      <c r="A833" t="s">
        <v>902</v>
      </c>
      <c r="B833">
        <v>600399</v>
      </c>
      <c r="C833" t="s">
        <v>903</v>
      </c>
      <c r="D833" t="s">
        <v>236</v>
      </c>
      <c r="E833" t="s">
        <v>15</v>
      </c>
      <c r="F833" t="s">
        <v>904</v>
      </c>
      <c r="G833" t="s">
        <v>152</v>
      </c>
      <c r="H833" t="s">
        <v>174</v>
      </c>
      <c r="I833" t="s">
        <v>154</v>
      </c>
      <c r="J833">
        <v>20001229</v>
      </c>
    </row>
    <row r="834" spans="1:10">
      <c r="A834" t="s">
        <v>2650</v>
      </c>
      <c r="B834">
        <v>600400</v>
      </c>
      <c r="C834" t="s">
        <v>2651</v>
      </c>
      <c r="D834" t="s">
        <v>212</v>
      </c>
      <c r="E834" t="s">
        <v>20</v>
      </c>
      <c r="F834" t="s">
        <v>2652</v>
      </c>
      <c r="G834" t="s">
        <v>152</v>
      </c>
      <c r="H834" t="s">
        <v>174</v>
      </c>
      <c r="I834" t="s">
        <v>154</v>
      </c>
      <c r="J834">
        <v>20010108</v>
      </c>
    </row>
    <row r="835" spans="1:10">
      <c r="A835" t="s">
        <v>6387</v>
      </c>
      <c r="B835">
        <v>600403</v>
      </c>
      <c r="C835" t="s">
        <v>6388</v>
      </c>
      <c r="D835" t="s">
        <v>292</v>
      </c>
      <c r="E835" t="s">
        <v>126</v>
      </c>
      <c r="F835" t="s">
        <v>6389</v>
      </c>
      <c r="G835" t="s">
        <v>152</v>
      </c>
      <c r="H835" t="s">
        <v>174</v>
      </c>
      <c r="I835" t="s">
        <v>154</v>
      </c>
      <c r="J835">
        <v>20031009</v>
      </c>
    </row>
    <row r="836" spans="1:10">
      <c r="A836" t="s">
        <v>1396</v>
      </c>
      <c r="B836">
        <v>600405</v>
      </c>
      <c r="C836" t="s">
        <v>1397</v>
      </c>
      <c r="D836" t="s">
        <v>164</v>
      </c>
      <c r="E836" t="s">
        <v>17</v>
      </c>
      <c r="F836" t="s">
        <v>1398</v>
      </c>
      <c r="G836" t="s">
        <v>152</v>
      </c>
      <c r="H836" t="s">
        <v>174</v>
      </c>
      <c r="I836" t="s">
        <v>154</v>
      </c>
      <c r="J836">
        <v>20040401</v>
      </c>
    </row>
    <row r="837" spans="1:10">
      <c r="A837" t="s">
        <v>1399</v>
      </c>
      <c r="B837">
        <v>600406</v>
      </c>
      <c r="C837" t="s">
        <v>1400</v>
      </c>
      <c r="D837" t="s">
        <v>212</v>
      </c>
      <c r="E837" t="s">
        <v>17</v>
      </c>
      <c r="F837" t="s">
        <v>1401</v>
      </c>
      <c r="G837" t="s">
        <v>152</v>
      </c>
      <c r="H837" t="s">
        <v>174</v>
      </c>
      <c r="I837" t="s">
        <v>154</v>
      </c>
      <c r="J837">
        <v>20031016</v>
      </c>
    </row>
    <row r="838" spans="1:10">
      <c r="A838" t="s">
        <v>6390</v>
      </c>
      <c r="B838">
        <v>600408</v>
      </c>
      <c r="C838" t="s">
        <v>6391</v>
      </c>
      <c r="D838" t="s">
        <v>557</v>
      </c>
      <c r="E838" t="s">
        <v>117</v>
      </c>
      <c r="F838" t="s">
        <v>6392</v>
      </c>
      <c r="G838" t="s">
        <v>152</v>
      </c>
      <c r="H838" t="s">
        <v>174</v>
      </c>
      <c r="I838" t="s">
        <v>154</v>
      </c>
      <c r="J838">
        <v>20030212</v>
      </c>
    </row>
    <row r="839" spans="1:10">
      <c r="A839" t="s">
        <v>498</v>
      </c>
      <c r="B839">
        <v>600409</v>
      </c>
      <c r="C839" t="s">
        <v>499</v>
      </c>
      <c r="D839" t="s">
        <v>279</v>
      </c>
      <c r="E839" t="s">
        <v>24</v>
      </c>
      <c r="F839" t="s">
        <v>500</v>
      </c>
      <c r="G839" t="s">
        <v>152</v>
      </c>
      <c r="H839" t="s">
        <v>174</v>
      </c>
      <c r="I839" t="s">
        <v>154</v>
      </c>
      <c r="J839">
        <v>20030618</v>
      </c>
    </row>
    <row r="840" spans="1:10">
      <c r="A840" t="s">
        <v>5889</v>
      </c>
      <c r="B840">
        <v>600410</v>
      </c>
      <c r="C840" t="s">
        <v>5890</v>
      </c>
      <c r="D840" t="s">
        <v>164</v>
      </c>
      <c r="E840" t="s">
        <v>123</v>
      </c>
      <c r="F840" t="s">
        <v>5891</v>
      </c>
      <c r="G840" t="s">
        <v>152</v>
      </c>
      <c r="H840" t="s">
        <v>174</v>
      </c>
      <c r="I840" t="s">
        <v>154</v>
      </c>
      <c r="J840">
        <v>20040427</v>
      </c>
    </row>
    <row r="841" spans="1:10">
      <c r="A841" t="s">
        <v>6705</v>
      </c>
      <c r="B841">
        <v>600415</v>
      </c>
      <c r="C841" t="s">
        <v>6706</v>
      </c>
      <c r="D841" t="s">
        <v>423</v>
      </c>
      <c r="E841" t="s">
        <v>99</v>
      </c>
      <c r="F841" t="s">
        <v>6707</v>
      </c>
      <c r="G841" t="s">
        <v>152</v>
      </c>
      <c r="H841" t="s">
        <v>174</v>
      </c>
      <c r="I841" t="s">
        <v>154</v>
      </c>
      <c r="J841">
        <v>20020509</v>
      </c>
    </row>
    <row r="842" spans="1:10">
      <c r="A842" t="s">
        <v>1402</v>
      </c>
      <c r="B842">
        <v>600416</v>
      </c>
      <c r="C842" t="s">
        <v>1403</v>
      </c>
      <c r="D842" t="s">
        <v>168</v>
      </c>
      <c r="E842" t="s">
        <v>17</v>
      </c>
      <c r="F842" t="s">
        <v>1404</v>
      </c>
      <c r="G842" t="s">
        <v>152</v>
      </c>
      <c r="H842" t="s">
        <v>174</v>
      </c>
      <c r="I842" t="s">
        <v>154</v>
      </c>
      <c r="J842">
        <v>20020718</v>
      </c>
    </row>
    <row r="843" spans="1:10">
      <c r="A843" t="s">
        <v>1921</v>
      </c>
      <c r="B843">
        <v>600418</v>
      </c>
      <c r="C843" t="s">
        <v>1922</v>
      </c>
      <c r="D843" t="s">
        <v>160</v>
      </c>
      <c r="E843" t="s">
        <v>36</v>
      </c>
      <c r="F843" t="s">
        <v>1923</v>
      </c>
      <c r="G843" t="s">
        <v>152</v>
      </c>
      <c r="H843" t="s">
        <v>174</v>
      </c>
      <c r="I843" t="s">
        <v>154</v>
      </c>
      <c r="J843">
        <v>20010824</v>
      </c>
    </row>
    <row r="844" spans="1:10">
      <c r="A844" t="s">
        <v>2437</v>
      </c>
      <c r="B844">
        <v>600419</v>
      </c>
      <c r="C844" t="s">
        <v>2438</v>
      </c>
      <c r="D844" t="s">
        <v>202</v>
      </c>
      <c r="E844" t="s">
        <v>53</v>
      </c>
      <c r="F844" t="s">
        <v>2439</v>
      </c>
      <c r="G844" t="s">
        <v>152</v>
      </c>
      <c r="H844" t="s">
        <v>174</v>
      </c>
      <c r="I844" t="s">
        <v>154</v>
      </c>
      <c r="J844">
        <v>20010628</v>
      </c>
    </row>
    <row r="845" spans="1:10">
      <c r="A845" t="s">
        <v>3025</v>
      </c>
      <c r="B845">
        <v>600420</v>
      </c>
      <c r="C845" t="s">
        <v>3026</v>
      </c>
      <c r="D845" t="s">
        <v>172</v>
      </c>
      <c r="E845" t="s">
        <v>81</v>
      </c>
      <c r="F845" t="s">
        <v>3027</v>
      </c>
      <c r="G845" t="s">
        <v>152</v>
      </c>
      <c r="H845" t="s">
        <v>174</v>
      </c>
      <c r="I845" t="s">
        <v>154</v>
      </c>
      <c r="J845">
        <v>20040616</v>
      </c>
    </row>
    <row r="846" spans="1:10">
      <c r="A846" t="s">
        <v>5535</v>
      </c>
      <c r="B846">
        <v>600421</v>
      </c>
      <c r="C846" t="s">
        <v>5536</v>
      </c>
      <c r="D846" t="s">
        <v>316</v>
      </c>
      <c r="E846" t="s">
        <v>122</v>
      </c>
      <c r="F846" t="s">
        <v>5537</v>
      </c>
      <c r="G846" t="s">
        <v>152</v>
      </c>
      <c r="H846" t="s">
        <v>174</v>
      </c>
      <c r="I846" t="s">
        <v>154</v>
      </c>
      <c r="J846">
        <v>20040607</v>
      </c>
    </row>
    <row r="847" spans="1:10">
      <c r="A847" t="s">
        <v>3391</v>
      </c>
      <c r="B847">
        <v>600422</v>
      </c>
      <c r="C847" t="s">
        <v>3392</v>
      </c>
      <c r="D847" t="s">
        <v>184</v>
      </c>
      <c r="E847" t="s">
        <v>67</v>
      </c>
      <c r="F847" t="s">
        <v>3393</v>
      </c>
      <c r="G847" t="s">
        <v>152</v>
      </c>
      <c r="H847" t="s">
        <v>174</v>
      </c>
      <c r="I847" t="s">
        <v>154</v>
      </c>
      <c r="J847">
        <v>20001206</v>
      </c>
    </row>
    <row r="848" spans="1:10">
      <c r="A848" t="s">
        <v>501</v>
      </c>
      <c r="B848">
        <v>600423</v>
      </c>
      <c r="C848" t="s">
        <v>502</v>
      </c>
      <c r="D848" t="s">
        <v>345</v>
      </c>
      <c r="E848" t="s">
        <v>47</v>
      </c>
      <c r="F848" t="s">
        <v>503</v>
      </c>
      <c r="G848" t="s">
        <v>152</v>
      </c>
      <c r="H848" t="s">
        <v>174</v>
      </c>
      <c r="I848" t="s">
        <v>154</v>
      </c>
      <c r="J848">
        <v>20030717</v>
      </c>
    </row>
    <row r="849" spans="1:10">
      <c r="A849" t="s">
        <v>5109</v>
      </c>
      <c r="B849">
        <v>600425</v>
      </c>
      <c r="C849" t="s">
        <v>5110</v>
      </c>
      <c r="D849" t="s">
        <v>202</v>
      </c>
      <c r="E849" t="s">
        <v>75</v>
      </c>
      <c r="F849" t="s">
        <v>5111</v>
      </c>
      <c r="G849" t="s">
        <v>152</v>
      </c>
      <c r="H849" t="s">
        <v>174</v>
      </c>
      <c r="I849" t="s">
        <v>154</v>
      </c>
      <c r="J849">
        <v>20030724</v>
      </c>
    </row>
    <row r="850" spans="1:10">
      <c r="A850" t="s">
        <v>504</v>
      </c>
      <c r="B850">
        <v>600426</v>
      </c>
      <c r="C850" t="s">
        <v>505</v>
      </c>
      <c r="D850" t="s">
        <v>198</v>
      </c>
      <c r="E850" t="s">
        <v>47</v>
      </c>
      <c r="F850" t="s">
        <v>506</v>
      </c>
      <c r="G850" t="s">
        <v>152</v>
      </c>
      <c r="H850" t="s">
        <v>174</v>
      </c>
      <c r="I850" t="s">
        <v>154</v>
      </c>
      <c r="J850">
        <v>20020620</v>
      </c>
    </row>
    <row r="851" spans="1:10">
      <c r="A851" t="s">
        <v>3913</v>
      </c>
      <c r="B851">
        <v>600428</v>
      </c>
      <c r="C851" t="s">
        <v>3914</v>
      </c>
      <c r="D851" t="s">
        <v>223</v>
      </c>
      <c r="E851" t="s">
        <v>92</v>
      </c>
      <c r="F851" t="s">
        <v>3915</v>
      </c>
      <c r="G851" t="s">
        <v>152</v>
      </c>
      <c r="H851" t="s">
        <v>174</v>
      </c>
      <c r="I851" t="s">
        <v>154</v>
      </c>
      <c r="J851">
        <v>20020418</v>
      </c>
    </row>
    <row r="852" spans="1:10">
      <c r="A852" t="s">
        <v>2440</v>
      </c>
      <c r="B852">
        <v>600429</v>
      </c>
      <c r="C852" t="s">
        <v>2441</v>
      </c>
      <c r="D852" t="s">
        <v>164</v>
      </c>
      <c r="E852" t="s">
        <v>53</v>
      </c>
      <c r="F852" t="s">
        <v>2442</v>
      </c>
      <c r="G852" t="s">
        <v>152</v>
      </c>
      <c r="H852" t="s">
        <v>174</v>
      </c>
      <c r="I852" t="s">
        <v>154</v>
      </c>
      <c r="J852">
        <v>20030915</v>
      </c>
    </row>
    <row r="853" spans="1:10">
      <c r="A853" t="s">
        <v>2770</v>
      </c>
      <c r="B853">
        <v>600433</v>
      </c>
      <c r="C853" t="s">
        <v>2771</v>
      </c>
      <c r="D853" t="s">
        <v>223</v>
      </c>
      <c r="E853" t="s">
        <v>30</v>
      </c>
      <c r="F853" t="s">
        <v>2772</v>
      </c>
      <c r="G853" t="s">
        <v>152</v>
      </c>
      <c r="H853" t="s">
        <v>174</v>
      </c>
      <c r="I853" t="s">
        <v>154</v>
      </c>
      <c r="J853">
        <v>20030619</v>
      </c>
    </row>
    <row r="854" spans="1:10">
      <c r="A854" t="s">
        <v>5538</v>
      </c>
      <c r="B854">
        <v>600435</v>
      </c>
      <c r="C854" t="s">
        <v>5539</v>
      </c>
      <c r="D854" t="s">
        <v>164</v>
      </c>
      <c r="E854" t="s">
        <v>122</v>
      </c>
      <c r="F854" t="s">
        <v>5540</v>
      </c>
      <c r="G854" t="s">
        <v>152</v>
      </c>
      <c r="H854" t="s">
        <v>174</v>
      </c>
      <c r="I854" t="s">
        <v>154</v>
      </c>
      <c r="J854">
        <v>20030704</v>
      </c>
    </row>
    <row r="855" spans="1:10">
      <c r="A855" t="s">
        <v>3289</v>
      </c>
      <c r="B855">
        <v>600436</v>
      </c>
      <c r="C855" t="s">
        <v>3290</v>
      </c>
      <c r="D855" t="s">
        <v>150</v>
      </c>
      <c r="E855" t="s">
        <v>67</v>
      </c>
      <c r="F855" t="s">
        <v>3291</v>
      </c>
      <c r="G855" t="s">
        <v>152</v>
      </c>
      <c r="H855" t="s">
        <v>174</v>
      </c>
      <c r="I855" t="s">
        <v>154</v>
      </c>
      <c r="J855">
        <v>20030616</v>
      </c>
    </row>
    <row r="856" spans="1:10">
      <c r="A856" t="s">
        <v>1405</v>
      </c>
      <c r="B856">
        <v>600438</v>
      </c>
      <c r="C856" t="s">
        <v>1406</v>
      </c>
      <c r="D856" t="s">
        <v>219</v>
      </c>
      <c r="E856" t="s">
        <v>17</v>
      </c>
      <c r="F856" t="s">
        <v>1407</v>
      </c>
      <c r="G856" t="s">
        <v>152</v>
      </c>
      <c r="H856" t="s">
        <v>174</v>
      </c>
      <c r="I856" t="s">
        <v>154</v>
      </c>
      <c r="J856">
        <v>20040302</v>
      </c>
    </row>
    <row r="857" spans="1:10">
      <c r="A857" t="s">
        <v>2653</v>
      </c>
      <c r="B857">
        <v>600439</v>
      </c>
      <c r="C857" t="s">
        <v>2654</v>
      </c>
      <c r="D857" t="s">
        <v>292</v>
      </c>
      <c r="E857" t="s">
        <v>20</v>
      </c>
      <c r="F857" t="s">
        <v>2655</v>
      </c>
      <c r="G857" t="s">
        <v>152</v>
      </c>
      <c r="H857" t="s">
        <v>174</v>
      </c>
      <c r="I857" t="s">
        <v>154</v>
      </c>
      <c r="J857">
        <v>20030710</v>
      </c>
    </row>
    <row r="858" spans="1:10">
      <c r="A858" t="s">
        <v>5541</v>
      </c>
      <c r="B858">
        <v>600444</v>
      </c>
      <c r="C858" t="s">
        <v>5542</v>
      </c>
      <c r="D858" t="s">
        <v>160</v>
      </c>
      <c r="E858" t="s">
        <v>122</v>
      </c>
      <c r="F858" t="s">
        <v>5543</v>
      </c>
      <c r="G858" t="s">
        <v>152</v>
      </c>
      <c r="H858" t="s">
        <v>174</v>
      </c>
      <c r="I858" t="s">
        <v>154</v>
      </c>
      <c r="J858">
        <v>20040219</v>
      </c>
    </row>
    <row r="859" spans="1:10">
      <c r="A859" t="s">
        <v>5892</v>
      </c>
      <c r="B859">
        <v>600446</v>
      </c>
      <c r="C859" t="s">
        <v>5893</v>
      </c>
      <c r="D859" t="s">
        <v>243</v>
      </c>
      <c r="E859" t="s">
        <v>123</v>
      </c>
      <c r="F859" t="s">
        <v>5894</v>
      </c>
      <c r="G859" t="s">
        <v>152</v>
      </c>
      <c r="H859" t="s">
        <v>174</v>
      </c>
      <c r="I859" t="s">
        <v>154</v>
      </c>
      <c r="J859">
        <v>20031224</v>
      </c>
    </row>
    <row r="860" spans="1:10">
      <c r="A860" t="s">
        <v>507</v>
      </c>
      <c r="B860">
        <v>600448</v>
      </c>
      <c r="C860" t="s">
        <v>508</v>
      </c>
      <c r="D860" t="s">
        <v>198</v>
      </c>
      <c r="E860" t="s">
        <v>33</v>
      </c>
      <c r="F860" t="s">
        <v>509</v>
      </c>
      <c r="G860" t="s">
        <v>152</v>
      </c>
      <c r="H860" t="s">
        <v>174</v>
      </c>
      <c r="I860" t="s">
        <v>154</v>
      </c>
      <c r="J860">
        <v>20010903</v>
      </c>
    </row>
    <row r="861" spans="1:10">
      <c r="A861" t="s">
        <v>5112</v>
      </c>
      <c r="B861">
        <v>600449</v>
      </c>
      <c r="C861" t="s">
        <v>5113</v>
      </c>
      <c r="D861" t="s">
        <v>332</v>
      </c>
      <c r="E861" t="s">
        <v>75</v>
      </c>
      <c r="F861" t="s">
        <v>5114</v>
      </c>
      <c r="G861" t="s">
        <v>152</v>
      </c>
      <c r="H861" t="s">
        <v>174</v>
      </c>
      <c r="I861" t="s">
        <v>154</v>
      </c>
      <c r="J861">
        <v>20030829</v>
      </c>
    </row>
    <row r="862" spans="1:10">
      <c r="A862" t="s">
        <v>3565</v>
      </c>
      <c r="B862">
        <v>600452</v>
      </c>
      <c r="C862" t="s">
        <v>3566</v>
      </c>
      <c r="D862" t="s">
        <v>937</v>
      </c>
      <c r="E862" t="s">
        <v>68</v>
      </c>
      <c r="F862" t="s">
        <v>3567</v>
      </c>
      <c r="G862" t="s">
        <v>152</v>
      </c>
      <c r="H862" t="s">
        <v>174</v>
      </c>
      <c r="I862" t="s">
        <v>154</v>
      </c>
      <c r="J862">
        <v>20040303</v>
      </c>
    </row>
    <row r="863" spans="1:10">
      <c r="A863" t="s">
        <v>6120</v>
      </c>
      <c r="B863">
        <v>600455</v>
      </c>
      <c r="C863" t="s">
        <v>6121</v>
      </c>
      <c r="D863" t="s">
        <v>419</v>
      </c>
      <c r="E863" t="s">
        <v>129</v>
      </c>
      <c r="F863" t="s">
        <v>6122</v>
      </c>
      <c r="G863" t="s">
        <v>152</v>
      </c>
      <c r="H863" t="s">
        <v>174</v>
      </c>
      <c r="I863" t="s">
        <v>154</v>
      </c>
      <c r="J863">
        <v>20040329</v>
      </c>
    </row>
    <row r="864" spans="1:10">
      <c r="A864" t="s">
        <v>1075</v>
      </c>
      <c r="B864">
        <v>600456</v>
      </c>
      <c r="C864" t="s">
        <v>1076</v>
      </c>
      <c r="D864" t="s">
        <v>419</v>
      </c>
      <c r="E864" t="s">
        <v>41</v>
      </c>
      <c r="F864" t="s">
        <v>1077</v>
      </c>
      <c r="G864" t="s">
        <v>152</v>
      </c>
      <c r="H864" t="s">
        <v>174</v>
      </c>
      <c r="I864" t="s">
        <v>154</v>
      </c>
      <c r="J864">
        <v>20020412</v>
      </c>
    </row>
    <row r="865" spans="1:10">
      <c r="A865" t="s">
        <v>510</v>
      </c>
      <c r="B865">
        <v>600458</v>
      </c>
      <c r="C865" t="s">
        <v>511</v>
      </c>
      <c r="D865" t="s">
        <v>168</v>
      </c>
      <c r="E865" t="s">
        <v>40</v>
      </c>
      <c r="F865" t="s">
        <v>512</v>
      </c>
      <c r="G865" t="s">
        <v>152</v>
      </c>
      <c r="H865" t="s">
        <v>174</v>
      </c>
      <c r="I865" t="s">
        <v>154</v>
      </c>
      <c r="J865">
        <v>20021219</v>
      </c>
    </row>
    <row r="866" spans="1:10">
      <c r="A866" t="s">
        <v>1078</v>
      </c>
      <c r="B866">
        <v>600459</v>
      </c>
      <c r="C866" t="s">
        <v>1079</v>
      </c>
      <c r="D866" t="s">
        <v>184</v>
      </c>
      <c r="E866" t="s">
        <v>41</v>
      </c>
      <c r="F866" t="s">
        <v>1080</v>
      </c>
      <c r="G866" t="s">
        <v>152</v>
      </c>
      <c r="H866" t="s">
        <v>174</v>
      </c>
      <c r="I866" t="s">
        <v>154</v>
      </c>
      <c r="J866">
        <v>20030516</v>
      </c>
    </row>
    <row r="867" spans="1:10">
      <c r="A867" t="s">
        <v>1408</v>
      </c>
      <c r="B867">
        <v>600460</v>
      </c>
      <c r="C867" t="s">
        <v>1409</v>
      </c>
      <c r="D867" t="s">
        <v>423</v>
      </c>
      <c r="E867" t="s">
        <v>31</v>
      </c>
      <c r="F867" t="s">
        <v>1410</v>
      </c>
      <c r="G867" t="s">
        <v>152</v>
      </c>
      <c r="H867" t="s">
        <v>174</v>
      </c>
      <c r="I867" t="s">
        <v>154</v>
      </c>
      <c r="J867">
        <v>20030311</v>
      </c>
    </row>
    <row r="868" spans="1:10">
      <c r="A868" t="s">
        <v>3568</v>
      </c>
      <c r="B868">
        <v>600461</v>
      </c>
      <c r="C868" t="s">
        <v>3569</v>
      </c>
      <c r="D868" t="s">
        <v>406</v>
      </c>
      <c r="E868" t="s">
        <v>96</v>
      </c>
      <c r="F868" t="s">
        <v>3570</v>
      </c>
      <c r="G868" t="s">
        <v>152</v>
      </c>
      <c r="H868" t="s">
        <v>174</v>
      </c>
      <c r="I868" t="s">
        <v>154</v>
      </c>
      <c r="J868">
        <v>20040601</v>
      </c>
    </row>
    <row r="869" spans="1:10">
      <c r="A869" t="s">
        <v>2773</v>
      </c>
      <c r="B869">
        <v>600462</v>
      </c>
      <c r="C869" t="s">
        <v>2774</v>
      </c>
      <c r="D869" t="s">
        <v>316</v>
      </c>
      <c r="E869" t="s">
        <v>37</v>
      </c>
      <c r="F869" t="s">
        <v>2775</v>
      </c>
      <c r="G869" t="s">
        <v>152</v>
      </c>
      <c r="H869" t="s">
        <v>174</v>
      </c>
      <c r="I869" t="s">
        <v>154</v>
      </c>
      <c r="J869">
        <v>20030903</v>
      </c>
    </row>
    <row r="870" spans="1:10">
      <c r="A870" t="s">
        <v>4305</v>
      </c>
      <c r="B870">
        <v>600463</v>
      </c>
      <c r="C870" t="s">
        <v>4306</v>
      </c>
      <c r="D870" t="s">
        <v>164</v>
      </c>
      <c r="E870" t="s">
        <v>93</v>
      </c>
      <c r="F870" t="s">
        <v>4307</v>
      </c>
      <c r="G870" t="s">
        <v>152</v>
      </c>
      <c r="H870" t="s">
        <v>174</v>
      </c>
      <c r="I870" t="s">
        <v>154</v>
      </c>
      <c r="J870">
        <v>20040318</v>
      </c>
    </row>
    <row r="871" spans="1:10">
      <c r="A871" t="s">
        <v>4308</v>
      </c>
      <c r="B871">
        <v>600466</v>
      </c>
      <c r="C871" t="s">
        <v>4309</v>
      </c>
      <c r="D871" t="s">
        <v>219</v>
      </c>
      <c r="E871" t="s">
        <v>79</v>
      </c>
      <c r="F871" t="s">
        <v>4310</v>
      </c>
      <c r="G871" t="s">
        <v>152</v>
      </c>
      <c r="H871" t="s">
        <v>174</v>
      </c>
      <c r="I871" t="s">
        <v>154</v>
      </c>
      <c r="J871">
        <v>20010212</v>
      </c>
    </row>
    <row r="872" spans="1:10">
      <c r="A872" t="s">
        <v>196</v>
      </c>
      <c r="B872">
        <v>600467</v>
      </c>
      <c r="C872" t="s">
        <v>197</v>
      </c>
      <c r="D872" t="s">
        <v>198</v>
      </c>
      <c r="E872" t="s">
        <v>23</v>
      </c>
      <c r="F872" t="s">
        <v>199</v>
      </c>
      <c r="G872" t="s">
        <v>152</v>
      </c>
      <c r="H872" t="s">
        <v>174</v>
      </c>
      <c r="I872" t="s">
        <v>154</v>
      </c>
      <c r="J872">
        <v>20040405</v>
      </c>
    </row>
    <row r="873" spans="1:10">
      <c r="A873" t="s">
        <v>1411</v>
      </c>
      <c r="B873">
        <v>600468</v>
      </c>
      <c r="C873" t="s">
        <v>1412</v>
      </c>
      <c r="D873" t="s">
        <v>576</v>
      </c>
      <c r="E873" t="s">
        <v>17</v>
      </c>
      <c r="F873" t="s">
        <v>1413</v>
      </c>
      <c r="G873" t="s">
        <v>152</v>
      </c>
      <c r="H873" t="s">
        <v>174</v>
      </c>
      <c r="I873" t="s">
        <v>154</v>
      </c>
      <c r="J873">
        <v>20010615</v>
      </c>
    </row>
    <row r="874" spans="1:10">
      <c r="A874" t="s">
        <v>1924</v>
      </c>
      <c r="B874">
        <v>600469</v>
      </c>
      <c r="C874" t="s">
        <v>1925</v>
      </c>
      <c r="D874" t="s">
        <v>292</v>
      </c>
      <c r="E874" t="s">
        <v>28</v>
      </c>
      <c r="F874" t="s">
        <v>1926</v>
      </c>
      <c r="G874" t="s">
        <v>152</v>
      </c>
      <c r="H874" t="s">
        <v>174</v>
      </c>
      <c r="I874" t="s">
        <v>154</v>
      </c>
      <c r="J874">
        <v>20031021</v>
      </c>
    </row>
    <row r="875" spans="1:10">
      <c r="A875" t="s">
        <v>513</v>
      </c>
      <c r="B875">
        <v>600470</v>
      </c>
      <c r="C875" t="s">
        <v>514</v>
      </c>
      <c r="D875" t="s">
        <v>160</v>
      </c>
      <c r="E875" t="s">
        <v>47</v>
      </c>
      <c r="F875" t="s">
        <v>515</v>
      </c>
      <c r="G875" t="s">
        <v>152</v>
      </c>
      <c r="H875" t="s">
        <v>174</v>
      </c>
      <c r="I875" t="s">
        <v>154</v>
      </c>
      <c r="J875">
        <v>20040305</v>
      </c>
    </row>
    <row r="876" spans="1:10">
      <c r="A876" t="s">
        <v>6588</v>
      </c>
      <c r="B876">
        <v>600475</v>
      </c>
      <c r="C876" t="s">
        <v>6589</v>
      </c>
      <c r="D876" t="s">
        <v>212</v>
      </c>
      <c r="E876" t="s">
        <v>119</v>
      </c>
      <c r="F876" t="s">
        <v>6590</v>
      </c>
      <c r="G876" t="s">
        <v>152</v>
      </c>
      <c r="H876" t="s">
        <v>174</v>
      </c>
      <c r="I876" t="s">
        <v>154</v>
      </c>
      <c r="J876">
        <v>20030721</v>
      </c>
    </row>
    <row r="877" spans="1:10">
      <c r="A877" t="s">
        <v>5895</v>
      </c>
      <c r="B877">
        <v>600476</v>
      </c>
      <c r="C877" t="s">
        <v>5896</v>
      </c>
      <c r="D877" t="s">
        <v>168</v>
      </c>
      <c r="E877" t="s">
        <v>123</v>
      </c>
      <c r="F877" t="s">
        <v>5897</v>
      </c>
      <c r="G877" t="s">
        <v>152</v>
      </c>
      <c r="H877" t="s">
        <v>174</v>
      </c>
      <c r="I877" t="s">
        <v>154</v>
      </c>
      <c r="J877">
        <v>20031210</v>
      </c>
    </row>
    <row r="878" spans="1:10">
      <c r="A878" t="s">
        <v>905</v>
      </c>
      <c r="B878">
        <v>600477</v>
      </c>
      <c r="C878" t="s">
        <v>906</v>
      </c>
      <c r="D878" t="s">
        <v>423</v>
      </c>
      <c r="E878" t="s">
        <v>34</v>
      </c>
      <c r="F878" t="s">
        <v>907</v>
      </c>
      <c r="G878" t="s">
        <v>152</v>
      </c>
      <c r="H878" t="s">
        <v>174</v>
      </c>
      <c r="I878" t="s">
        <v>154</v>
      </c>
      <c r="J878">
        <v>20031110</v>
      </c>
    </row>
    <row r="879" spans="1:10">
      <c r="A879" t="s">
        <v>1414</v>
      </c>
      <c r="B879">
        <v>600478</v>
      </c>
      <c r="C879" t="s">
        <v>1415</v>
      </c>
      <c r="D879" t="s">
        <v>168</v>
      </c>
      <c r="E879" t="s">
        <v>17</v>
      </c>
      <c r="F879" t="s">
        <v>1416</v>
      </c>
      <c r="G879" t="s">
        <v>152</v>
      </c>
      <c r="H879" t="s">
        <v>174</v>
      </c>
      <c r="I879" t="s">
        <v>154</v>
      </c>
      <c r="J879">
        <v>20030918</v>
      </c>
    </row>
    <row r="880" spans="1:10">
      <c r="A880" t="s">
        <v>3334</v>
      </c>
      <c r="B880">
        <v>600479</v>
      </c>
      <c r="C880" t="s">
        <v>3335</v>
      </c>
      <c r="D880" t="s">
        <v>168</v>
      </c>
      <c r="E880" t="s">
        <v>67</v>
      </c>
      <c r="F880" t="s">
        <v>3336</v>
      </c>
      <c r="G880" t="s">
        <v>152</v>
      </c>
      <c r="H880" t="s">
        <v>174</v>
      </c>
      <c r="I880" t="s">
        <v>154</v>
      </c>
      <c r="J880">
        <v>20040312</v>
      </c>
    </row>
    <row r="881" spans="1:10">
      <c r="A881" t="s">
        <v>1927</v>
      </c>
      <c r="B881">
        <v>600480</v>
      </c>
      <c r="C881" t="s">
        <v>1928</v>
      </c>
      <c r="D881" t="s">
        <v>279</v>
      </c>
      <c r="E881" t="s">
        <v>28</v>
      </c>
      <c r="F881" t="s">
        <v>1929</v>
      </c>
      <c r="G881" t="s">
        <v>152</v>
      </c>
      <c r="H881" t="s">
        <v>174</v>
      </c>
      <c r="I881" t="s">
        <v>154</v>
      </c>
      <c r="J881">
        <v>20030815</v>
      </c>
    </row>
    <row r="882" spans="1:10">
      <c r="A882" t="s">
        <v>5544</v>
      </c>
      <c r="B882">
        <v>600481</v>
      </c>
      <c r="C882" t="s">
        <v>5545</v>
      </c>
      <c r="D882" t="s">
        <v>212</v>
      </c>
      <c r="E882" t="s">
        <v>135</v>
      </c>
      <c r="F882" t="s">
        <v>5546</v>
      </c>
      <c r="G882" t="s">
        <v>152</v>
      </c>
      <c r="H882" t="s">
        <v>174</v>
      </c>
      <c r="I882" t="s">
        <v>154</v>
      </c>
      <c r="J882">
        <v>20030422</v>
      </c>
    </row>
    <row r="883" spans="1:10">
      <c r="A883" t="s">
        <v>3916</v>
      </c>
      <c r="B883">
        <v>600482</v>
      </c>
      <c r="C883" t="s">
        <v>3917</v>
      </c>
      <c r="D883" t="s">
        <v>279</v>
      </c>
      <c r="E883" t="s">
        <v>66</v>
      </c>
      <c r="F883" t="s">
        <v>3918</v>
      </c>
      <c r="G883" t="s">
        <v>152</v>
      </c>
      <c r="H883" t="s">
        <v>174</v>
      </c>
      <c r="I883" t="s">
        <v>154</v>
      </c>
      <c r="J883">
        <v>20040714</v>
      </c>
    </row>
    <row r="884" spans="1:10">
      <c r="A884" t="s">
        <v>3571</v>
      </c>
      <c r="B884">
        <v>600483</v>
      </c>
      <c r="C884" t="s">
        <v>3572</v>
      </c>
      <c r="D884" t="s">
        <v>150</v>
      </c>
      <c r="E884" t="s">
        <v>77</v>
      </c>
      <c r="F884" t="s">
        <v>3573</v>
      </c>
      <c r="G884" t="s">
        <v>152</v>
      </c>
      <c r="H884" t="s">
        <v>174</v>
      </c>
      <c r="I884" t="s">
        <v>154</v>
      </c>
      <c r="J884">
        <v>20040531</v>
      </c>
    </row>
    <row r="885" spans="1:10">
      <c r="A885" t="s">
        <v>516</v>
      </c>
      <c r="B885">
        <v>600486</v>
      </c>
      <c r="C885" t="s">
        <v>517</v>
      </c>
      <c r="D885" t="s">
        <v>212</v>
      </c>
      <c r="E885" t="s">
        <v>47</v>
      </c>
      <c r="F885" t="s">
        <v>518</v>
      </c>
      <c r="G885" t="s">
        <v>152</v>
      </c>
      <c r="H885" t="s">
        <v>174</v>
      </c>
      <c r="I885" t="s">
        <v>154</v>
      </c>
      <c r="J885">
        <v>20020425</v>
      </c>
    </row>
    <row r="886" spans="1:10">
      <c r="A886" t="s">
        <v>6267</v>
      </c>
      <c r="B886">
        <v>600487</v>
      </c>
      <c r="C886" t="s">
        <v>6268</v>
      </c>
      <c r="D886" t="s">
        <v>212</v>
      </c>
      <c r="E886" t="s">
        <v>125</v>
      </c>
      <c r="F886" t="s">
        <v>6269</v>
      </c>
      <c r="G886" t="s">
        <v>152</v>
      </c>
      <c r="H886" t="s">
        <v>174</v>
      </c>
      <c r="I886" t="s">
        <v>154</v>
      </c>
      <c r="J886">
        <v>20030822</v>
      </c>
    </row>
    <row r="887" spans="1:10">
      <c r="A887" t="s">
        <v>3037</v>
      </c>
      <c r="B887">
        <v>600488</v>
      </c>
      <c r="C887" t="s">
        <v>3038</v>
      </c>
      <c r="D887" t="s">
        <v>576</v>
      </c>
      <c r="E887" t="s">
        <v>81</v>
      </c>
      <c r="F887" t="s">
        <v>3039</v>
      </c>
      <c r="G887" t="s">
        <v>152</v>
      </c>
      <c r="H887" t="s">
        <v>174</v>
      </c>
      <c r="I887" t="s">
        <v>154</v>
      </c>
      <c r="J887">
        <v>20010618</v>
      </c>
    </row>
    <row r="888" spans="1:10">
      <c r="A888" t="s">
        <v>1081</v>
      </c>
      <c r="B888">
        <v>600489</v>
      </c>
      <c r="C888" t="s">
        <v>1082</v>
      </c>
      <c r="D888" t="s">
        <v>164</v>
      </c>
      <c r="E888" t="s">
        <v>48</v>
      </c>
      <c r="F888" t="s">
        <v>1083</v>
      </c>
      <c r="G888" t="s">
        <v>152</v>
      </c>
      <c r="H888" t="s">
        <v>174</v>
      </c>
      <c r="I888" t="s">
        <v>154</v>
      </c>
      <c r="J888">
        <v>20030814</v>
      </c>
    </row>
    <row r="889" spans="1:10">
      <c r="A889" t="s">
        <v>1084</v>
      </c>
      <c r="B889">
        <v>600490</v>
      </c>
      <c r="C889" t="s">
        <v>1085</v>
      </c>
      <c r="D889" t="s">
        <v>172</v>
      </c>
      <c r="E889" t="s">
        <v>26</v>
      </c>
      <c r="F889" t="s">
        <v>1086</v>
      </c>
      <c r="G889" t="s">
        <v>152</v>
      </c>
      <c r="H889" t="s">
        <v>174</v>
      </c>
      <c r="I889" t="s">
        <v>154</v>
      </c>
      <c r="J889">
        <v>20030626</v>
      </c>
    </row>
    <row r="890" spans="1:10">
      <c r="A890" t="s">
        <v>5256</v>
      </c>
      <c r="B890">
        <v>600491</v>
      </c>
      <c r="C890" t="s">
        <v>5257</v>
      </c>
      <c r="D890" t="s">
        <v>423</v>
      </c>
      <c r="E890" t="s">
        <v>121</v>
      </c>
      <c r="F890" t="s">
        <v>5258</v>
      </c>
      <c r="G890" t="s">
        <v>152</v>
      </c>
      <c r="H890" t="s">
        <v>174</v>
      </c>
      <c r="I890" t="s">
        <v>154</v>
      </c>
      <c r="J890">
        <v>20040524</v>
      </c>
    </row>
    <row r="891" spans="1:10">
      <c r="A891" t="s">
        <v>519</v>
      </c>
      <c r="B891">
        <v>600493</v>
      </c>
      <c r="C891" t="s">
        <v>520</v>
      </c>
      <c r="D891" t="s">
        <v>150</v>
      </c>
      <c r="E891" t="s">
        <v>33</v>
      </c>
      <c r="F891" t="s">
        <v>521</v>
      </c>
      <c r="G891" t="s">
        <v>152</v>
      </c>
      <c r="H891" t="s">
        <v>174</v>
      </c>
      <c r="I891" t="s">
        <v>154</v>
      </c>
      <c r="J891">
        <v>20040421</v>
      </c>
    </row>
    <row r="892" spans="1:10">
      <c r="A892" t="s">
        <v>5547</v>
      </c>
      <c r="B892">
        <v>600495</v>
      </c>
      <c r="C892" t="s">
        <v>5548</v>
      </c>
      <c r="D892" t="s">
        <v>557</v>
      </c>
      <c r="E892" t="s">
        <v>128</v>
      </c>
      <c r="F892" t="s">
        <v>5549</v>
      </c>
      <c r="G892" t="s">
        <v>152</v>
      </c>
      <c r="H892" t="s">
        <v>174</v>
      </c>
      <c r="I892" t="s">
        <v>154</v>
      </c>
      <c r="J892">
        <v>20040526</v>
      </c>
    </row>
    <row r="893" spans="1:10">
      <c r="A893" t="s">
        <v>908</v>
      </c>
      <c r="B893">
        <v>600496</v>
      </c>
      <c r="C893" t="s">
        <v>909</v>
      </c>
      <c r="D893" t="s">
        <v>160</v>
      </c>
      <c r="E893" t="s">
        <v>34</v>
      </c>
      <c r="F893" t="s">
        <v>910</v>
      </c>
      <c r="G893" t="s">
        <v>152</v>
      </c>
      <c r="H893" t="s">
        <v>174</v>
      </c>
      <c r="I893" t="s">
        <v>154</v>
      </c>
      <c r="J893">
        <v>20020605</v>
      </c>
    </row>
    <row r="894" spans="1:10">
      <c r="A894" t="s">
        <v>1087</v>
      </c>
      <c r="B894">
        <v>600497</v>
      </c>
      <c r="C894" t="s">
        <v>1088</v>
      </c>
      <c r="D894" t="s">
        <v>184</v>
      </c>
      <c r="E894" t="s">
        <v>35</v>
      </c>
      <c r="F894" t="s">
        <v>1089</v>
      </c>
      <c r="G894" t="s">
        <v>152</v>
      </c>
      <c r="H894" t="s">
        <v>174</v>
      </c>
      <c r="I894" t="s">
        <v>154</v>
      </c>
      <c r="J894">
        <v>20040420</v>
      </c>
    </row>
    <row r="895" spans="1:10">
      <c r="A895" t="s">
        <v>6270</v>
      </c>
      <c r="B895">
        <v>600498</v>
      </c>
      <c r="C895" t="s">
        <v>6271</v>
      </c>
      <c r="D895" t="s">
        <v>316</v>
      </c>
      <c r="E895" t="s">
        <v>125</v>
      </c>
      <c r="F895" t="s">
        <v>6272</v>
      </c>
      <c r="G895" t="s">
        <v>152</v>
      </c>
      <c r="H895" t="s">
        <v>174</v>
      </c>
      <c r="I895" t="s">
        <v>154</v>
      </c>
      <c r="J895">
        <v>20010823</v>
      </c>
    </row>
    <row r="896" spans="1:10">
      <c r="A896" t="s">
        <v>5550</v>
      </c>
      <c r="B896">
        <v>600499</v>
      </c>
      <c r="C896" t="s">
        <v>5551</v>
      </c>
      <c r="D896" t="s">
        <v>223</v>
      </c>
      <c r="E896" t="s">
        <v>122</v>
      </c>
      <c r="F896" t="s">
        <v>5552</v>
      </c>
      <c r="G896" t="s">
        <v>152</v>
      </c>
      <c r="H896" t="s">
        <v>174</v>
      </c>
      <c r="I896" t="s">
        <v>154</v>
      </c>
      <c r="J896">
        <v>20021010</v>
      </c>
    </row>
    <row r="897" spans="1:10">
      <c r="A897" t="s">
        <v>522</v>
      </c>
      <c r="B897">
        <v>600500</v>
      </c>
      <c r="C897" t="s">
        <v>523</v>
      </c>
      <c r="D897" t="s">
        <v>172</v>
      </c>
      <c r="E897" t="s">
        <v>40</v>
      </c>
      <c r="F897" t="s">
        <v>524</v>
      </c>
      <c r="G897" t="s">
        <v>152</v>
      </c>
      <c r="H897" t="s">
        <v>174</v>
      </c>
      <c r="I897" t="s">
        <v>154</v>
      </c>
      <c r="J897">
        <v>20000301</v>
      </c>
    </row>
    <row r="898" spans="1:10">
      <c r="A898" t="s">
        <v>1930</v>
      </c>
      <c r="B898">
        <v>600501</v>
      </c>
      <c r="C898" t="s">
        <v>1931</v>
      </c>
      <c r="D898" t="s">
        <v>212</v>
      </c>
      <c r="E898" t="s">
        <v>28</v>
      </c>
      <c r="F898" t="s">
        <v>1932</v>
      </c>
      <c r="G898" t="s">
        <v>152</v>
      </c>
      <c r="H898" t="s">
        <v>174</v>
      </c>
      <c r="I898" t="s">
        <v>154</v>
      </c>
      <c r="J898">
        <v>20010615</v>
      </c>
    </row>
    <row r="899" spans="1:10">
      <c r="A899" t="s">
        <v>5259</v>
      </c>
      <c r="B899">
        <v>600502</v>
      </c>
      <c r="C899" t="s">
        <v>5260</v>
      </c>
      <c r="D899" t="s">
        <v>160</v>
      </c>
      <c r="E899" t="s">
        <v>121</v>
      </c>
      <c r="F899" t="s">
        <v>5261</v>
      </c>
      <c r="G899" t="s">
        <v>152</v>
      </c>
      <c r="H899" t="s">
        <v>174</v>
      </c>
      <c r="I899" t="s">
        <v>154</v>
      </c>
      <c r="J899">
        <v>20030415</v>
      </c>
    </row>
    <row r="900" spans="1:10">
      <c r="A900" t="s">
        <v>4311</v>
      </c>
      <c r="B900">
        <v>600503</v>
      </c>
      <c r="C900" t="s">
        <v>4312</v>
      </c>
      <c r="D900" t="s">
        <v>172</v>
      </c>
      <c r="E900" t="s">
        <v>79</v>
      </c>
      <c r="F900" t="s">
        <v>4313</v>
      </c>
      <c r="G900" t="s">
        <v>152</v>
      </c>
      <c r="H900" t="s">
        <v>174</v>
      </c>
      <c r="I900" t="s">
        <v>154</v>
      </c>
      <c r="J900">
        <v>20020709</v>
      </c>
    </row>
    <row r="901" spans="1:10">
      <c r="A901" t="s">
        <v>3574</v>
      </c>
      <c r="B901">
        <v>600505</v>
      </c>
      <c r="C901" t="s">
        <v>3575</v>
      </c>
      <c r="D901" t="s">
        <v>219</v>
      </c>
      <c r="E901" t="s">
        <v>68</v>
      </c>
      <c r="F901" t="s">
        <v>3576</v>
      </c>
      <c r="G901" t="s">
        <v>152</v>
      </c>
      <c r="H901" t="s">
        <v>174</v>
      </c>
      <c r="I901" t="s">
        <v>154</v>
      </c>
      <c r="J901">
        <v>20020530</v>
      </c>
    </row>
    <row r="902" spans="1:10">
      <c r="A902" t="s">
        <v>525</v>
      </c>
      <c r="B902">
        <v>600506</v>
      </c>
      <c r="C902" t="s">
        <v>526</v>
      </c>
      <c r="D902" t="s">
        <v>202</v>
      </c>
      <c r="E902" t="s">
        <v>14</v>
      </c>
      <c r="F902" t="s">
        <v>527</v>
      </c>
      <c r="G902" t="s">
        <v>152</v>
      </c>
      <c r="H902" t="s">
        <v>174</v>
      </c>
      <c r="I902" t="s">
        <v>154</v>
      </c>
      <c r="J902">
        <v>20011226</v>
      </c>
    </row>
    <row r="903" spans="1:10">
      <c r="A903" t="s">
        <v>911</v>
      </c>
      <c r="B903">
        <v>600507</v>
      </c>
      <c r="C903" t="s">
        <v>912</v>
      </c>
      <c r="D903" t="s">
        <v>406</v>
      </c>
      <c r="E903" t="s">
        <v>15</v>
      </c>
      <c r="F903" t="s">
        <v>913</v>
      </c>
      <c r="G903" t="s">
        <v>152</v>
      </c>
      <c r="H903" t="s">
        <v>174</v>
      </c>
      <c r="I903" t="s">
        <v>154</v>
      </c>
      <c r="J903">
        <v>20030930</v>
      </c>
    </row>
    <row r="904" spans="1:10">
      <c r="A904" t="s">
        <v>6393</v>
      </c>
      <c r="B904">
        <v>600508</v>
      </c>
      <c r="C904" t="s">
        <v>6394</v>
      </c>
      <c r="D904" t="s">
        <v>172</v>
      </c>
      <c r="E904" t="s">
        <v>126</v>
      </c>
      <c r="F904" t="s">
        <v>6395</v>
      </c>
      <c r="G904" t="s">
        <v>152</v>
      </c>
      <c r="H904" t="s">
        <v>174</v>
      </c>
      <c r="I904" t="s">
        <v>154</v>
      </c>
      <c r="J904">
        <v>20010829</v>
      </c>
    </row>
    <row r="905" spans="1:10">
      <c r="A905" t="s">
        <v>3577</v>
      </c>
      <c r="B905">
        <v>600509</v>
      </c>
      <c r="C905" t="s">
        <v>3578</v>
      </c>
      <c r="D905" t="s">
        <v>202</v>
      </c>
      <c r="E905" t="s">
        <v>77</v>
      </c>
      <c r="F905" t="s">
        <v>3579</v>
      </c>
      <c r="G905" t="s">
        <v>152</v>
      </c>
      <c r="H905" t="s">
        <v>174</v>
      </c>
      <c r="I905" t="s">
        <v>154</v>
      </c>
      <c r="J905">
        <v>20020228</v>
      </c>
    </row>
    <row r="906" spans="1:10">
      <c r="A906" t="s">
        <v>4314</v>
      </c>
      <c r="B906">
        <v>600510</v>
      </c>
      <c r="C906" t="s">
        <v>4315</v>
      </c>
      <c r="D906" t="s">
        <v>212</v>
      </c>
      <c r="E906" t="s">
        <v>84</v>
      </c>
      <c r="F906" t="s">
        <v>4316</v>
      </c>
      <c r="G906" t="s">
        <v>152</v>
      </c>
      <c r="H906" t="s">
        <v>174</v>
      </c>
      <c r="I906" t="s">
        <v>154</v>
      </c>
      <c r="J906">
        <v>20020618</v>
      </c>
    </row>
    <row r="907" spans="1:10">
      <c r="A907" t="s">
        <v>3223</v>
      </c>
      <c r="B907">
        <v>600511</v>
      </c>
      <c r="C907" t="s">
        <v>3224</v>
      </c>
      <c r="D907" t="s">
        <v>164</v>
      </c>
      <c r="E907" t="s">
        <v>95</v>
      </c>
      <c r="F907" t="s">
        <v>3225</v>
      </c>
      <c r="G907" t="s">
        <v>152</v>
      </c>
      <c r="H907" t="s">
        <v>174</v>
      </c>
      <c r="I907" t="s">
        <v>154</v>
      </c>
      <c r="J907">
        <v>20021127</v>
      </c>
    </row>
    <row r="908" spans="1:10">
      <c r="A908" t="s">
        <v>5262</v>
      </c>
      <c r="B908">
        <v>600512</v>
      </c>
      <c r="C908" t="s">
        <v>5263</v>
      </c>
      <c r="D908" t="s">
        <v>423</v>
      </c>
      <c r="E908" t="s">
        <v>121</v>
      </c>
      <c r="F908" t="s">
        <v>5264</v>
      </c>
      <c r="G908" t="s">
        <v>152</v>
      </c>
      <c r="H908" t="s">
        <v>174</v>
      </c>
      <c r="I908" t="s">
        <v>154</v>
      </c>
      <c r="J908">
        <v>20021226</v>
      </c>
    </row>
    <row r="909" spans="1:10">
      <c r="A909" t="s">
        <v>2995</v>
      </c>
      <c r="B909">
        <v>600513</v>
      </c>
      <c r="C909" t="s">
        <v>2996</v>
      </c>
      <c r="D909" t="s">
        <v>212</v>
      </c>
      <c r="E909" t="s">
        <v>81</v>
      </c>
      <c r="F909" t="s">
        <v>2997</v>
      </c>
      <c r="G909" t="s">
        <v>152</v>
      </c>
      <c r="H909" t="s">
        <v>174</v>
      </c>
      <c r="I909" t="s">
        <v>154</v>
      </c>
      <c r="J909">
        <v>20030319</v>
      </c>
    </row>
    <row r="910" spans="1:10">
      <c r="A910" t="s">
        <v>3919</v>
      </c>
      <c r="B910">
        <v>600515</v>
      </c>
      <c r="C910" t="s">
        <v>3920</v>
      </c>
      <c r="D910" t="s">
        <v>250</v>
      </c>
      <c r="E910" t="s">
        <v>101</v>
      </c>
      <c r="F910" t="s">
        <v>3921</v>
      </c>
      <c r="G910" t="s">
        <v>152</v>
      </c>
      <c r="H910" t="s">
        <v>174</v>
      </c>
      <c r="I910" t="s">
        <v>154</v>
      </c>
      <c r="J910">
        <v>20020806</v>
      </c>
    </row>
    <row r="911" spans="1:10">
      <c r="A911" t="s">
        <v>1090</v>
      </c>
      <c r="B911">
        <v>600516</v>
      </c>
      <c r="C911" t="s">
        <v>1091</v>
      </c>
      <c r="D911" t="s">
        <v>177</v>
      </c>
      <c r="E911" t="s">
        <v>52</v>
      </c>
      <c r="F911" t="s">
        <v>1092</v>
      </c>
      <c r="G911" t="s">
        <v>152</v>
      </c>
      <c r="H911" t="s">
        <v>174</v>
      </c>
      <c r="I911" t="s">
        <v>154</v>
      </c>
      <c r="J911">
        <v>20020830</v>
      </c>
    </row>
    <row r="912" spans="1:10">
      <c r="A912" t="s">
        <v>4872</v>
      </c>
      <c r="B912">
        <v>600517</v>
      </c>
      <c r="C912" t="s">
        <v>4873</v>
      </c>
      <c r="D912" t="s">
        <v>172</v>
      </c>
      <c r="E912" t="s">
        <v>73</v>
      </c>
      <c r="F912" t="s">
        <v>4874</v>
      </c>
      <c r="G912" t="s">
        <v>152</v>
      </c>
      <c r="H912" t="s">
        <v>174</v>
      </c>
      <c r="I912" t="s">
        <v>154</v>
      </c>
      <c r="J912">
        <v>20031010</v>
      </c>
    </row>
    <row r="913" spans="1:10">
      <c r="A913" t="s">
        <v>3295</v>
      </c>
      <c r="B913">
        <v>600518</v>
      </c>
      <c r="C913" t="s">
        <v>3296</v>
      </c>
      <c r="D913" t="s">
        <v>223</v>
      </c>
      <c r="E913" t="s">
        <v>67</v>
      </c>
      <c r="F913" t="s">
        <v>3297</v>
      </c>
      <c r="G913" t="s">
        <v>152</v>
      </c>
      <c r="H913" t="s">
        <v>174</v>
      </c>
      <c r="I913" t="s">
        <v>154</v>
      </c>
      <c r="J913">
        <v>20010319</v>
      </c>
    </row>
    <row r="914" spans="1:10">
      <c r="A914" t="s">
        <v>2443</v>
      </c>
      <c r="B914">
        <v>600519</v>
      </c>
      <c r="C914" t="s">
        <v>2444</v>
      </c>
      <c r="D914" t="s">
        <v>463</v>
      </c>
      <c r="E914" t="s">
        <v>12</v>
      </c>
      <c r="F914" t="s">
        <v>2445</v>
      </c>
      <c r="G914" t="s">
        <v>152</v>
      </c>
      <c r="H914" t="s">
        <v>174</v>
      </c>
      <c r="I914" t="s">
        <v>154</v>
      </c>
      <c r="J914">
        <v>20010827</v>
      </c>
    </row>
    <row r="915" spans="1:10">
      <c r="A915" t="s">
        <v>1417</v>
      </c>
      <c r="B915">
        <v>600520</v>
      </c>
      <c r="C915" t="s">
        <v>1418</v>
      </c>
      <c r="D915" t="s">
        <v>160</v>
      </c>
      <c r="E915" t="s">
        <v>31</v>
      </c>
      <c r="F915" t="s">
        <v>1419</v>
      </c>
      <c r="G915" t="s">
        <v>152</v>
      </c>
      <c r="H915" t="s">
        <v>174</v>
      </c>
      <c r="I915" t="s">
        <v>154</v>
      </c>
      <c r="J915">
        <v>20020108</v>
      </c>
    </row>
    <row r="916" spans="1:10">
      <c r="A916" t="s">
        <v>3061</v>
      </c>
      <c r="B916">
        <v>600521</v>
      </c>
      <c r="C916" t="s">
        <v>3062</v>
      </c>
      <c r="D916" t="s">
        <v>423</v>
      </c>
      <c r="E916" t="s">
        <v>81</v>
      </c>
      <c r="F916" t="s">
        <v>3063</v>
      </c>
      <c r="G916" t="s">
        <v>152</v>
      </c>
      <c r="H916" t="s">
        <v>174</v>
      </c>
      <c r="I916" t="s">
        <v>154</v>
      </c>
      <c r="J916">
        <v>20030304</v>
      </c>
    </row>
    <row r="917" spans="1:10">
      <c r="A917" t="s">
        <v>6273</v>
      </c>
      <c r="B917">
        <v>600522</v>
      </c>
      <c r="C917" t="s">
        <v>6274</v>
      </c>
      <c r="D917" t="s">
        <v>212</v>
      </c>
      <c r="E917" t="s">
        <v>125</v>
      </c>
      <c r="F917" t="s">
        <v>6275</v>
      </c>
      <c r="G917" t="s">
        <v>152</v>
      </c>
      <c r="H917" t="s">
        <v>174</v>
      </c>
      <c r="I917" t="s">
        <v>154</v>
      </c>
      <c r="J917">
        <v>20021024</v>
      </c>
    </row>
    <row r="918" spans="1:10">
      <c r="A918" t="s">
        <v>1933</v>
      </c>
      <c r="B918">
        <v>600523</v>
      </c>
      <c r="C918" t="s">
        <v>1934</v>
      </c>
      <c r="D918" t="s">
        <v>463</v>
      </c>
      <c r="E918" t="s">
        <v>28</v>
      </c>
      <c r="F918" t="s">
        <v>1935</v>
      </c>
      <c r="G918" t="s">
        <v>152</v>
      </c>
      <c r="H918" t="s">
        <v>174</v>
      </c>
      <c r="I918" t="s">
        <v>154</v>
      </c>
      <c r="J918">
        <v>20011227</v>
      </c>
    </row>
    <row r="919" spans="1:10">
      <c r="A919" t="s">
        <v>1420</v>
      </c>
      <c r="B919">
        <v>600525</v>
      </c>
      <c r="C919" t="s">
        <v>1421</v>
      </c>
      <c r="D919" t="s">
        <v>243</v>
      </c>
      <c r="E919" t="s">
        <v>17</v>
      </c>
      <c r="F919" t="s">
        <v>1422</v>
      </c>
      <c r="G919" t="s">
        <v>152</v>
      </c>
      <c r="H919" t="s">
        <v>174</v>
      </c>
      <c r="I919" t="s">
        <v>154</v>
      </c>
      <c r="J919">
        <v>20021202</v>
      </c>
    </row>
    <row r="920" spans="1:10">
      <c r="A920" t="s">
        <v>6591</v>
      </c>
      <c r="B920">
        <v>600526</v>
      </c>
      <c r="C920" t="s">
        <v>6592</v>
      </c>
      <c r="D920" t="s">
        <v>423</v>
      </c>
      <c r="E920" t="s">
        <v>119</v>
      </c>
      <c r="F920" t="s">
        <v>6593</v>
      </c>
      <c r="G920" t="s">
        <v>152</v>
      </c>
      <c r="H920" t="s">
        <v>174</v>
      </c>
      <c r="I920" t="s">
        <v>154</v>
      </c>
      <c r="J920">
        <v>20020722</v>
      </c>
    </row>
    <row r="921" spans="1:10">
      <c r="A921" t="s">
        <v>528</v>
      </c>
      <c r="B921">
        <v>600527</v>
      </c>
      <c r="C921" t="s">
        <v>529</v>
      </c>
      <c r="D921" t="s">
        <v>212</v>
      </c>
      <c r="E921" t="s">
        <v>24</v>
      </c>
      <c r="F921" t="s">
        <v>530</v>
      </c>
      <c r="G921" t="s">
        <v>152</v>
      </c>
      <c r="H921" t="s">
        <v>174</v>
      </c>
      <c r="I921" t="s">
        <v>154</v>
      </c>
      <c r="J921">
        <v>20031127</v>
      </c>
    </row>
    <row r="922" spans="1:10">
      <c r="A922" t="s">
        <v>5553</v>
      </c>
      <c r="B922">
        <v>600528</v>
      </c>
      <c r="C922" t="s">
        <v>5554</v>
      </c>
      <c r="D922" t="s">
        <v>164</v>
      </c>
      <c r="E922" t="s">
        <v>128</v>
      </c>
      <c r="F922" t="s">
        <v>5555</v>
      </c>
      <c r="G922" t="s">
        <v>152</v>
      </c>
      <c r="H922" t="s">
        <v>174</v>
      </c>
      <c r="I922" t="s">
        <v>154</v>
      </c>
      <c r="J922">
        <v>20010528</v>
      </c>
    </row>
    <row r="923" spans="1:10">
      <c r="A923" t="s">
        <v>3172</v>
      </c>
      <c r="B923">
        <v>600529</v>
      </c>
      <c r="C923" t="s">
        <v>3173</v>
      </c>
      <c r="D923" t="s">
        <v>198</v>
      </c>
      <c r="E923" t="s">
        <v>90</v>
      </c>
      <c r="F923" t="s">
        <v>3174</v>
      </c>
      <c r="G923" t="s">
        <v>152</v>
      </c>
      <c r="H923" t="s">
        <v>174</v>
      </c>
      <c r="I923" t="s">
        <v>154</v>
      </c>
      <c r="J923">
        <v>20020603</v>
      </c>
    </row>
    <row r="924" spans="1:10">
      <c r="A924" t="s">
        <v>3184</v>
      </c>
      <c r="B924">
        <v>600530</v>
      </c>
      <c r="C924" t="s">
        <v>3185</v>
      </c>
      <c r="D924" t="s">
        <v>172</v>
      </c>
      <c r="E924" t="s">
        <v>90</v>
      </c>
      <c r="F924" t="s">
        <v>3186</v>
      </c>
      <c r="G924" t="s">
        <v>152</v>
      </c>
      <c r="H924" t="s">
        <v>174</v>
      </c>
      <c r="I924" t="s">
        <v>154</v>
      </c>
      <c r="J924">
        <v>20010702</v>
      </c>
    </row>
    <row r="925" spans="1:10">
      <c r="A925" t="s">
        <v>1093</v>
      </c>
      <c r="B925">
        <v>600531</v>
      </c>
      <c r="C925" t="s">
        <v>1094</v>
      </c>
      <c r="D925" t="s">
        <v>292</v>
      </c>
      <c r="E925" t="s">
        <v>35</v>
      </c>
      <c r="F925" t="s">
        <v>1095</v>
      </c>
      <c r="G925" t="s">
        <v>152</v>
      </c>
      <c r="H925" t="s">
        <v>174</v>
      </c>
      <c r="I925" t="s">
        <v>154</v>
      </c>
      <c r="J925">
        <v>20020730</v>
      </c>
    </row>
    <row r="926" spans="1:10">
      <c r="A926" t="s">
        <v>3187</v>
      </c>
      <c r="B926">
        <v>600532</v>
      </c>
      <c r="C926" t="s">
        <v>3188</v>
      </c>
      <c r="D926" t="s">
        <v>172</v>
      </c>
      <c r="E926" t="s">
        <v>90</v>
      </c>
      <c r="F926" t="s">
        <v>3189</v>
      </c>
      <c r="G926" t="s">
        <v>152</v>
      </c>
      <c r="H926" t="s">
        <v>174</v>
      </c>
      <c r="I926" t="s">
        <v>154</v>
      </c>
      <c r="J926">
        <v>20021031</v>
      </c>
    </row>
    <row r="927" spans="1:10">
      <c r="A927" t="s">
        <v>4317</v>
      </c>
      <c r="B927">
        <v>600533</v>
      </c>
      <c r="C927" t="s">
        <v>4318</v>
      </c>
      <c r="D927" t="s">
        <v>212</v>
      </c>
      <c r="E927" t="s">
        <v>79</v>
      </c>
      <c r="F927" t="s">
        <v>4319</v>
      </c>
      <c r="G927" t="s">
        <v>152</v>
      </c>
      <c r="H927" t="s">
        <v>174</v>
      </c>
      <c r="I927" t="s">
        <v>154</v>
      </c>
      <c r="J927">
        <v>20020328</v>
      </c>
    </row>
    <row r="928" spans="1:10">
      <c r="A928" t="s">
        <v>3382</v>
      </c>
      <c r="B928">
        <v>600535</v>
      </c>
      <c r="C928" t="s">
        <v>3383</v>
      </c>
      <c r="D928" t="s">
        <v>576</v>
      </c>
      <c r="E928" t="s">
        <v>67</v>
      </c>
      <c r="F928" t="s">
        <v>3384</v>
      </c>
      <c r="G928" t="s">
        <v>152</v>
      </c>
      <c r="H928" t="s">
        <v>174</v>
      </c>
      <c r="I928" t="s">
        <v>154</v>
      </c>
      <c r="J928">
        <v>20020823</v>
      </c>
    </row>
    <row r="929" spans="1:10">
      <c r="A929" t="s">
        <v>5898</v>
      </c>
      <c r="B929">
        <v>600536</v>
      </c>
      <c r="C929" t="s">
        <v>5899</v>
      </c>
      <c r="D929" t="s">
        <v>164</v>
      </c>
      <c r="E929" t="s">
        <v>123</v>
      </c>
      <c r="F929" t="s">
        <v>5900</v>
      </c>
      <c r="G929" t="s">
        <v>152</v>
      </c>
      <c r="H929" t="s">
        <v>174</v>
      </c>
      <c r="I929" t="s">
        <v>154</v>
      </c>
      <c r="J929">
        <v>20020517</v>
      </c>
    </row>
    <row r="930" spans="1:10">
      <c r="A930" t="s">
        <v>1423</v>
      </c>
      <c r="B930">
        <v>600537</v>
      </c>
      <c r="C930" t="s">
        <v>1424</v>
      </c>
      <c r="D930" t="s">
        <v>423</v>
      </c>
      <c r="E930" t="s">
        <v>17</v>
      </c>
      <c r="F930" t="s">
        <v>1425</v>
      </c>
      <c r="G930" t="s">
        <v>152</v>
      </c>
      <c r="H930" t="s">
        <v>174</v>
      </c>
      <c r="I930" t="s">
        <v>154</v>
      </c>
      <c r="J930">
        <v>20030123</v>
      </c>
    </row>
    <row r="931" spans="1:10">
      <c r="A931" t="s">
        <v>3229</v>
      </c>
      <c r="B931">
        <v>600538</v>
      </c>
      <c r="C931" t="s">
        <v>3230</v>
      </c>
      <c r="D931" t="s">
        <v>345</v>
      </c>
      <c r="E931" t="s">
        <v>95</v>
      </c>
      <c r="F931" t="s">
        <v>3231</v>
      </c>
      <c r="G931" t="s">
        <v>152</v>
      </c>
      <c r="H931" t="s">
        <v>174</v>
      </c>
      <c r="I931" t="s">
        <v>154</v>
      </c>
      <c r="J931">
        <v>20030114</v>
      </c>
    </row>
    <row r="932" spans="1:10">
      <c r="A932" t="s">
        <v>5901</v>
      </c>
      <c r="B932">
        <v>600539</v>
      </c>
      <c r="C932" t="s">
        <v>5902</v>
      </c>
      <c r="D932" t="s">
        <v>557</v>
      </c>
      <c r="E932" t="s">
        <v>116</v>
      </c>
      <c r="F932" t="s">
        <v>5903</v>
      </c>
      <c r="G932" t="s">
        <v>152</v>
      </c>
      <c r="H932" t="s">
        <v>174</v>
      </c>
      <c r="I932" t="s">
        <v>154</v>
      </c>
      <c r="J932">
        <v>20010824</v>
      </c>
    </row>
    <row r="933" spans="1:10">
      <c r="A933" t="s">
        <v>200</v>
      </c>
      <c r="B933">
        <v>600540</v>
      </c>
      <c r="C933" t="s">
        <v>201</v>
      </c>
      <c r="D933" t="s">
        <v>202</v>
      </c>
      <c r="E933" t="s">
        <v>13</v>
      </c>
      <c r="F933" t="s">
        <v>203</v>
      </c>
      <c r="G933" t="s">
        <v>152</v>
      </c>
      <c r="H933" t="s">
        <v>174</v>
      </c>
      <c r="I933" t="s">
        <v>154</v>
      </c>
      <c r="J933">
        <v>20040107</v>
      </c>
    </row>
    <row r="934" spans="1:10">
      <c r="A934" t="s">
        <v>2446</v>
      </c>
      <c r="B934">
        <v>600543</v>
      </c>
      <c r="C934" t="s">
        <v>2447</v>
      </c>
      <c r="D934" t="s">
        <v>177</v>
      </c>
      <c r="E934" t="s">
        <v>44</v>
      </c>
      <c r="F934" t="s">
        <v>2448</v>
      </c>
      <c r="G934" t="s">
        <v>152</v>
      </c>
      <c r="H934" t="s">
        <v>174</v>
      </c>
      <c r="I934" t="s">
        <v>154</v>
      </c>
      <c r="J934">
        <v>20040324</v>
      </c>
    </row>
    <row r="935" spans="1:10">
      <c r="A935" t="s">
        <v>5556</v>
      </c>
      <c r="B935">
        <v>600545</v>
      </c>
      <c r="C935" t="s">
        <v>5557</v>
      </c>
      <c r="D935" t="s">
        <v>202</v>
      </c>
      <c r="E935" t="s">
        <v>100</v>
      </c>
      <c r="F935" t="s">
        <v>5558</v>
      </c>
      <c r="G935" t="s">
        <v>152</v>
      </c>
      <c r="H935" t="s">
        <v>174</v>
      </c>
      <c r="I935" t="s">
        <v>154</v>
      </c>
      <c r="J935">
        <v>20031203</v>
      </c>
    </row>
    <row r="936" spans="1:10">
      <c r="A936" t="s">
        <v>6396</v>
      </c>
      <c r="B936">
        <v>600546</v>
      </c>
      <c r="C936" t="s">
        <v>6397</v>
      </c>
      <c r="D936" t="s">
        <v>557</v>
      </c>
      <c r="E936" t="s">
        <v>126</v>
      </c>
      <c r="F936" t="s">
        <v>6398</v>
      </c>
      <c r="G936" t="s">
        <v>152</v>
      </c>
      <c r="H936" t="s">
        <v>174</v>
      </c>
      <c r="I936" t="s">
        <v>154</v>
      </c>
      <c r="J936">
        <v>20030731</v>
      </c>
    </row>
    <row r="937" spans="1:10">
      <c r="A937" t="s">
        <v>1096</v>
      </c>
      <c r="B937">
        <v>600547</v>
      </c>
      <c r="C937" t="s">
        <v>1097</v>
      </c>
      <c r="D937" t="s">
        <v>198</v>
      </c>
      <c r="E937" t="s">
        <v>48</v>
      </c>
      <c r="F937" t="s">
        <v>1098</v>
      </c>
      <c r="G937" t="s">
        <v>152</v>
      </c>
      <c r="H937" t="s">
        <v>174</v>
      </c>
      <c r="I937" t="s">
        <v>154</v>
      </c>
      <c r="J937">
        <v>20030828</v>
      </c>
    </row>
    <row r="938" spans="1:10">
      <c r="A938" t="s">
        <v>3922</v>
      </c>
      <c r="B938">
        <v>600548</v>
      </c>
      <c r="C938" t="s">
        <v>3923</v>
      </c>
      <c r="D938" t="s">
        <v>243</v>
      </c>
      <c r="E938" t="s">
        <v>98</v>
      </c>
      <c r="F938" t="s">
        <v>3924</v>
      </c>
      <c r="G938" t="s">
        <v>152</v>
      </c>
      <c r="H938" t="s">
        <v>174</v>
      </c>
      <c r="I938" t="s">
        <v>154</v>
      </c>
      <c r="J938">
        <v>20011225</v>
      </c>
    </row>
    <row r="939" spans="1:10">
      <c r="A939" t="s">
        <v>1099</v>
      </c>
      <c r="B939">
        <v>600549</v>
      </c>
      <c r="C939" t="s">
        <v>1100</v>
      </c>
      <c r="D939" t="s">
        <v>150</v>
      </c>
      <c r="E939" t="s">
        <v>41</v>
      </c>
      <c r="F939" t="s">
        <v>1101</v>
      </c>
      <c r="G939" t="s">
        <v>152</v>
      </c>
      <c r="H939" t="s">
        <v>174</v>
      </c>
      <c r="I939" t="s">
        <v>154</v>
      </c>
      <c r="J939">
        <v>20021107</v>
      </c>
    </row>
    <row r="940" spans="1:10">
      <c r="A940" t="s">
        <v>1426</v>
      </c>
      <c r="B940">
        <v>600550</v>
      </c>
      <c r="C940" t="s">
        <v>1427</v>
      </c>
      <c r="D940" t="s">
        <v>279</v>
      </c>
      <c r="E940" t="s">
        <v>17</v>
      </c>
      <c r="F940" t="s">
        <v>1428</v>
      </c>
      <c r="G940" t="s">
        <v>152</v>
      </c>
      <c r="H940" t="s">
        <v>174</v>
      </c>
      <c r="I940" t="s">
        <v>154</v>
      </c>
      <c r="J940">
        <v>20010228</v>
      </c>
    </row>
    <row r="941" spans="1:10">
      <c r="A941" t="s">
        <v>6171</v>
      </c>
      <c r="B941">
        <v>600551</v>
      </c>
      <c r="C941" t="s">
        <v>6172</v>
      </c>
      <c r="D941" t="s">
        <v>160</v>
      </c>
      <c r="E941" t="s">
        <v>55</v>
      </c>
      <c r="F941" t="s">
        <v>6173</v>
      </c>
      <c r="G941" t="s">
        <v>152</v>
      </c>
      <c r="H941" t="s">
        <v>174</v>
      </c>
      <c r="I941" t="s">
        <v>154</v>
      </c>
      <c r="J941">
        <v>20020905</v>
      </c>
    </row>
    <row r="942" spans="1:10">
      <c r="A942" t="s">
        <v>1429</v>
      </c>
      <c r="B942">
        <v>600552</v>
      </c>
      <c r="C942" t="s">
        <v>1430</v>
      </c>
      <c r="D942" t="s">
        <v>160</v>
      </c>
      <c r="E942" t="s">
        <v>42</v>
      </c>
      <c r="F942" t="s">
        <v>1431</v>
      </c>
      <c r="G942" t="s">
        <v>152</v>
      </c>
      <c r="H942" t="s">
        <v>174</v>
      </c>
      <c r="I942" t="s">
        <v>154</v>
      </c>
      <c r="J942">
        <v>20021108</v>
      </c>
    </row>
    <row r="943" spans="1:10">
      <c r="A943" t="s">
        <v>5904</v>
      </c>
      <c r="B943">
        <v>600556</v>
      </c>
      <c r="C943" t="s">
        <v>5905</v>
      </c>
      <c r="D943" t="s">
        <v>345</v>
      </c>
      <c r="E943" t="s">
        <v>116</v>
      </c>
      <c r="F943" t="s">
        <v>5906</v>
      </c>
      <c r="G943" t="s">
        <v>152</v>
      </c>
      <c r="H943" t="s">
        <v>174</v>
      </c>
      <c r="I943" t="s">
        <v>154</v>
      </c>
      <c r="J943">
        <v>20010807</v>
      </c>
    </row>
    <row r="944" spans="1:10">
      <c r="A944" t="s">
        <v>3343</v>
      </c>
      <c r="B944">
        <v>600557</v>
      </c>
      <c r="C944" t="s">
        <v>3344</v>
      </c>
      <c r="D944" t="s">
        <v>212</v>
      </c>
      <c r="E944" t="s">
        <v>67</v>
      </c>
      <c r="F944" t="s">
        <v>3345</v>
      </c>
      <c r="G944" t="s">
        <v>152</v>
      </c>
      <c r="H944" t="s">
        <v>174</v>
      </c>
      <c r="I944" t="s">
        <v>154</v>
      </c>
      <c r="J944">
        <v>20020918</v>
      </c>
    </row>
    <row r="945" spans="1:10">
      <c r="A945" t="s">
        <v>914</v>
      </c>
      <c r="B945">
        <v>600558</v>
      </c>
      <c r="C945" t="s">
        <v>915</v>
      </c>
      <c r="D945" t="s">
        <v>219</v>
      </c>
      <c r="E945" t="s">
        <v>34</v>
      </c>
      <c r="F945" t="s">
        <v>916</v>
      </c>
      <c r="G945" t="s">
        <v>152</v>
      </c>
      <c r="H945" t="s">
        <v>174</v>
      </c>
      <c r="I945" t="s">
        <v>154</v>
      </c>
      <c r="J945">
        <v>20010227</v>
      </c>
    </row>
    <row r="946" spans="1:10">
      <c r="A946" t="s">
        <v>2449</v>
      </c>
      <c r="B946">
        <v>600559</v>
      </c>
      <c r="C946" t="s">
        <v>2450</v>
      </c>
      <c r="D946" t="s">
        <v>279</v>
      </c>
      <c r="E946" t="s">
        <v>12</v>
      </c>
      <c r="F946" t="s">
        <v>2451</v>
      </c>
      <c r="G946" t="s">
        <v>152</v>
      </c>
      <c r="H946" t="s">
        <v>174</v>
      </c>
      <c r="I946" t="s">
        <v>154</v>
      </c>
      <c r="J946">
        <v>20021029</v>
      </c>
    </row>
    <row r="947" spans="1:10">
      <c r="A947" t="s">
        <v>1432</v>
      </c>
      <c r="B947">
        <v>600560</v>
      </c>
      <c r="C947" t="s">
        <v>1433</v>
      </c>
      <c r="D947" t="s">
        <v>164</v>
      </c>
      <c r="E947" t="s">
        <v>17</v>
      </c>
      <c r="F947" t="s">
        <v>1434</v>
      </c>
      <c r="G947" t="s">
        <v>152</v>
      </c>
      <c r="H947" t="s">
        <v>174</v>
      </c>
      <c r="I947" t="s">
        <v>154</v>
      </c>
      <c r="J947">
        <v>20020919</v>
      </c>
    </row>
    <row r="948" spans="1:10">
      <c r="A948" t="s">
        <v>3925</v>
      </c>
      <c r="B948">
        <v>600561</v>
      </c>
      <c r="C948" t="s">
        <v>3926</v>
      </c>
      <c r="D948" t="s">
        <v>406</v>
      </c>
      <c r="E948" t="s">
        <v>69</v>
      </c>
      <c r="F948" t="s">
        <v>3927</v>
      </c>
      <c r="G948" t="s">
        <v>152</v>
      </c>
      <c r="H948" t="s">
        <v>174</v>
      </c>
      <c r="I948" t="s">
        <v>154</v>
      </c>
      <c r="J948">
        <v>20020716</v>
      </c>
    </row>
    <row r="949" spans="1:10">
      <c r="A949" t="s">
        <v>6276</v>
      </c>
      <c r="B949">
        <v>600562</v>
      </c>
      <c r="C949" t="s">
        <v>6277</v>
      </c>
      <c r="D949" t="s">
        <v>212</v>
      </c>
      <c r="E949" t="s">
        <v>125</v>
      </c>
      <c r="F949" t="s">
        <v>6278</v>
      </c>
      <c r="G949" t="s">
        <v>152</v>
      </c>
      <c r="H949" t="s">
        <v>174</v>
      </c>
      <c r="I949" t="s">
        <v>154</v>
      </c>
      <c r="J949">
        <v>20030128</v>
      </c>
    </row>
    <row r="950" spans="1:10">
      <c r="A950" t="s">
        <v>1435</v>
      </c>
      <c r="B950">
        <v>600563</v>
      </c>
      <c r="C950" t="s">
        <v>1436</v>
      </c>
      <c r="D950" t="s">
        <v>150</v>
      </c>
      <c r="E950" t="s">
        <v>42</v>
      </c>
      <c r="F950" t="s">
        <v>1437</v>
      </c>
      <c r="G950" t="s">
        <v>152</v>
      </c>
      <c r="H950" t="s">
        <v>174</v>
      </c>
      <c r="I950" t="s">
        <v>154</v>
      </c>
      <c r="J950">
        <v>20021210</v>
      </c>
    </row>
    <row r="951" spans="1:10">
      <c r="A951" t="s">
        <v>4320</v>
      </c>
      <c r="B951">
        <v>600565</v>
      </c>
      <c r="C951" t="s">
        <v>4321</v>
      </c>
      <c r="D951" t="s">
        <v>937</v>
      </c>
      <c r="E951" t="s">
        <v>84</v>
      </c>
      <c r="F951" t="s">
        <v>4322</v>
      </c>
      <c r="G951" t="s">
        <v>152</v>
      </c>
      <c r="H951" t="s">
        <v>174</v>
      </c>
      <c r="I951" t="s">
        <v>154</v>
      </c>
      <c r="J951">
        <v>20020723</v>
      </c>
    </row>
    <row r="952" spans="1:10">
      <c r="A952" t="s">
        <v>3319</v>
      </c>
      <c r="B952">
        <v>600566</v>
      </c>
      <c r="C952" t="s">
        <v>3320</v>
      </c>
      <c r="D952" t="s">
        <v>316</v>
      </c>
      <c r="E952" t="s">
        <v>67</v>
      </c>
      <c r="F952" t="s">
        <v>3321</v>
      </c>
      <c r="G952" t="s">
        <v>152</v>
      </c>
      <c r="H952" t="s">
        <v>174</v>
      </c>
      <c r="I952" t="s">
        <v>154</v>
      </c>
      <c r="J952">
        <v>20010822</v>
      </c>
    </row>
    <row r="953" spans="1:10">
      <c r="A953" t="s">
        <v>2776</v>
      </c>
      <c r="B953">
        <v>600567</v>
      </c>
      <c r="C953" t="s">
        <v>2777</v>
      </c>
      <c r="D953" t="s">
        <v>160</v>
      </c>
      <c r="E953" t="s">
        <v>30</v>
      </c>
      <c r="F953" t="s">
        <v>2778</v>
      </c>
      <c r="G953" t="s">
        <v>152</v>
      </c>
      <c r="H953" t="s">
        <v>174</v>
      </c>
      <c r="I953" t="s">
        <v>154</v>
      </c>
      <c r="J953">
        <v>20011218</v>
      </c>
    </row>
    <row r="954" spans="1:10">
      <c r="A954" t="s">
        <v>3154</v>
      </c>
      <c r="B954">
        <v>600568</v>
      </c>
      <c r="C954" t="s">
        <v>3155</v>
      </c>
      <c r="D954" t="s">
        <v>316</v>
      </c>
      <c r="E954" t="s">
        <v>90</v>
      </c>
      <c r="F954" t="s">
        <v>3156</v>
      </c>
      <c r="G954" t="s">
        <v>152</v>
      </c>
      <c r="H954" t="s">
        <v>174</v>
      </c>
      <c r="I954" t="s">
        <v>154</v>
      </c>
      <c r="J954">
        <v>20010518</v>
      </c>
    </row>
    <row r="955" spans="1:10">
      <c r="A955" t="s">
        <v>917</v>
      </c>
      <c r="B955">
        <v>600569</v>
      </c>
      <c r="C955" t="s">
        <v>918</v>
      </c>
      <c r="D955" t="s">
        <v>292</v>
      </c>
      <c r="E955" t="s">
        <v>25</v>
      </c>
      <c r="F955" t="s">
        <v>919</v>
      </c>
      <c r="G955" t="s">
        <v>152</v>
      </c>
      <c r="H955" t="s">
        <v>174</v>
      </c>
      <c r="I955" t="s">
        <v>154</v>
      </c>
      <c r="J955">
        <v>20010820</v>
      </c>
    </row>
    <row r="956" spans="1:10">
      <c r="A956" t="s">
        <v>5907</v>
      </c>
      <c r="B956">
        <v>600570</v>
      </c>
      <c r="C956" t="s">
        <v>5908</v>
      </c>
      <c r="D956" t="s">
        <v>423</v>
      </c>
      <c r="E956" t="s">
        <v>123</v>
      </c>
      <c r="F956" t="s">
        <v>5909</v>
      </c>
      <c r="G956" t="s">
        <v>152</v>
      </c>
      <c r="H956" t="s">
        <v>174</v>
      </c>
      <c r="I956" t="s">
        <v>154</v>
      </c>
      <c r="J956">
        <v>20031216</v>
      </c>
    </row>
    <row r="957" spans="1:10">
      <c r="A957" t="s">
        <v>5910</v>
      </c>
      <c r="B957">
        <v>600571</v>
      </c>
      <c r="C957" t="s">
        <v>5911</v>
      </c>
      <c r="D957" t="s">
        <v>423</v>
      </c>
      <c r="E957" t="s">
        <v>123</v>
      </c>
      <c r="F957" t="s">
        <v>5912</v>
      </c>
      <c r="G957" t="s">
        <v>152</v>
      </c>
      <c r="H957" t="s">
        <v>174</v>
      </c>
      <c r="I957" t="s">
        <v>154</v>
      </c>
      <c r="J957">
        <v>20021101</v>
      </c>
    </row>
    <row r="958" spans="1:10">
      <c r="A958" t="s">
        <v>3397</v>
      </c>
      <c r="B958">
        <v>600572</v>
      </c>
      <c r="C958" t="s">
        <v>3398</v>
      </c>
      <c r="D958" t="s">
        <v>423</v>
      </c>
      <c r="E958" t="s">
        <v>67</v>
      </c>
      <c r="F958" t="s">
        <v>3399</v>
      </c>
      <c r="G958" t="s">
        <v>152</v>
      </c>
      <c r="H958" t="s">
        <v>174</v>
      </c>
      <c r="I958" t="s">
        <v>154</v>
      </c>
      <c r="J958">
        <v>20040412</v>
      </c>
    </row>
    <row r="959" spans="1:10">
      <c r="A959" t="s">
        <v>2452</v>
      </c>
      <c r="B959">
        <v>600573</v>
      </c>
      <c r="C959" t="s">
        <v>2453</v>
      </c>
      <c r="D959" t="s">
        <v>150</v>
      </c>
      <c r="E959" t="s">
        <v>49</v>
      </c>
      <c r="F959" t="s">
        <v>2454</v>
      </c>
      <c r="G959" t="s">
        <v>152</v>
      </c>
      <c r="H959" t="s">
        <v>174</v>
      </c>
      <c r="I959" t="s">
        <v>154</v>
      </c>
      <c r="J959">
        <v>20030226</v>
      </c>
    </row>
    <row r="960" spans="1:10">
      <c r="A960" t="s">
        <v>3928</v>
      </c>
      <c r="B960">
        <v>600575</v>
      </c>
      <c r="C960" t="s">
        <v>3929</v>
      </c>
      <c r="D960" t="s">
        <v>160</v>
      </c>
      <c r="E960" t="s">
        <v>97</v>
      </c>
      <c r="F960" t="s">
        <v>3930</v>
      </c>
      <c r="G960" t="s">
        <v>152</v>
      </c>
      <c r="H960" t="s">
        <v>174</v>
      </c>
      <c r="I960" t="s">
        <v>154</v>
      </c>
      <c r="J960">
        <v>20030328</v>
      </c>
    </row>
    <row r="961" spans="1:10">
      <c r="A961" t="s">
        <v>6060</v>
      </c>
      <c r="B961">
        <v>600576</v>
      </c>
      <c r="C961" t="s">
        <v>6061</v>
      </c>
      <c r="D961" t="s">
        <v>423</v>
      </c>
      <c r="E961" t="s">
        <v>124</v>
      </c>
      <c r="F961" t="s">
        <v>6062</v>
      </c>
      <c r="G961" t="s">
        <v>152</v>
      </c>
      <c r="H961" t="s">
        <v>174</v>
      </c>
      <c r="I961" t="s">
        <v>154</v>
      </c>
      <c r="J961">
        <v>20030220</v>
      </c>
    </row>
    <row r="962" spans="1:10">
      <c r="A962" t="s">
        <v>1438</v>
      </c>
      <c r="B962">
        <v>600577</v>
      </c>
      <c r="C962" t="s">
        <v>1439</v>
      </c>
      <c r="D962" t="s">
        <v>160</v>
      </c>
      <c r="E962" t="s">
        <v>17</v>
      </c>
      <c r="F962" t="s">
        <v>1440</v>
      </c>
      <c r="G962" t="s">
        <v>152</v>
      </c>
      <c r="H962" t="s">
        <v>174</v>
      </c>
      <c r="I962" t="s">
        <v>154</v>
      </c>
      <c r="J962">
        <v>20020911</v>
      </c>
    </row>
    <row r="963" spans="1:10">
      <c r="A963" t="s">
        <v>3580</v>
      </c>
      <c r="B963">
        <v>600578</v>
      </c>
      <c r="C963" t="s">
        <v>3581</v>
      </c>
      <c r="D963" t="s">
        <v>164</v>
      </c>
      <c r="E963" t="s">
        <v>77</v>
      </c>
      <c r="F963" t="s">
        <v>3582</v>
      </c>
      <c r="G963" t="s">
        <v>152</v>
      </c>
      <c r="H963" t="s">
        <v>174</v>
      </c>
      <c r="I963" t="s">
        <v>154</v>
      </c>
      <c r="J963">
        <v>20020510</v>
      </c>
    </row>
    <row r="964" spans="1:10">
      <c r="A964" t="s">
        <v>5559</v>
      </c>
      <c r="B964">
        <v>600579</v>
      </c>
      <c r="C964" t="s">
        <v>5560</v>
      </c>
      <c r="D964" t="s">
        <v>198</v>
      </c>
      <c r="E964" t="s">
        <v>131</v>
      </c>
      <c r="F964" t="s">
        <v>5561</v>
      </c>
      <c r="G964" t="s">
        <v>152</v>
      </c>
      <c r="H964" t="s">
        <v>174</v>
      </c>
      <c r="I964" t="s">
        <v>154</v>
      </c>
      <c r="J964">
        <v>20020809</v>
      </c>
    </row>
    <row r="965" spans="1:10">
      <c r="A965" t="s">
        <v>1441</v>
      </c>
      <c r="B965">
        <v>600580</v>
      </c>
      <c r="C965" t="s">
        <v>1442</v>
      </c>
      <c r="D965" t="s">
        <v>423</v>
      </c>
      <c r="E965" t="s">
        <v>17</v>
      </c>
      <c r="F965" t="s">
        <v>1443</v>
      </c>
      <c r="G965" t="s">
        <v>152</v>
      </c>
      <c r="H965" t="s">
        <v>174</v>
      </c>
      <c r="I965" t="s">
        <v>154</v>
      </c>
      <c r="J965">
        <v>20020606</v>
      </c>
    </row>
    <row r="966" spans="1:10">
      <c r="A966" t="s">
        <v>920</v>
      </c>
      <c r="B966">
        <v>600581</v>
      </c>
      <c r="C966" t="s">
        <v>921</v>
      </c>
      <c r="D966" t="s">
        <v>202</v>
      </c>
      <c r="E966" t="s">
        <v>25</v>
      </c>
      <c r="F966" t="s">
        <v>922</v>
      </c>
      <c r="G966" t="s">
        <v>152</v>
      </c>
      <c r="H966" t="s">
        <v>174</v>
      </c>
      <c r="I966" t="s">
        <v>154</v>
      </c>
      <c r="J966">
        <v>20020816</v>
      </c>
    </row>
    <row r="967" spans="1:10">
      <c r="A967" t="s">
        <v>5562</v>
      </c>
      <c r="B967">
        <v>600582</v>
      </c>
      <c r="C967" t="s">
        <v>5563</v>
      </c>
      <c r="D967" t="s">
        <v>164</v>
      </c>
      <c r="E967" t="s">
        <v>104</v>
      </c>
      <c r="F967" t="s">
        <v>5564</v>
      </c>
      <c r="G967" t="s">
        <v>152</v>
      </c>
      <c r="H967" t="s">
        <v>174</v>
      </c>
      <c r="I967" t="s">
        <v>154</v>
      </c>
      <c r="J967">
        <v>20020515</v>
      </c>
    </row>
    <row r="968" spans="1:10">
      <c r="A968" t="s">
        <v>6492</v>
      </c>
      <c r="B968">
        <v>600583</v>
      </c>
      <c r="C968" t="s">
        <v>6493</v>
      </c>
      <c r="D968" t="s">
        <v>576</v>
      </c>
      <c r="E968" t="s">
        <v>118</v>
      </c>
      <c r="F968" t="s">
        <v>6494</v>
      </c>
      <c r="G968" t="s">
        <v>152</v>
      </c>
      <c r="H968" t="s">
        <v>174</v>
      </c>
      <c r="I968" t="s">
        <v>154</v>
      </c>
      <c r="J968">
        <v>20020205</v>
      </c>
    </row>
    <row r="969" spans="1:10">
      <c r="A969" t="s">
        <v>1444</v>
      </c>
      <c r="B969">
        <v>600584</v>
      </c>
      <c r="C969" t="s">
        <v>1445</v>
      </c>
      <c r="D969" t="s">
        <v>212</v>
      </c>
      <c r="E969" t="s">
        <v>31</v>
      </c>
      <c r="F969" t="s">
        <v>1446</v>
      </c>
      <c r="G969" t="s">
        <v>152</v>
      </c>
      <c r="H969" t="s">
        <v>174</v>
      </c>
      <c r="I969" t="s">
        <v>154</v>
      </c>
      <c r="J969">
        <v>20030603</v>
      </c>
    </row>
    <row r="970" spans="1:10">
      <c r="A970" t="s">
        <v>5115</v>
      </c>
      <c r="B970">
        <v>600585</v>
      </c>
      <c r="C970" t="s">
        <v>5116</v>
      </c>
      <c r="D970" t="s">
        <v>160</v>
      </c>
      <c r="E970" t="s">
        <v>75</v>
      </c>
      <c r="F970" t="s">
        <v>5117</v>
      </c>
      <c r="G970" t="s">
        <v>152</v>
      </c>
      <c r="H970" t="s">
        <v>174</v>
      </c>
      <c r="I970" t="s">
        <v>154</v>
      </c>
      <c r="J970">
        <v>20020207</v>
      </c>
    </row>
    <row r="971" spans="1:10">
      <c r="A971" t="s">
        <v>5118</v>
      </c>
      <c r="B971">
        <v>600586</v>
      </c>
      <c r="C971" t="s">
        <v>5119</v>
      </c>
      <c r="D971" t="s">
        <v>198</v>
      </c>
      <c r="E971" t="s">
        <v>45</v>
      </c>
      <c r="F971" t="s">
        <v>5120</v>
      </c>
      <c r="G971" t="s">
        <v>152</v>
      </c>
      <c r="H971" t="s">
        <v>174</v>
      </c>
      <c r="I971" t="s">
        <v>154</v>
      </c>
      <c r="J971">
        <v>20020815</v>
      </c>
    </row>
    <row r="972" spans="1:10">
      <c r="A972" t="s">
        <v>3175</v>
      </c>
      <c r="B972">
        <v>600587</v>
      </c>
      <c r="C972" t="s">
        <v>3176</v>
      </c>
      <c r="D972" t="s">
        <v>198</v>
      </c>
      <c r="E972" t="s">
        <v>90</v>
      </c>
      <c r="F972" t="s">
        <v>3177</v>
      </c>
      <c r="G972" t="s">
        <v>152</v>
      </c>
      <c r="H972" t="s">
        <v>174</v>
      </c>
      <c r="I972" t="s">
        <v>154</v>
      </c>
      <c r="J972">
        <v>20020927</v>
      </c>
    </row>
    <row r="973" spans="1:10">
      <c r="A973" t="s">
        <v>5913</v>
      </c>
      <c r="B973">
        <v>600588</v>
      </c>
      <c r="C973" t="s">
        <v>5914</v>
      </c>
      <c r="D973" t="s">
        <v>164</v>
      </c>
      <c r="E973" t="s">
        <v>123</v>
      </c>
      <c r="F973" t="s">
        <v>5915</v>
      </c>
      <c r="G973" t="s">
        <v>152</v>
      </c>
      <c r="H973" t="s">
        <v>174</v>
      </c>
      <c r="I973" t="s">
        <v>154</v>
      </c>
      <c r="J973">
        <v>20010518</v>
      </c>
    </row>
    <row r="974" spans="1:10">
      <c r="A974" t="s">
        <v>531</v>
      </c>
      <c r="B974">
        <v>600589</v>
      </c>
      <c r="C974" t="s">
        <v>532</v>
      </c>
      <c r="D974" t="s">
        <v>223</v>
      </c>
      <c r="E974" t="s">
        <v>40</v>
      </c>
      <c r="F974" t="s">
        <v>533</v>
      </c>
      <c r="G974" t="s">
        <v>152</v>
      </c>
      <c r="H974" t="s">
        <v>174</v>
      </c>
      <c r="I974" t="s">
        <v>154</v>
      </c>
      <c r="J974">
        <v>20010612</v>
      </c>
    </row>
    <row r="975" spans="1:10">
      <c r="A975" t="s">
        <v>1447</v>
      </c>
      <c r="B975">
        <v>600590</v>
      </c>
      <c r="C975" t="s">
        <v>1448</v>
      </c>
      <c r="D975" t="s">
        <v>406</v>
      </c>
      <c r="E975" t="s">
        <v>17</v>
      </c>
      <c r="F975" t="s">
        <v>1449</v>
      </c>
      <c r="G975" t="s">
        <v>152</v>
      </c>
      <c r="H975" t="s">
        <v>174</v>
      </c>
      <c r="I975" t="s">
        <v>154</v>
      </c>
      <c r="J975">
        <v>20020703</v>
      </c>
    </row>
    <row r="976" spans="1:10">
      <c r="A976" t="s">
        <v>5565</v>
      </c>
      <c r="B976">
        <v>600592</v>
      </c>
      <c r="C976" t="s">
        <v>5566</v>
      </c>
      <c r="D976" t="s">
        <v>150</v>
      </c>
      <c r="E976" t="s">
        <v>135</v>
      </c>
      <c r="F976" t="s">
        <v>5567</v>
      </c>
      <c r="G976" t="s">
        <v>152</v>
      </c>
      <c r="H976" t="s">
        <v>174</v>
      </c>
      <c r="I976" t="s">
        <v>154</v>
      </c>
      <c r="J976">
        <v>20020805</v>
      </c>
    </row>
    <row r="977" spans="1:10">
      <c r="A977" t="s">
        <v>4647</v>
      </c>
      <c r="B977">
        <v>600593</v>
      </c>
      <c r="C977" t="s">
        <v>4648</v>
      </c>
      <c r="D977" t="s">
        <v>236</v>
      </c>
      <c r="E977" t="s">
        <v>72</v>
      </c>
      <c r="F977" t="s">
        <v>4649</v>
      </c>
      <c r="G977" t="s">
        <v>152</v>
      </c>
      <c r="H977" t="s">
        <v>174</v>
      </c>
      <c r="I977" t="s">
        <v>154</v>
      </c>
      <c r="J977">
        <v>20020711</v>
      </c>
    </row>
    <row r="978" spans="1:10">
      <c r="A978" t="s">
        <v>3301</v>
      </c>
      <c r="B978">
        <v>600594</v>
      </c>
      <c r="C978" t="s">
        <v>3302</v>
      </c>
      <c r="D978" t="s">
        <v>463</v>
      </c>
      <c r="E978" t="s">
        <v>67</v>
      </c>
      <c r="F978" t="s">
        <v>3303</v>
      </c>
      <c r="G978" t="s">
        <v>152</v>
      </c>
      <c r="H978" t="s">
        <v>174</v>
      </c>
      <c r="I978" t="s">
        <v>154</v>
      </c>
      <c r="J978">
        <v>20040323</v>
      </c>
    </row>
    <row r="979" spans="1:10">
      <c r="A979" t="s">
        <v>1102</v>
      </c>
      <c r="B979">
        <v>600595</v>
      </c>
      <c r="C979" t="s">
        <v>1103</v>
      </c>
      <c r="D979" t="s">
        <v>292</v>
      </c>
      <c r="E979" t="s">
        <v>16</v>
      </c>
      <c r="F979" t="s">
        <v>1104</v>
      </c>
      <c r="G979" t="s">
        <v>152</v>
      </c>
      <c r="H979" t="s">
        <v>174</v>
      </c>
      <c r="I979" t="s">
        <v>154</v>
      </c>
      <c r="J979">
        <v>20020626</v>
      </c>
    </row>
    <row r="980" spans="1:10">
      <c r="A980" t="s">
        <v>534</v>
      </c>
      <c r="B980">
        <v>600596</v>
      </c>
      <c r="C980" t="s">
        <v>535</v>
      </c>
      <c r="D980" t="s">
        <v>423</v>
      </c>
      <c r="E980" t="s">
        <v>14</v>
      </c>
      <c r="F980" t="s">
        <v>536</v>
      </c>
      <c r="G980" t="s">
        <v>152</v>
      </c>
      <c r="H980" t="s">
        <v>174</v>
      </c>
      <c r="I980" t="s">
        <v>154</v>
      </c>
      <c r="J980">
        <v>20010906</v>
      </c>
    </row>
    <row r="981" spans="1:10">
      <c r="A981" t="s">
        <v>2455</v>
      </c>
      <c r="B981">
        <v>600597</v>
      </c>
      <c r="C981" t="s">
        <v>2456</v>
      </c>
      <c r="D981" t="s">
        <v>172</v>
      </c>
      <c r="E981" t="s">
        <v>53</v>
      </c>
      <c r="F981" t="s">
        <v>2457</v>
      </c>
      <c r="G981" t="s">
        <v>152</v>
      </c>
      <c r="H981" t="s">
        <v>174</v>
      </c>
      <c r="I981" t="s">
        <v>154</v>
      </c>
      <c r="J981">
        <v>20020828</v>
      </c>
    </row>
    <row r="982" spans="1:10">
      <c r="A982" t="s">
        <v>204</v>
      </c>
      <c r="B982">
        <v>600598</v>
      </c>
      <c r="C982" t="s">
        <v>205</v>
      </c>
      <c r="D982" t="s">
        <v>194</v>
      </c>
      <c r="E982" t="s">
        <v>13</v>
      </c>
      <c r="F982" t="s">
        <v>206</v>
      </c>
      <c r="G982" t="s">
        <v>152</v>
      </c>
      <c r="H982" t="s">
        <v>174</v>
      </c>
      <c r="I982" t="s">
        <v>154</v>
      </c>
      <c r="J982">
        <v>20020329</v>
      </c>
    </row>
    <row r="983" spans="1:10">
      <c r="A983" t="s">
        <v>537</v>
      </c>
      <c r="B983">
        <v>600599</v>
      </c>
      <c r="C983" t="s">
        <v>538</v>
      </c>
      <c r="D983" t="s">
        <v>168</v>
      </c>
      <c r="E983" t="s">
        <v>14</v>
      </c>
      <c r="F983" t="s">
        <v>539</v>
      </c>
      <c r="G983" t="s">
        <v>152</v>
      </c>
      <c r="H983" t="s">
        <v>174</v>
      </c>
      <c r="I983" t="s">
        <v>154</v>
      </c>
      <c r="J983">
        <v>20010828</v>
      </c>
    </row>
    <row r="984" spans="1:10">
      <c r="A984" t="s">
        <v>2458</v>
      </c>
      <c r="B984">
        <v>600600</v>
      </c>
      <c r="C984" t="s">
        <v>2459</v>
      </c>
      <c r="D984" t="s">
        <v>198</v>
      </c>
      <c r="E984" t="s">
        <v>49</v>
      </c>
      <c r="F984" t="s">
        <v>2460</v>
      </c>
      <c r="G984" t="s">
        <v>152</v>
      </c>
      <c r="H984" t="s">
        <v>174</v>
      </c>
      <c r="I984" t="s">
        <v>154</v>
      </c>
      <c r="J984">
        <v>19930827</v>
      </c>
    </row>
    <row r="985" spans="1:10">
      <c r="A985" t="s">
        <v>1450</v>
      </c>
      <c r="B985">
        <v>600601</v>
      </c>
      <c r="C985" t="s">
        <v>1451</v>
      </c>
      <c r="D985" t="s">
        <v>172</v>
      </c>
      <c r="E985" t="s">
        <v>42</v>
      </c>
      <c r="F985" t="s">
        <v>1452</v>
      </c>
      <c r="G985" t="s">
        <v>152</v>
      </c>
      <c r="H985" t="s">
        <v>174</v>
      </c>
      <c r="I985" t="s">
        <v>154</v>
      </c>
      <c r="J985">
        <v>19901219</v>
      </c>
    </row>
    <row r="986" spans="1:10">
      <c r="A986" t="s">
        <v>5916</v>
      </c>
      <c r="B986">
        <v>600602</v>
      </c>
      <c r="C986" t="s">
        <v>5917</v>
      </c>
      <c r="D986" t="s">
        <v>172</v>
      </c>
      <c r="E986" t="s">
        <v>123</v>
      </c>
      <c r="F986" t="s">
        <v>5918</v>
      </c>
      <c r="G986" t="s">
        <v>152</v>
      </c>
      <c r="H986" t="s">
        <v>174</v>
      </c>
      <c r="I986" t="s">
        <v>154</v>
      </c>
      <c r="J986">
        <v>19901219</v>
      </c>
    </row>
    <row r="987" spans="1:10">
      <c r="A987" t="s">
        <v>4323</v>
      </c>
      <c r="B987">
        <v>600603</v>
      </c>
      <c r="C987" t="s">
        <v>4324</v>
      </c>
      <c r="D987" t="s">
        <v>219</v>
      </c>
      <c r="E987" t="s">
        <v>79</v>
      </c>
      <c r="F987" t="s">
        <v>4325</v>
      </c>
      <c r="G987" t="s">
        <v>152</v>
      </c>
      <c r="H987" t="s">
        <v>174</v>
      </c>
      <c r="I987" t="s">
        <v>154</v>
      </c>
      <c r="J987">
        <v>19920113</v>
      </c>
    </row>
    <row r="988" spans="1:10">
      <c r="A988" t="s">
        <v>4326</v>
      </c>
      <c r="B988">
        <v>600604</v>
      </c>
      <c r="C988" t="s">
        <v>4327</v>
      </c>
      <c r="D988" t="s">
        <v>172</v>
      </c>
      <c r="E988" t="s">
        <v>93</v>
      </c>
      <c r="F988" t="s">
        <v>4328</v>
      </c>
      <c r="G988" t="s">
        <v>152</v>
      </c>
      <c r="H988" t="s">
        <v>174</v>
      </c>
      <c r="I988" t="s">
        <v>154</v>
      </c>
      <c r="J988">
        <v>19920327</v>
      </c>
    </row>
    <row r="989" spans="1:10">
      <c r="A989" t="s">
        <v>4329</v>
      </c>
      <c r="B989">
        <v>600605</v>
      </c>
      <c r="C989" t="s">
        <v>4330</v>
      </c>
      <c r="D989" t="s">
        <v>172</v>
      </c>
      <c r="E989" t="s">
        <v>70</v>
      </c>
      <c r="F989" t="s">
        <v>4331</v>
      </c>
      <c r="G989" t="s">
        <v>152</v>
      </c>
      <c r="H989" t="s">
        <v>174</v>
      </c>
      <c r="I989" t="s">
        <v>154</v>
      </c>
      <c r="J989">
        <v>19920327</v>
      </c>
    </row>
    <row r="990" spans="1:10">
      <c r="A990" t="s">
        <v>5265</v>
      </c>
      <c r="B990">
        <v>600606</v>
      </c>
      <c r="C990" t="s">
        <v>5266</v>
      </c>
      <c r="D990" t="s">
        <v>172</v>
      </c>
      <c r="E990" t="s">
        <v>121</v>
      </c>
      <c r="F990" t="s">
        <v>5267</v>
      </c>
      <c r="G990" t="s">
        <v>152</v>
      </c>
      <c r="H990" t="s">
        <v>174</v>
      </c>
      <c r="I990" t="s">
        <v>154</v>
      </c>
      <c r="J990">
        <v>19920327</v>
      </c>
    </row>
    <row r="991" spans="1:10">
      <c r="A991" t="s">
        <v>4491</v>
      </c>
      <c r="B991">
        <v>600608</v>
      </c>
      <c r="C991" t="s">
        <v>4492</v>
      </c>
      <c r="D991" t="s">
        <v>172</v>
      </c>
      <c r="E991" t="s">
        <v>71</v>
      </c>
      <c r="F991" t="s">
        <v>4493</v>
      </c>
      <c r="G991" t="s">
        <v>152</v>
      </c>
      <c r="H991" t="s">
        <v>174</v>
      </c>
      <c r="I991" t="s">
        <v>154</v>
      </c>
      <c r="J991">
        <v>19920327</v>
      </c>
    </row>
    <row r="992" spans="1:10">
      <c r="A992" t="s">
        <v>1936</v>
      </c>
      <c r="B992">
        <v>600609</v>
      </c>
      <c r="C992" t="s">
        <v>1937</v>
      </c>
      <c r="D992" t="s">
        <v>236</v>
      </c>
      <c r="E992" t="s">
        <v>28</v>
      </c>
      <c r="F992" t="s">
        <v>1938</v>
      </c>
      <c r="G992" t="s">
        <v>152</v>
      </c>
      <c r="H992" t="s">
        <v>174</v>
      </c>
      <c r="I992" t="s">
        <v>154</v>
      </c>
      <c r="J992">
        <v>19920724</v>
      </c>
    </row>
    <row r="993" spans="1:10">
      <c r="A993" t="s">
        <v>540</v>
      </c>
      <c r="B993">
        <v>600610</v>
      </c>
      <c r="C993" t="s">
        <v>541</v>
      </c>
      <c r="D993" t="s">
        <v>463</v>
      </c>
      <c r="E993" t="s">
        <v>14</v>
      </c>
      <c r="F993" t="s">
        <v>542</v>
      </c>
      <c r="G993" t="s">
        <v>152</v>
      </c>
      <c r="H993" t="s">
        <v>174</v>
      </c>
      <c r="I993" t="s">
        <v>154</v>
      </c>
      <c r="J993">
        <v>19920805</v>
      </c>
    </row>
    <row r="994" spans="1:10">
      <c r="A994" t="s">
        <v>3931</v>
      </c>
      <c r="B994">
        <v>600611</v>
      </c>
      <c r="C994" t="s">
        <v>3932</v>
      </c>
      <c r="D994" t="s">
        <v>172</v>
      </c>
      <c r="E994" t="s">
        <v>69</v>
      </c>
      <c r="F994" t="s">
        <v>3933</v>
      </c>
      <c r="G994" t="s">
        <v>152</v>
      </c>
      <c r="H994" t="s">
        <v>174</v>
      </c>
      <c r="I994" t="s">
        <v>154</v>
      </c>
      <c r="J994">
        <v>19920807</v>
      </c>
    </row>
    <row r="995" spans="1:10">
      <c r="A995" t="s">
        <v>2656</v>
      </c>
      <c r="B995">
        <v>600612</v>
      </c>
      <c r="C995" t="s">
        <v>2657</v>
      </c>
      <c r="D995" t="s">
        <v>172</v>
      </c>
      <c r="E995" t="s">
        <v>20</v>
      </c>
      <c r="F995" t="s">
        <v>2658</v>
      </c>
      <c r="G995" t="s">
        <v>152</v>
      </c>
      <c r="H995" t="s">
        <v>174</v>
      </c>
      <c r="I995" t="s">
        <v>154</v>
      </c>
      <c r="J995">
        <v>19920814</v>
      </c>
    </row>
    <row r="996" spans="1:10">
      <c r="A996" t="s">
        <v>3370</v>
      </c>
      <c r="B996">
        <v>600613</v>
      </c>
      <c r="C996" t="s">
        <v>3371</v>
      </c>
      <c r="D996" t="s">
        <v>172</v>
      </c>
      <c r="E996" t="s">
        <v>67</v>
      </c>
      <c r="F996" t="s">
        <v>3372</v>
      </c>
      <c r="G996" t="s">
        <v>152</v>
      </c>
      <c r="H996" t="s">
        <v>174</v>
      </c>
      <c r="I996" t="s">
        <v>154</v>
      </c>
      <c r="J996">
        <v>19920820</v>
      </c>
    </row>
    <row r="997" spans="1:10">
      <c r="A997" t="s">
        <v>1105</v>
      </c>
      <c r="B997">
        <v>600615</v>
      </c>
      <c r="C997" t="s">
        <v>1106</v>
      </c>
      <c r="D997" t="s">
        <v>937</v>
      </c>
      <c r="E997" t="s">
        <v>41</v>
      </c>
      <c r="F997" t="s">
        <v>1107</v>
      </c>
      <c r="G997" t="s">
        <v>152</v>
      </c>
      <c r="H997" t="s">
        <v>174</v>
      </c>
      <c r="I997" t="s">
        <v>154</v>
      </c>
      <c r="J997">
        <v>19920910</v>
      </c>
    </row>
    <row r="998" spans="1:10">
      <c r="A998" t="s">
        <v>2461</v>
      </c>
      <c r="B998">
        <v>600616</v>
      </c>
      <c r="C998" t="s">
        <v>2462</v>
      </c>
      <c r="D998" t="s">
        <v>172</v>
      </c>
      <c r="E998" t="s">
        <v>44</v>
      </c>
      <c r="F998" t="s">
        <v>2463</v>
      </c>
      <c r="G998" t="s">
        <v>152</v>
      </c>
      <c r="H998" t="s">
        <v>174</v>
      </c>
      <c r="I998" t="s">
        <v>154</v>
      </c>
      <c r="J998">
        <v>19920929</v>
      </c>
    </row>
    <row r="999" spans="1:10">
      <c r="A999" t="s">
        <v>3583</v>
      </c>
      <c r="B999">
        <v>600617</v>
      </c>
      <c r="C999" t="s">
        <v>3584</v>
      </c>
      <c r="D999" t="s">
        <v>557</v>
      </c>
      <c r="E999" t="s">
        <v>91</v>
      </c>
      <c r="F999" t="s">
        <v>3585</v>
      </c>
      <c r="G999" t="s">
        <v>152</v>
      </c>
      <c r="H999" t="s">
        <v>174</v>
      </c>
      <c r="I999" t="s">
        <v>154</v>
      </c>
      <c r="J999">
        <v>19921013</v>
      </c>
    </row>
    <row r="1000" spans="1:10">
      <c r="A1000" t="s">
        <v>543</v>
      </c>
      <c r="B1000">
        <v>600618</v>
      </c>
      <c r="C1000" t="s">
        <v>544</v>
      </c>
      <c r="D1000" t="s">
        <v>172</v>
      </c>
      <c r="E1000" t="s">
        <v>14</v>
      </c>
      <c r="F1000" t="s">
        <v>545</v>
      </c>
      <c r="G1000" t="s">
        <v>152</v>
      </c>
      <c r="H1000" t="s">
        <v>174</v>
      </c>
      <c r="I1000" t="s">
        <v>154</v>
      </c>
      <c r="J1000">
        <v>19921113</v>
      </c>
    </row>
    <row r="1001" spans="1:10">
      <c r="A1001" t="s">
        <v>2251</v>
      </c>
      <c r="B1001">
        <v>600619</v>
      </c>
      <c r="C1001" t="s">
        <v>2252</v>
      </c>
      <c r="D1001" t="s">
        <v>172</v>
      </c>
      <c r="E1001" t="s">
        <v>8</v>
      </c>
      <c r="F1001" t="s">
        <v>2253</v>
      </c>
      <c r="G1001" t="s">
        <v>152</v>
      </c>
      <c r="H1001" t="s">
        <v>174</v>
      </c>
      <c r="I1001" t="s">
        <v>154</v>
      </c>
      <c r="J1001">
        <v>19921116</v>
      </c>
    </row>
    <row r="1002" spans="1:10">
      <c r="A1002" t="s">
        <v>5034</v>
      </c>
      <c r="B1002">
        <v>600620</v>
      </c>
      <c r="C1002" t="s">
        <v>5035</v>
      </c>
      <c r="D1002" t="s">
        <v>172</v>
      </c>
      <c r="E1002" t="s">
        <v>74</v>
      </c>
      <c r="F1002" t="s">
        <v>5036</v>
      </c>
      <c r="G1002" t="s">
        <v>152</v>
      </c>
      <c r="H1002" t="s">
        <v>174</v>
      </c>
      <c r="I1002" t="s">
        <v>154</v>
      </c>
      <c r="J1002">
        <v>19921117</v>
      </c>
    </row>
    <row r="1003" spans="1:10">
      <c r="A1003" t="s">
        <v>4875</v>
      </c>
      <c r="B1003">
        <v>600621</v>
      </c>
      <c r="C1003" t="s">
        <v>4876</v>
      </c>
      <c r="D1003" t="s">
        <v>172</v>
      </c>
      <c r="E1003" t="s">
        <v>87</v>
      </c>
      <c r="F1003" t="s">
        <v>4877</v>
      </c>
      <c r="G1003" t="s">
        <v>152</v>
      </c>
      <c r="H1003" t="s">
        <v>174</v>
      </c>
      <c r="I1003" t="s">
        <v>154</v>
      </c>
      <c r="J1003">
        <v>19921202</v>
      </c>
    </row>
    <row r="1004" spans="1:10">
      <c r="A1004" t="s">
        <v>4332</v>
      </c>
      <c r="B1004">
        <v>600622</v>
      </c>
      <c r="C1004" t="s">
        <v>4333</v>
      </c>
      <c r="D1004" t="s">
        <v>172</v>
      </c>
      <c r="E1004" t="s">
        <v>79</v>
      </c>
      <c r="F1004" t="s">
        <v>4334</v>
      </c>
      <c r="G1004" t="s">
        <v>152</v>
      </c>
      <c r="H1004" t="s">
        <v>174</v>
      </c>
      <c r="I1004" t="s">
        <v>154</v>
      </c>
      <c r="J1004">
        <v>19921203</v>
      </c>
    </row>
    <row r="1005" spans="1:10">
      <c r="A1005" t="s">
        <v>546</v>
      </c>
      <c r="B1005">
        <v>600623</v>
      </c>
      <c r="C1005" t="s">
        <v>547</v>
      </c>
      <c r="D1005" t="s">
        <v>172</v>
      </c>
      <c r="E1005" t="s">
        <v>14</v>
      </c>
      <c r="F1005" t="s">
        <v>548</v>
      </c>
      <c r="G1005" t="s">
        <v>152</v>
      </c>
      <c r="H1005" t="s">
        <v>174</v>
      </c>
      <c r="I1005" t="s">
        <v>154</v>
      </c>
      <c r="J1005">
        <v>19921204</v>
      </c>
    </row>
    <row r="1006" spans="1:10">
      <c r="A1006" t="s">
        <v>3028</v>
      </c>
      <c r="B1006">
        <v>600624</v>
      </c>
      <c r="C1006" t="s">
        <v>3029</v>
      </c>
      <c r="D1006" t="s">
        <v>172</v>
      </c>
      <c r="E1006" t="s">
        <v>81</v>
      </c>
      <c r="F1006" t="s">
        <v>3030</v>
      </c>
      <c r="G1006" t="s">
        <v>152</v>
      </c>
      <c r="H1006" t="s">
        <v>174</v>
      </c>
      <c r="I1006" t="s">
        <v>154</v>
      </c>
      <c r="J1006">
        <v>19930105</v>
      </c>
    </row>
    <row r="1007" spans="1:10">
      <c r="A1007" t="s">
        <v>1939</v>
      </c>
      <c r="B1007">
        <v>600626</v>
      </c>
      <c r="C1007" t="s">
        <v>1940</v>
      </c>
      <c r="D1007" t="s">
        <v>172</v>
      </c>
      <c r="E1007" t="s">
        <v>28</v>
      </c>
      <c r="F1007" t="s">
        <v>1941</v>
      </c>
      <c r="G1007" t="s">
        <v>152</v>
      </c>
      <c r="H1007" t="s">
        <v>174</v>
      </c>
      <c r="I1007" t="s">
        <v>154</v>
      </c>
      <c r="J1007">
        <v>19930107</v>
      </c>
    </row>
    <row r="1008" spans="1:10">
      <c r="A1008" t="s">
        <v>4494</v>
      </c>
      <c r="B1008">
        <v>600628</v>
      </c>
      <c r="C1008" t="s">
        <v>4495</v>
      </c>
      <c r="D1008" t="s">
        <v>172</v>
      </c>
      <c r="E1008" t="s">
        <v>22</v>
      </c>
      <c r="F1008" t="s">
        <v>4496</v>
      </c>
      <c r="G1008" t="s">
        <v>152</v>
      </c>
      <c r="H1008" t="s">
        <v>174</v>
      </c>
      <c r="I1008" t="s">
        <v>154</v>
      </c>
      <c r="J1008">
        <v>19930119</v>
      </c>
    </row>
    <row r="1009" spans="1:10">
      <c r="A1009" t="s">
        <v>5268</v>
      </c>
      <c r="B1009">
        <v>600629</v>
      </c>
      <c r="C1009" t="s">
        <v>5269</v>
      </c>
      <c r="D1009" t="s">
        <v>172</v>
      </c>
      <c r="E1009" t="s">
        <v>121</v>
      </c>
      <c r="F1009" t="s">
        <v>5270</v>
      </c>
      <c r="G1009" t="s">
        <v>152</v>
      </c>
      <c r="H1009" t="s">
        <v>174</v>
      </c>
      <c r="I1009" t="s">
        <v>154</v>
      </c>
      <c r="J1009">
        <v>19930209</v>
      </c>
    </row>
    <row r="1010" spans="1:10">
      <c r="A1010" t="s">
        <v>549</v>
      </c>
      <c r="B1010">
        <v>600630</v>
      </c>
      <c r="C1010" t="s">
        <v>550</v>
      </c>
      <c r="D1010" t="s">
        <v>172</v>
      </c>
      <c r="E1010" t="s">
        <v>33</v>
      </c>
      <c r="F1010" t="s">
        <v>551</v>
      </c>
      <c r="G1010" t="s">
        <v>152</v>
      </c>
      <c r="H1010" t="s">
        <v>174</v>
      </c>
      <c r="I1010" t="s">
        <v>154</v>
      </c>
      <c r="J1010">
        <v>19930209</v>
      </c>
    </row>
    <row r="1011" spans="1:10">
      <c r="A1011" t="s">
        <v>5919</v>
      </c>
      <c r="B1011">
        <v>600633</v>
      </c>
      <c r="C1011" t="s">
        <v>5920</v>
      </c>
      <c r="D1011" t="s">
        <v>423</v>
      </c>
      <c r="E1011" t="s">
        <v>116</v>
      </c>
      <c r="F1011" t="s">
        <v>5921</v>
      </c>
      <c r="G1011" t="s">
        <v>152</v>
      </c>
      <c r="H1011" t="s">
        <v>174</v>
      </c>
      <c r="I1011" t="s">
        <v>154</v>
      </c>
      <c r="J1011">
        <v>19930304</v>
      </c>
    </row>
    <row r="1012" spans="1:10">
      <c r="A1012" t="s">
        <v>3586</v>
      </c>
      <c r="B1012">
        <v>600635</v>
      </c>
      <c r="C1012" t="s">
        <v>3587</v>
      </c>
      <c r="D1012" t="s">
        <v>172</v>
      </c>
      <c r="E1012" t="s">
        <v>91</v>
      </c>
      <c r="F1012" t="s">
        <v>3588</v>
      </c>
      <c r="G1012" t="s">
        <v>152</v>
      </c>
      <c r="H1012" t="s">
        <v>174</v>
      </c>
      <c r="I1012" t="s">
        <v>154</v>
      </c>
      <c r="J1012">
        <v>19930304</v>
      </c>
    </row>
    <row r="1013" spans="1:10">
      <c r="A1013" t="s">
        <v>6123</v>
      </c>
      <c r="B1013">
        <v>600636</v>
      </c>
      <c r="C1013" t="s">
        <v>6124</v>
      </c>
      <c r="D1013" t="s">
        <v>172</v>
      </c>
      <c r="E1013" t="s">
        <v>129</v>
      </c>
      <c r="F1013" t="s">
        <v>6125</v>
      </c>
      <c r="G1013" t="s">
        <v>152</v>
      </c>
      <c r="H1013" t="s">
        <v>174</v>
      </c>
      <c r="I1013" t="s">
        <v>154</v>
      </c>
      <c r="J1013">
        <v>19930316</v>
      </c>
    </row>
    <row r="1014" spans="1:10">
      <c r="A1014" t="s">
        <v>6063</v>
      </c>
      <c r="B1014">
        <v>600637</v>
      </c>
      <c r="C1014" t="s">
        <v>6064</v>
      </c>
      <c r="D1014" t="s">
        <v>172</v>
      </c>
      <c r="E1014" t="s">
        <v>124</v>
      </c>
      <c r="F1014" t="s">
        <v>6065</v>
      </c>
      <c r="G1014" t="s">
        <v>152</v>
      </c>
      <c r="H1014" t="s">
        <v>174</v>
      </c>
      <c r="I1014" t="s">
        <v>154</v>
      </c>
      <c r="J1014">
        <v>19930316</v>
      </c>
    </row>
    <row r="1015" spans="1:10">
      <c r="A1015" t="s">
        <v>4335</v>
      </c>
      <c r="B1015">
        <v>600638</v>
      </c>
      <c r="C1015" t="s">
        <v>4336</v>
      </c>
      <c r="D1015" t="s">
        <v>172</v>
      </c>
      <c r="E1015" t="s">
        <v>79</v>
      </c>
      <c r="F1015" t="s">
        <v>4337</v>
      </c>
      <c r="G1015" t="s">
        <v>152</v>
      </c>
      <c r="H1015" t="s">
        <v>174</v>
      </c>
      <c r="I1015" t="s">
        <v>154</v>
      </c>
      <c r="J1015">
        <v>19930326</v>
      </c>
    </row>
    <row r="1016" spans="1:10">
      <c r="A1016" t="s">
        <v>4338</v>
      </c>
      <c r="B1016">
        <v>600639</v>
      </c>
      <c r="C1016" t="s">
        <v>4339</v>
      </c>
      <c r="D1016" t="s">
        <v>172</v>
      </c>
      <c r="E1016" t="s">
        <v>93</v>
      </c>
      <c r="F1016" t="s">
        <v>4340</v>
      </c>
      <c r="G1016" t="s">
        <v>152</v>
      </c>
      <c r="H1016" t="s">
        <v>174</v>
      </c>
      <c r="I1016" t="s">
        <v>154</v>
      </c>
      <c r="J1016">
        <v>19930326</v>
      </c>
    </row>
    <row r="1017" spans="1:10">
      <c r="A1017" t="s">
        <v>6066</v>
      </c>
      <c r="B1017">
        <v>600640</v>
      </c>
      <c r="C1017" t="s">
        <v>6067</v>
      </c>
      <c r="D1017" t="s">
        <v>172</v>
      </c>
      <c r="E1017" t="s">
        <v>124</v>
      </c>
      <c r="F1017" t="s">
        <v>6068</v>
      </c>
      <c r="G1017" t="s">
        <v>152</v>
      </c>
      <c r="H1017" t="s">
        <v>174</v>
      </c>
      <c r="I1017" t="s">
        <v>154</v>
      </c>
      <c r="J1017">
        <v>19930407</v>
      </c>
    </row>
    <row r="1018" spans="1:10">
      <c r="A1018" t="s">
        <v>4341</v>
      </c>
      <c r="B1018">
        <v>600641</v>
      </c>
      <c r="C1018" t="s">
        <v>4342</v>
      </c>
      <c r="D1018" t="s">
        <v>172</v>
      </c>
      <c r="E1018" t="s">
        <v>79</v>
      </c>
      <c r="F1018" t="s">
        <v>4343</v>
      </c>
      <c r="G1018" t="s">
        <v>152</v>
      </c>
      <c r="H1018" t="s">
        <v>174</v>
      </c>
      <c r="I1018" t="s">
        <v>154</v>
      </c>
      <c r="J1018">
        <v>19930407</v>
      </c>
    </row>
    <row r="1019" spans="1:10">
      <c r="A1019" t="s">
        <v>3589</v>
      </c>
      <c r="B1019">
        <v>600642</v>
      </c>
      <c r="C1019" t="s">
        <v>3590</v>
      </c>
      <c r="D1019" t="s">
        <v>172</v>
      </c>
      <c r="E1019" t="s">
        <v>77</v>
      </c>
      <c r="F1019" t="s">
        <v>3591</v>
      </c>
      <c r="G1019" t="s">
        <v>152</v>
      </c>
      <c r="H1019" t="s">
        <v>174</v>
      </c>
      <c r="I1019" t="s">
        <v>154</v>
      </c>
      <c r="J1019">
        <v>19930416</v>
      </c>
    </row>
    <row r="1020" spans="1:10">
      <c r="A1020" t="s">
        <v>4878</v>
      </c>
      <c r="B1020">
        <v>600643</v>
      </c>
      <c r="C1020" t="s">
        <v>4879</v>
      </c>
      <c r="D1020" t="s">
        <v>172</v>
      </c>
      <c r="E1020" t="s">
        <v>73</v>
      </c>
      <c r="F1020" t="s">
        <v>4880</v>
      </c>
      <c r="G1020" t="s">
        <v>152</v>
      </c>
      <c r="H1020" t="s">
        <v>174</v>
      </c>
      <c r="I1020" t="s">
        <v>154</v>
      </c>
      <c r="J1020">
        <v>19930426</v>
      </c>
    </row>
    <row r="1021" spans="1:10">
      <c r="A1021" t="s">
        <v>3592</v>
      </c>
      <c r="B1021">
        <v>600644</v>
      </c>
      <c r="C1021" t="s">
        <v>3593</v>
      </c>
      <c r="D1021" t="s">
        <v>219</v>
      </c>
      <c r="E1021" t="s">
        <v>68</v>
      </c>
      <c r="F1021" t="s">
        <v>3594</v>
      </c>
      <c r="G1021" t="s">
        <v>152</v>
      </c>
      <c r="H1021" t="s">
        <v>174</v>
      </c>
      <c r="I1021" t="s">
        <v>154</v>
      </c>
      <c r="J1021">
        <v>19930426</v>
      </c>
    </row>
    <row r="1022" spans="1:10">
      <c r="A1022" t="s">
        <v>3127</v>
      </c>
      <c r="B1022">
        <v>600645</v>
      </c>
      <c r="C1022" t="s">
        <v>3128</v>
      </c>
      <c r="D1022" t="s">
        <v>576</v>
      </c>
      <c r="E1022" t="s">
        <v>76</v>
      </c>
      <c r="F1022" t="s">
        <v>3129</v>
      </c>
      <c r="G1022" t="s">
        <v>152</v>
      </c>
      <c r="H1022" t="s">
        <v>174</v>
      </c>
      <c r="I1022" t="s">
        <v>154</v>
      </c>
      <c r="J1022">
        <v>19930504</v>
      </c>
    </row>
    <row r="1023" spans="1:10">
      <c r="A1023" t="s">
        <v>5037</v>
      </c>
      <c r="B1023">
        <v>600647</v>
      </c>
      <c r="C1023" t="s">
        <v>5038</v>
      </c>
      <c r="D1023" t="s">
        <v>172</v>
      </c>
      <c r="E1023" t="s">
        <v>74</v>
      </c>
      <c r="F1023" t="s">
        <v>5039</v>
      </c>
      <c r="G1023" t="s">
        <v>152</v>
      </c>
      <c r="H1023" t="s">
        <v>174</v>
      </c>
      <c r="I1023" t="s">
        <v>154</v>
      </c>
      <c r="J1023">
        <v>19930504</v>
      </c>
    </row>
    <row r="1024" spans="1:10">
      <c r="A1024" t="s">
        <v>4344</v>
      </c>
      <c r="B1024">
        <v>600648</v>
      </c>
      <c r="C1024" t="s">
        <v>4345</v>
      </c>
      <c r="D1024" t="s">
        <v>172</v>
      </c>
      <c r="E1024" t="s">
        <v>93</v>
      </c>
      <c r="F1024" t="s">
        <v>4346</v>
      </c>
      <c r="G1024" t="s">
        <v>152</v>
      </c>
      <c r="H1024" t="s">
        <v>174</v>
      </c>
      <c r="I1024" t="s">
        <v>154</v>
      </c>
      <c r="J1024">
        <v>19930504</v>
      </c>
    </row>
    <row r="1025" spans="1:10">
      <c r="A1025" t="s">
        <v>4347</v>
      </c>
      <c r="B1025">
        <v>600649</v>
      </c>
      <c r="C1025" t="s">
        <v>4348</v>
      </c>
      <c r="D1025" t="s">
        <v>172</v>
      </c>
      <c r="E1025" t="s">
        <v>79</v>
      </c>
      <c r="F1025" t="s">
        <v>4349</v>
      </c>
      <c r="G1025" t="s">
        <v>152</v>
      </c>
      <c r="H1025" t="s">
        <v>174</v>
      </c>
      <c r="I1025" t="s">
        <v>154</v>
      </c>
      <c r="J1025">
        <v>19930518</v>
      </c>
    </row>
    <row r="1026" spans="1:10">
      <c r="A1026" t="s">
        <v>3934</v>
      </c>
      <c r="B1026">
        <v>600650</v>
      </c>
      <c r="C1026" t="s">
        <v>3935</v>
      </c>
      <c r="D1026" t="s">
        <v>172</v>
      </c>
      <c r="E1026" t="s">
        <v>69</v>
      </c>
      <c r="F1026" t="s">
        <v>3936</v>
      </c>
      <c r="G1026" t="s">
        <v>152</v>
      </c>
      <c r="H1026" t="s">
        <v>174</v>
      </c>
      <c r="I1026" t="s">
        <v>154</v>
      </c>
      <c r="J1026">
        <v>19930607</v>
      </c>
    </row>
    <row r="1027" spans="1:10">
      <c r="A1027" t="s">
        <v>1453</v>
      </c>
      <c r="B1027">
        <v>600651</v>
      </c>
      <c r="C1027" t="s">
        <v>1454</v>
      </c>
      <c r="D1027" t="s">
        <v>172</v>
      </c>
      <c r="E1027" t="s">
        <v>27</v>
      </c>
      <c r="F1027" t="s">
        <v>1455</v>
      </c>
      <c r="G1027" t="s">
        <v>152</v>
      </c>
      <c r="H1027" t="s">
        <v>174</v>
      </c>
      <c r="I1027" t="s">
        <v>154</v>
      </c>
      <c r="J1027">
        <v>19901219</v>
      </c>
    </row>
    <row r="1028" spans="1:10">
      <c r="A1028" t="s">
        <v>1942</v>
      </c>
      <c r="B1028">
        <v>600653</v>
      </c>
      <c r="C1028" t="s">
        <v>1943</v>
      </c>
      <c r="D1028" t="s">
        <v>236</v>
      </c>
      <c r="E1028" t="s">
        <v>18</v>
      </c>
      <c r="F1028" t="s">
        <v>1944</v>
      </c>
      <c r="G1028" t="s">
        <v>152</v>
      </c>
      <c r="H1028" t="s">
        <v>174</v>
      </c>
      <c r="I1028" t="s">
        <v>154</v>
      </c>
      <c r="J1028">
        <v>19901219</v>
      </c>
    </row>
    <row r="1029" spans="1:10">
      <c r="A1029" t="s">
        <v>5922</v>
      </c>
      <c r="B1029">
        <v>600654</v>
      </c>
      <c r="C1029" t="s">
        <v>5923</v>
      </c>
      <c r="D1029" t="s">
        <v>316</v>
      </c>
      <c r="E1029" t="s">
        <v>123</v>
      </c>
      <c r="F1029" t="s">
        <v>5924</v>
      </c>
      <c r="G1029" t="s">
        <v>152</v>
      </c>
      <c r="H1029" t="s">
        <v>174</v>
      </c>
      <c r="I1029" t="s">
        <v>154</v>
      </c>
      <c r="J1029">
        <v>19901219</v>
      </c>
    </row>
    <row r="1030" spans="1:10">
      <c r="A1030" t="s">
        <v>4497</v>
      </c>
      <c r="B1030">
        <v>600655</v>
      </c>
      <c r="C1030" t="s">
        <v>4498</v>
      </c>
      <c r="D1030" t="s">
        <v>172</v>
      </c>
      <c r="E1030" t="s">
        <v>22</v>
      </c>
      <c r="F1030" t="s">
        <v>4499</v>
      </c>
      <c r="G1030" t="s">
        <v>152</v>
      </c>
      <c r="H1030" t="s">
        <v>174</v>
      </c>
      <c r="I1030" t="s">
        <v>154</v>
      </c>
      <c r="J1030">
        <v>19920902</v>
      </c>
    </row>
    <row r="1031" spans="1:10">
      <c r="A1031" t="s">
        <v>4350</v>
      </c>
      <c r="B1031">
        <v>600657</v>
      </c>
      <c r="C1031" t="s">
        <v>4351</v>
      </c>
      <c r="D1031" t="s">
        <v>164</v>
      </c>
      <c r="E1031" t="s">
        <v>84</v>
      </c>
      <c r="F1031" t="s">
        <v>4352</v>
      </c>
      <c r="G1031" t="s">
        <v>152</v>
      </c>
      <c r="H1031" t="s">
        <v>174</v>
      </c>
      <c r="I1031" t="s">
        <v>154</v>
      </c>
      <c r="J1031">
        <v>19930524</v>
      </c>
    </row>
    <row r="1032" spans="1:10">
      <c r="A1032" t="s">
        <v>4353</v>
      </c>
      <c r="B1032">
        <v>600658</v>
      </c>
      <c r="C1032" t="s">
        <v>4354</v>
      </c>
      <c r="D1032" t="s">
        <v>164</v>
      </c>
      <c r="E1032" t="s">
        <v>93</v>
      </c>
      <c r="F1032" t="s">
        <v>4355</v>
      </c>
      <c r="G1032" t="s">
        <v>152</v>
      </c>
      <c r="H1032" t="s">
        <v>174</v>
      </c>
      <c r="I1032" t="s">
        <v>154</v>
      </c>
      <c r="J1032">
        <v>19930524</v>
      </c>
    </row>
    <row r="1033" spans="1:10">
      <c r="A1033" t="s">
        <v>1945</v>
      </c>
      <c r="B1033">
        <v>600660</v>
      </c>
      <c r="C1033" t="s">
        <v>1946</v>
      </c>
      <c r="D1033" t="s">
        <v>150</v>
      </c>
      <c r="E1033" t="s">
        <v>28</v>
      </c>
      <c r="F1033" t="s">
        <v>1947</v>
      </c>
      <c r="G1033" t="s">
        <v>152</v>
      </c>
      <c r="H1033" t="s">
        <v>174</v>
      </c>
      <c r="I1033" t="s">
        <v>154</v>
      </c>
      <c r="J1033">
        <v>19930610</v>
      </c>
    </row>
    <row r="1034" spans="1:10">
      <c r="A1034" t="s">
        <v>6126</v>
      </c>
      <c r="B1034">
        <v>600661</v>
      </c>
      <c r="C1034" t="s">
        <v>6127</v>
      </c>
      <c r="D1034" t="s">
        <v>172</v>
      </c>
      <c r="E1034" t="s">
        <v>129</v>
      </c>
      <c r="F1034" t="s">
        <v>6128</v>
      </c>
      <c r="G1034" t="s">
        <v>152</v>
      </c>
      <c r="H1034" t="s">
        <v>174</v>
      </c>
      <c r="I1034" t="s">
        <v>154</v>
      </c>
      <c r="J1034">
        <v>19930614</v>
      </c>
    </row>
    <row r="1035" spans="1:10">
      <c r="A1035" t="s">
        <v>6129</v>
      </c>
      <c r="B1035">
        <v>600662</v>
      </c>
      <c r="C1035" t="s">
        <v>6130</v>
      </c>
      <c r="D1035" t="s">
        <v>172</v>
      </c>
      <c r="E1035" t="s">
        <v>129</v>
      </c>
      <c r="F1035" t="s">
        <v>6131</v>
      </c>
      <c r="G1035" t="s">
        <v>152</v>
      </c>
      <c r="H1035" t="s">
        <v>174</v>
      </c>
      <c r="I1035" t="s">
        <v>154</v>
      </c>
      <c r="J1035">
        <v>19930614</v>
      </c>
    </row>
    <row r="1036" spans="1:10">
      <c r="A1036" t="s">
        <v>4356</v>
      </c>
      <c r="B1036">
        <v>600663</v>
      </c>
      <c r="C1036" t="s">
        <v>4357</v>
      </c>
      <c r="D1036" t="s">
        <v>172</v>
      </c>
      <c r="E1036" t="s">
        <v>93</v>
      </c>
      <c r="F1036" t="s">
        <v>4358</v>
      </c>
      <c r="G1036" t="s">
        <v>152</v>
      </c>
      <c r="H1036" t="s">
        <v>174</v>
      </c>
      <c r="I1036" t="s">
        <v>154</v>
      </c>
      <c r="J1036">
        <v>19930628</v>
      </c>
    </row>
    <row r="1037" spans="1:10">
      <c r="A1037" t="s">
        <v>2968</v>
      </c>
      <c r="B1037">
        <v>600664</v>
      </c>
      <c r="C1037" t="s">
        <v>2969</v>
      </c>
      <c r="D1037" t="s">
        <v>194</v>
      </c>
      <c r="E1037" t="s">
        <v>81</v>
      </c>
      <c r="F1037" t="s">
        <v>2970</v>
      </c>
      <c r="G1037" t="s">
        <v>152</v>
      </c>
      <c r="H1037" t="s">
        <v>174</v>
      </c>
      <c r="I1037" t="s">
        <v>154</v>
      </c>
      <c r="J1037">
        <v>19930629</v>
      </c>
    </row>
    <row r="1038" spans="1:10">
      <c r="A1038" t="s">
        <v>4359</v>
      </c>
      <c r="B1038">
        <v>600665</v>
      </c>
      <c r="C1038" t="s">
        <v>4360</v>
      </c>
      <c r="D1038" t="s">
        <v>419</v>
      </c>
      <c r="E1038" t="s">
        <v>84</v>
      </c>
      <c r="F1038" t="s">
        <v>4361</v>
      </c>
      <c r="G1038" t="s">
        <v>152</v>
      </c>
      <c r="H1038" t="s">
        <v>174</v>
      </c>
      <c r="I1038" t="s">
        <v>154</v>
      </c>
      <c r="J1038">
        <v>19930709</v>
      </c>
    </row>
    <row r="1039" spans="1:10">
      <c r="A1039" t="s">
        <v>1456</v>
      </c>
      <c r="B1039">
        <v>600666</v>
      </c>
      <c r="C1039" t="s">
        <v>1457</v>
      </c>
      <c r="D1039" t="s">
        <v>194</v>
      </c>
      <c r="E1039" t="s">
        <v>42</v>
      </c>
      <c r="F1039" t="s">
        <v>1458</v>
      </c>
      <c r="G1039" t="s">
        <v>152</v>
      </c>
      <c r="H1039" t="s">
        <v>174</v>
      </c>
      <c r="I1039" t="s">
        <v>154</v>
      </c>
      <c r="J1039">
        <v>19930712</v>
      </c>
    </row>
    <row r="1040" spans="1:10">
      <c r="A1040" t="s">
        <v>1459</v>
      </c>
      <c r="B1040">
        <v>600667</v>
      </c>
      <c r="C1040" t="s">
        <v>1460</v>
      </c>
      <c r="D1040" t="s">
        <v>212</v>
      </c>
      <c r="E1040" t="s">
        <v>31</v>
      </c>
      <c r="F1040" t="s">
        <v>1461</v>
      </c>
      <c r="G1040" t="s">
        <v>152</v>
      </c>
      <c r="H1040" t="s">
        <v>174</v>
      </c>
      <c r="I1040" t="s">
        <v>154</v>
      </c>
      <c r="J1040">
        <v>19930728</v>
      </c>
    </row>
    <row r="1041" spans="1:10">
      <c r="A1041" t="s">
        <v>5121</v>
      </c>
      <c r="B1041">
        <v>600668</v>
      </c>
      <c r="C1041" t="s">
        <v>5122</v>
      </c>
      <c r="D1041" t="s">
        <v>423</v>
      </c>
      <c r="E1041" t="s">
        <v>75</v>
      </c>
      <c r="F1041" t="s">
        <v>5123</v>
      </c>
      <c r="G1041" t="s">
        <v>152</v>
      </c>
      <c r="H1041" t="s">
        <v>174</v>
      </c>
      <c r="I1041" t="s">
        <v>154</v>
      </c>
      <c r="J1041">
        <v>19930728</v>
      </c>
    </row>
    <row r="1042" spans="1:10">
      <c r="A1042" t="s">
        <v>3400</v>
      </c>
      <c r="B1042">
        <v>600671</v>
      </c>
      <c r="C1042" t="s">
        <v>3401</v>
      </c>
      <c r="D1042" t="s">
        <v>423</v>
      </c>
      <c r="E1042" t="s">
        <v>67</v>
      </c>
      <c r="F1042" t="s">
        <v>3402</v>
      </c>
      <c r="G1042" t="s">
        <v>152</v>
      </c>
      <c r="H1042" t="s">
        <v>174</v>
      </c>
      <c r="I1042" t="s">
        <v>154</v>
      </c>
      <c r="J1042">
        <v>19930823</v>
      </c>
    </row>
    <row r="1043" spans="1:10">
      <c r="A1043" t="s">
        <v>1108</v>
      </c>
      <c r="B1043">
        <v>600673</v>
      </c>
      <c r="C1043" t="s">
        <v>1109</v>
      </c>
      <c r="D1043" t="s">
        <v>223</v>
      </c>
      <c r="E1043" t="s">
        <v>16</v>
      </c>
      <c r="F1043" t="s">
        <v>1110</v>
      </c>
      <c r="G1043" t="s">
        <v>152</v>
      </c>
      <c r="H1043" t="s">
        <v>174</v>
      </c>
      <c r="I1043" t="s">
        <v>154</v>
      </c>
      <c r="J1043">
        <v>19930917</v>
      </c>
    </row>
    <row r="1044" spans="1:10">
      <c r="A1044" t="s">
        <v>3595</v>
      </c>
      <c r="B1044">
        <v>600674</v>
      </c>
      <c r="C1044" t="s">
        <v>3596</v>
      </c>
      <c r="D1044" t="s">
        <v>219</v>
      </c>
      <c r="E1044" t="s">
        <v>68</v>
      </c>
      <c r="F1044" t="s">
        <v>3597</v>
      </c>
      <c r="G1044" t="s">
        <v>152</v>
      </c>
      <c r="H1044" t="s">
        <v>174</v>
      </c>
      <c r="I1044" t="s">
        <v>154</v>
      </c>
      <c r="J1044">
        <v>19930924</v>
      </c>
    </row>
    <row r="1045" spans="1:10">
      <c r="A1045" t="s">
        <v>4362</v>
      </c>
      <c r="B1045">
        <v>600675</v>
      </c>
      <c r="C1045" t="s">
        <v>4363</v>
      </c>
      <c r="D1045" t="s">
        <v>172</v>
      </c>
      <c r="E1045" t="s">
        <v>79</v>
      </c>
      <c r="F1045" t="s">
        <v>4364</v>
      </c>
      <c r="G1045" t="s">
        <v>152</v>
      </c>
      <c r="H1045" t="s">
        <v>174</v>
      </c>
      <c r="I1045" t="s">
        <v>154</v>
      </c>
      <c r="J1045">
        <v>19930924</v>
      </c>
    </row>
    <row r="1046" spans="1:10">
      <c r="A1046" t="s">
        <v>1948</v>
      </c>
      <c r="B1046">
        <v>600676</v>
      </c>
      <c r="C1046" t="s">
        <v>1949</v>
      </c>
      <c r="D1046" t="s">
        <v>172</v>
      </c>
      <c r="E1046" t="s">
        <v>28</v>
      </c>
      <c r="F1046" t="s">
        <v>1950</v>
      </c>
      <c r="G1046" t="s">
        <v>152</v>
      </c>
      <c r="H1046" t="s">
        <v>174</v>
      </c>
      <c r="I1046" t="s">
        <v>154</v>
      </c>
      <c r="J1046">
        <v>19930928</v>
      </c>
    </row>
    <row r="1047" spans="1:10">
      <c r="A1047" t="s">
        <v>5124</v>
      </c>
      <c r="B1047">
        <v>600678</v>
      </c>
      <c r="C1047" t="s">
        <v>5125</v>
      </c>
      <c r="D1047" t="s">
        <v>219</v>
      </c>
      <c r="E1047" t="s">
        <v>75</v>
      </c>
      <c r="F1047" t="s">
        <v>5126</v>
      </c>
      <c r="G1047" t="s">
        <v>152</v>
      </c>
      <c r="H1047" t="s">
        <v>174</v>
      </c>
      <c r="I1047" t="s">
        <v>154</v>
      </c>
      <c r="J1047">
        <v>19931008</v>
      </c>
    </row>
    <row r="1048" spans="1:10">
      <c r="A1048" t="s">
        <v>6132</v>
      </c>
      <c r="B1048">
        <v>600679</v>
      </c>
      <c r="C1048" t="s">
        <v>6133</v>
      </c>
      <c r="D1048" t="s">
        <v>172</v>
      </c>
      <c r="E1048" t="s">
        <v>129</v>
      </c>
      <c r="F1048" t="s">
        <v>6134</v>
      </c>
      <c r="G1048" t="s">
        <v>152</v>
      </c>
      <c r="H1048" t="s">
        <v>174</v>
      </c>
      <c r="I1048" t="s">
        <v>154</v>
      </c>
      <c r="J1048">
        <v>19931008</v>
      </c>
    </row>
    <row r="1049" spans="1:10">
      <c r="A1049" t="s">
        <v>3598</v>
      </c>
      <c r="B1049">
        <v>600681</v>
      </c>
      <c r="C1049" t="s">
        <v>3599</v>
      </c>
      <c r="D1049" t="s">
        <v>316</v>
      </c>
      <c r="E1049" t="s">
        <v>91</v>
      </c>
      <c r="F1049" t="s">
        <v>3600</v>
      </c>
      <c r="G1049" t="s">
        <v>152</v>
      </c>
      <c r="H1049" t="s">
        <v>174</v>
      </c>
      <c r="I1049" t="s">
        <v>154</v>
      </c>
      <c r="J1049">
        <v>19931018</v>
      </c>
    </row>
    <row r="1050" spans="1:10">
      <c r="A1050" t="s">
        <v>3115</v>
      </c>
      <c r="B1050">
        <v>600682</v>
      </c>
      <c r="C1050" t="s">
        <v>3116</v>
      </c>
      <c r="D1050" t="s">
        <v>212</v>
      </c>
      <c r="E1050" t="s">
        <v>76</v>
      </c>
      <c r="F1050" t="s">
        <v>3117</v>
      </c>
      <c r="G1050" t="s">
        <v>152</v>
      </c>
      <c r="H1050" t="s">
        <v>174</v>
      </c>
      <c r="I1050" t="s">
        <v>154</v>
      </c>
      <c r="J1050">
        <v>19931018</v>
      </c>
    </row>
    <row r="1051" spans="1:10">
      <c r="A1051" t="s">
        <v>4365</v>
      </c>
      <c r="B1051">
        <v>600683</v>
      </c>
      <c r="C1051" t="s">
        <v>4366</v>
      </c>
      <c r="D1051" t="s">
        <v>423</v>
      </c>
      <c r="E1051" t="s">
        <v>79</v>
      </c>
      <c r="F1051" t="s">
        <v>4367</v>
      </c>
      <c r="G1051" t="s">
        <v>152</v>
      </c>
      <c r="H1051" t="s">
        <v>174</v>
      </c>
      <c r="I1051" t="s">
        <v>154</v>
      </c>
      <c r="J1051">
        <v>19931025</v>
      </c>
    </row>
    <row r="1052" spans="1:10">
      <c r="A1052" t="s">
        <v>4368</v>
      </c>
      <c r="B1052">
        <v>600684</v>
      </c>
      <c r="C1052" t="s">
        <v>4369</v>
      </c>
      <c r="D1052" t="s">
        <v>223</v>
      </c>
      <c r="E1052" t="s">
        <v>84</v>
      </c>
      <c r="F1052" t="s">
        <v>4370</v>
      </c>
      <c r="G1052" t="s">
        <v>152</v>
      </c>
      <c r="H1052" t="s">
        <v>174</v>
      </c>
      <c r="I1052" t="s">
        <v>154</v>
      </c>
      <c r="J1052">
        <v>19931028</v>
      </c>
    </row>
    <row r="1053" spans="1:10">
      <c r="A1053" t="s">
        <v>3937</v>
      </c>
      <c r="B1053">
        <v>600685</v>
      </c>
      <c r="C1053" t="s">
        <v>3938</v>
      </c>
      <c r="D1053" t="s">
        <v>223</v>
      </c>
      <c r="E1053" t="s">
        <v>66</v>
      </c>
      <c r="F1053" t="s">
        <v>3939</v>
      </c>
      <c r="G1053" t="s">
        <v>152</v>
      </c>
      <c r="H1053" t="s">
        <v>174</v>
      </c>
      <c r="I1053" t="s">
        <v>154</v>
      </c>
      <c r="J1053">
        <v>19931028</v>
      </c>
    </row>
    <row r="1054" spans="1:10">
      <c r="A1054" t="s">
        <v>1951</v>
      </c>
      <c r="B1054">
        <v>600686</v>
      </c>
      <c r="C1054" t="s">
        <v>1952</v>
      </c>
      <c r="D1054" t="s">
        <v>150</v>
      </c>
      <c r="E1054" t="s">
        <v>36</v>
      </c>
      <c r="F1054" t="s">
        <v>1953</v>
      </c>
      <c r="G1054" t="s">
        <v>152</v>
      </c>
      <c r="H1054" t="s">
        <v>174</v>
      </c>
      <c r="I1054" t="s">
        <v>154</v>
      </c>
      <c r="J1054">
        <v>19931108</v>
      </c>
    </row>
    <row r="1055" spans="1:10">
      <c r="A1055" t="s">
        <v>6495</v>
      </c>
      <c r="B1055">
        <v>600688</v>
      </c>
      <c r="C1055" t="s">
        <v>6496</v>
      </c>
      <c r="D1055" t="s">
        <v>172</v>
      </c>
      <c r="E1055" t="s">
        <v>130</v>
      </c>
      <c r="F1055" t="s">
        <v>6497</v>
      </c>
      <c r="G1055" t="s">
        <v>152</v>
      </c>
      <c r="H1055" t="s">
        <v>174</v>
      </c>
      <c r="I1055" t="s">
        <v>154</v>
      </c>
      <c r="J1055">
        <v>19931108</v>
      </c>
    </row>
    <row r="1056" spans="1:10">
      <c r="A1056" t="s">
        <v>552</v>
      </c>
      <c r="B1056">
        <v>600689</v>
      </c>
      <c r="C1056" t="s">
        <v>553</v>
      </c>
      <c r="D1056" t="s">
        <v>172</v>
      </c>
      <c r="E1056" t="s">
        <v>33</v>
      </c>
      <c r="F1056" t="s">
        <v>554</v>
      </c>
      <c r="G1056" t="s">
        <v>152</v>
      </c>
      <c r="H1056" t="s">
        <v>174</v>
      </c>
      <c r="I1056" t="s">
        <v>154</v>
      </c>
      <c r="J1056">
        <v>19931108</v>
      </c>
    </row>
    <row r="1057" spans="1:10">
      <c r="A1057" t="s">
        <v>2254</v>
      </c>
      <c r="B1057">
        <v>600690</v>
      </c>
      <c r="C1057" t="s">
        <v>2255</v>
      </c>
      <c r="D1057" t="s">
        <v>198</v>
      </c>
      <c r="E1057" t="s">
        <v>8</v>
      </c>
      <c r="F1057" t="s">
        <v>2256</v>
      </c>
      <c r="G1057" t="s">
        <v>152</v>
      </c>
      <c r="H1057" t="s">
        <v>174</v>
      </c>
      <c r="I1057" t="s">
        <v>154</v>
      </c>
      <c r="J1057">
        <v>19931119</v>
      </c>
    </row>
    <row r="1058" spans="1:10">
      <c r="A1058" t="s">
        <v>555</v>
      </c>
      <c r="B1058">
        <v>600691</v>
      </c>
      <c r="C1058" t="s">
        <v>556</v>
      </c>
      <c r="D1058" t="s">
        <v>557</v>
      </c>
      <c r="E1058" t="s">
        <v>47</v>
      </c>
      <c r="F1058" t="s">
        <v>558</v>
      </c>
      <c r="G1058" t="s">
        <v>152</v>
      </c>
      <c r="H1058" t="s">
        <v>174</v>
      </c>
      <c r="I1058" t="s">
        <v>154</v>
      </c>
      <c r="J1058">
        <v>19931119</v>
      </c>
    </row>
    <row r="1059" spans="1:10">
      <c r="A1059" t="s">
        <v>4371</v>
      </c>
      <c r="B1059">
        <v>600692</v>
      </c>
      <c r="C1059" t="s">
        <v>4372</v>
      </c>
      <c r="D1059" t="s">
        <v>172</v>
      </c>
      <c r="E1059" t="s">
        <v>70</v>
      </c>
      <c r="F1059" t="s">
        <v>4373</v>
      </c>
      <c r="G1059" t="s">
        <v>152</v>
      </c>
      <c r="H1059" t="s">
        <v>174</v>
      </c>
      <c r="I1059" t="s">
        <v>154</v>
      </c>
      <c r="J1059">
        <v>19931119</v>
      </c>
    </row>
    <row r="1060" spans="1:10">
      <c r="A1060" t="s">
        <v>4500</v>
      </c>
      <c r="B1060">
        <v>600693</v>
      </c>
      <c r="C1060" t="s">
        <v>4501</v>
      </c>
      <c r="D1060" t="s">
        <v>150</v>
      </c>
      <c r="E1060" t="s">
        <v>22</v>
      </c>
      <c r="F1060" t="s">
        <v>4502</v>
      </c>
      <c r="G1060" t="s">
        <v>152</v>
      </c>
      <c r="H1060" t="s">
        <v>174</v>
      </c>
      <c r="I1060" t="s">
        <v>154</v>
      </c>
      <c r="J1060">
        <v>19931122</v>
      </c>
    </row>
    <row r="1061" spans="1:10">
      <c r="A1061" t="s">
        <v>4503</v>
      </c>
      <c r="B1061">
        <v>600694</v>
      </c>
      <c r="C1061" t="s">
        <v>4504</v>
      </c>
      <c r="D1061" t="s">
        <v>236</v>
      </c>
      <c r="E1061" t="s">
        <v>22</v>
      </c>
      <c r="F1061" t="s">
        <v>4505</v>
      </c>
      <c r="G1061" t="s">
        <v>152</v>
      </c>
      <c r="H1061" t="s">
        <v>174</v>
      </c>
      <c r="I1061" t="s">
        <v>154</v>
      </c>
      <c r="J1061">
        <v>19931122</v>
      </c>
    </row>
    <row r="1062" spans="1:10">
      <c r="A1062" t="s">
        <v>2464</v>
      </c>
      <c r="B1062">
        <v>600696</v>
      </c>
      <c r="C1062" t="s">
        <v>2465</v>
      </c>
      <c r="D1062" t="s">
        <v>172</v>
      </c>
      <c r="E1062" t="s">
        <v>12</v>
      </c>
      <c r="F1062" t="s">
        <v>2466</v>
      </c>
      <c r="G1062" t="s">
        <v>152</v>
      </c>
      <c r="H1062" t="s">
        <v>174</v>
      </c>
      <c r="I1062" t="s">
        <v>154</v>
      </c>
      <c r="J1062">
        <v>19931206</v>
      </c>
    </row>
    <row r="1063" spans="1:10">
      <c r="A1063" t="s">
        <v>4506</v>
      </c>
      <c r="B1063">
        <v>600697</v>
      </c>
      <c r="C1063" t="s">
        <v>4507</v>
      </c>
      <c r="D1063" t="s">
        <v>312</v>
      </c>
      <c r="E1063" t="s">
        <v>22</v>
      </c>
      <c r="F1063" t="s">
        <v>4508</v>
      </c>
      <c r="G1063" t="s">
        <v>152</v>
      </c>
      <c r="H1063" t="s">
        <v>174</v>
      </c>
      <c r="I1063" t="s">
        <v>154</v>
      </c>
      <c r="J1063">
        <v>19931206</v>
      </c>
    </row>
    <row r="1064" spans="1:10">
      <c r="A1064" t="s">
        <v>1954</v>
      </c>
      <c r="B1064">
        <v>600698</v>
      </c>
      <c r="C1064" t="s">
        <v>1955</v>
      </c>
      <c r="D1064" t="s">
        <v>168</v>
      </c>
      <c r="E1064" t="s">
        <v>28</v>
      </c>
      <c r="F1064" t="s">
        <v>1956</v>
      </c>
      <c r="G1064" t="s">
        <v>152</v>
      </c>
      <c r="H1064" t="s">
        <v>174</v>
      </c>
      <c r="I1064" t="s">
        <v>154</v>
      </c>
      <c r="J1064">
        <v>19931206</v>
      </c>
    </row>
    <row r="1065" spans="1:10">
      <c r="A1065" t="s">
        <v>1957</v>
      </c>
      <c r="B1065">
        <v>600699</v>
      </c>
      <c r="C1065" t="s">
        <v>1958</v>
      </c>
      <c r="D1065" t="s">
        <v>423</v>
      </c>
      <c r="E1065" t="s">
        <v>28</v>
      </c>
      <c r="F1065" t="s">
        <v>1959</v>
      </c>
      <c r="G1065" t="s">
        <v>152</v>
      </c>
      <c r="H1065" t="s">
        <v>174</v>
      </c>
      <c r="I1065" t="s">
        <v>154</v>
      </c>
      <c r="J1065">
        <v>19931206</v>
      </c>
    </row>
    <row r="1066" spans="1:10">
      <c r="A1066" t="s">
        <v>2467</v>
      </c>
      <c r="B1066">
        <v>600702</v>
      </c>
      <c r="C1066" t="s">
        <v>2468</v>
      </c>
      <c r="D1066" t="s">
        <v>219</v>
      </c>
      <c r="E1066" t="s">
        <v>12</v>
      </c>
      <c r="F1066" t="s">
        <v>2469</v>
      </c>
      <c r="G1066" t="s">
        <v>152</v>
      </c>
      <c r="H1066" t="s">
        <v>174</v>
      </c>
      <c r="I1066" t="s">
        <v>154</v>
      </c>
      <c r="J1066">
        <v>19960524</v>
      </c>
    </row>
    <row r="1067" spans="1:10">
      <c r="A1067" t="s">
        <v>1462</v>
      </c>
      <c r="B1067">
        <v>600703</v>
      </c>
      <c r="C1067" t="s">
        <v>1463</v>
      </c>
      <c r="D1067" t="s">
        <v>316</v>
      </c>
      <c r="E1067" t="s">
        <v>31</v>
      </c>
      <c r="F1067" t="s">
        <v>1464</v>
      </c>
      <c r="G1067" t="s">
        <v>152</v>
      </c>
      <c r="H1067" t="s">
        <v>174</v>
      </c>
      <c r="I1067" t="s">
        <v>154</v>
      </c>
      <c r="J1067">
        <v>19960528</v>
      </c>
    </row>
    <row r="1068" spans="1:10">
      <c r="A1068" t="s">
        <v>3940</v>
      </c>
      <c r="B1068">
        <v>600704</v>
      </c>
      <c r="C1068" t="s">
        <v>3941</v>
      </c>
      <c r="D1068" t="s">
        <v>423</v>
      </c>
      <c r="E1068" t="s">
        <v>50</v>
      </c>
      <c r="F1068" t="s">
        <v>3942</v>
      </c>
      <c r="G1068" t="s">
        <v>152</v>
      </c>
      <c r="H1068" t="s">
        <v>174</v>
      </c>
      <c r="I1068" t="s">
        <v>154</v>
      </c>
      <c r="J1068">
        <v>19960606</v>
      </c>
    </row>
    <row r="1069" spans="1:10">
      <c r="A1069" t="s">
        <v>4881</v>
      </c>
      <c r="B1069">
        <v>600705</v>
      </c>
      <c r="C1069" t="s">
        <v>4882</v>
      </c>
      <c r="D1069" t="s">
        <v>194</v>
      </c>
      <c r="E1069" t="s">
        <v>73</v>
      </c>
      <c r="F1069" t="s">
        <v>4883</v>
      </c>
      <c r="G1069" t="s">
        <v>152</v>
      </c>
      <c r="H1069" t="s">
        <v>174</v>
      </c>
      <c r="I1069" t="s">
        <v>154</v>
      </c>
      <c r="J1069">
        <v>19960516</v>
      </c>
    </row>
    <row r="1070" spans="1:10">
      <c r="A1070" t="s">
        <v>4650</v>
      </c>
      <c r="B1070">
        <v>600706</v>
      </c>
      <c r="C1070" t="s">
        <v>4651</v>
      </c>
      <c r="D1070" t="s">
        <v>419</v>
      </c>
      <c r="E1070" t="s">
        <v>72</v>
      </c>
      <c r="F1070" t="s">
        <v>4652</v>
      </c>
      <c r="G1070" t="s">
        <v>152</v>
      </c>
      <c r="H1070" t="s">
        <v>174</v>
      </c>
      <c r="I1070" t="s">
        <v>154</v>
      </c>
      <c r="J1070">
        <v>19960516</v>
      </c>
    </row>
    <row r="1071" spans="1:10">
      <c r="A1071" t="s">
        <v>1465</v>
      </c>
      <c r="B1071">
        <v>600707</v>
      </c>
      <c r="C1071" t="s">
        <v>1466</v>
      </c>
      <c r="D1071" t="s">
        <v>419</v>
      </c>
      <c r="E1071" t="s">
        <v>42</v>
      </c>
      <c r="F1071" t="s">
        <v>1467</v>
      </c>
      <c r="G1071" t="s">
        <v>152</v>
      </c>
      <c r="H1071" t="s">
        <v>174</v>
      </c>
      <c r="I1071" t="s">
        <v>154</v>
      </c>
      <c r="J1071">
        <v>19960520</v>
      </c>
    </row>
    <row r="1072" spans="1:10">
      <c r="A1072" t="s">
        <v>4374</v>
      </c>
      <c r="B1072">
        <v>600708</v>
      </c>
      <c r="C1072" t="s">
        <v>4375</v>
      </c>
      <c r="D1072" t="s">
        <v>172</v>
      </c>
      <c r="E1072" t="s">
        <v>84</v>
      </c>
      <c r="F1072" t="s">
        <v>4376</v>
      </c>
      <c r="G1072" t="s">
        <v>152</v>
      </c>
      <c r="H1072" t="s">
        <v>174</v>
      </c>
      <c r="I1072" t="s">
        <v>154</v>
      </c>
      <c r="J1072">
        <v>19960606</v>
      </c>
    </row>
    <row r="1073" spans="1:10">
      <c r="A1073" t="s">
        <v>4509</v>
      </c>
      <c r="B1073">
        <v>600710</v>
      </c>
      <c r="C1073" t="s">
        <v>4510</v>
      </c>
      <c r="D1073" t="s">
        <v>212</v>
      </c>
      <c r="E1073" t="s">
        <v>71</v>
      </c>
      <c r="F1073" t="s">
        <v>4511</v>
      </c>
      <c r="G1073" t="s">
        <v>152</v>
      </c>
      <c r="H1073" t="s">
        <v>174</v>
      </c>
      <c r="I1073" t="s">
        <v>154</v>
      </c>
      <c r="J1073">
        <v>19960701</v>
      </c>
    </row>
    <row r="1074" spans="1:10">
      <c r="A1074" t="s">
        <v>6708</v>
      </c>
      <c r="B1074">
        <v>600711</v>
      </c>
      <c r="C1074" t="s">
        <v>1112</v>
      </c>
      <c r="D1074" t="s">
        <v>150</v>
      </c>
      <c r="E1074" t="s">
        <v>41</v>
      </c>
      <c r="F1074" t="s">
        <v>1113</v>
      </c>
      <c r="G1074" t="s">
        <v>152</v>
      </c>
      <c r="H1074" t="s">
        <v>174</v>
      </c>
      <c r="I1074" t="s">
        <v>154</v>
      </c>
      <c r="J1074">
        <v>19960531</v>
      </c>
    </row>
    <row r="1075" spans="1:10">
      <c r="A1075" t="s">
        <v>4512</v>
      </c>
      <c r="B1075">
        <v>600712</v>
      </c>
      <c r="C1075" t="s">
        <v>4513</v>
      </c>
      <c r="D1075" t="s">
        <v>345</v>
      </c>
      <c r="E1075" t="s">
        <v>22</v>
      </c>
      <c r="F1075" t="s">
        <v>4514</v>
      </c>
      <c r="G1075" t="s">
        <v>152</v>
      </c>
      <c r="H1075" t="s">
        <v>174</v>
      </c>
      <c r="I1075" t="s">
        <v>154</v>
      </c>
      <c r="J1075">
        <v>19960626</v>
      </c>
    </row>
    <row r="1076" spans="1:10">
      <c r="A1076" t="s">
        <v>3250</v>
      </c>
      <c r="B1076">
        <v>600713</v>
      </c>
      <c r="C1076" t="s">
        <v>3251</v>
      </c>
      <c r="D1076" t="s">
        <v>212</v>
      </c>
      <c r="E1076" t="s">
        <v>95</v>
      </c>
      <c r="F1076" t="s">
        <v>3252</v>
      </c>
      <c r="G1076" t="s">
        <v>152</v>
      </c>
      <c r="H1076" t="s">
        <v>174</v>
      </c>
      <c r="I1076" t="s">
        <v>154</v>
      </c>
      <c r="J1076">
        <v>19960701</v>
      </c>
    </row>
    <row r="1077" spans="1:10">
      <c r="A1077" t="s">
        <v>559</v>
      </c>
      <c r="B1077">
        <v>600714</v>
      </c>
      <c r="C1077" t="s">
        <v>560</v>
      </c>
      <c r="D1077" t="s">
        <v>308</v>
      </c>
      <c r="E1077" t="s">
        <v>14</v>
      </c>
      <c r="F1077" t="s">
        <v>561</v>
      </c>
      <c r="G1077" t="s">
        <v>152</v>
      </c>
      <c r="H1077" t="s">
        <v>174</v>
      </c>
      <c r="I1077" t="s">
        <v>154</v>
      </c>
      <c r="J1077">
        <v>19960606</v>
      </c>
    </row>
    <row r="1078" spans="1:10">
      <c r="A1078" t="s">
        <v>6069</v>
      </c>
      <c r="B1078">
        <v>600715</v>
      </c>
      <c r="C1078" t="s">
        <v>6070</v>
      </c>
      <c r="D1078" t="s">
        <v>236</v>
      </c>
      <c r="E1078" t="s">
        <v>124</v>
      </c>
      <c r="F1078" t="s">
        <v>6071</v>
      </c>
      <c r="G1078" t="s">
        <v>152</v>
      </c>
      <c r="H1078" t="s">
        <v>174</v>
      </c>
      <c r="I1078" t="s">
        <v>154</v>
      </c>
      <c r="J1078">
        <v>19960701</v>
      </c>
    </row>
    <row r="1079" spans="1:10">
      <c r="A1079" t="s">
        <v>4377</v>
      </c>
      <c r="B1079">
        <v>600716</v>
      </c>
      <c r="C1079" t="s">
        <v>4378</v>
      </c>
      <c r="D1079" t="s">
        <v>212</v>
      </c>
      <c r="E1079" t="s">
        <v>79</v>
      </c>
      <c r="F1079" t="s">
        <v>4379</v>
      </c>
      <c r="G1079" t="s">
        <v>152</v>
      </c>
      <c r="H1079" t="s">
        <v>174</v>
      </c>
      <c r="I1079" t="s">
        <v>154</v>
      </c>
      <c r="J1079">
        <v>19960702</v>
      </c>
    </row>
    <row r="1080" spans="1:10">
      <c r="A1080" t="s">
        <v>3943</v>
      </c>
      <c r="B1080">
        <v>600717</v>
      </c>
      <c r="C1080" t="s">
        <v>3944</v>
      </c>
      <c r="D1080" t="s">
        <v>576</v>
      </c>
      <c r="E1080" t="s">
        <v>83</v>
      </c>
      <c r="F1080" t="s">
        <v>3945</v>
      </c>
      <c r="G1080" t="s">
        <v>152</v>
      </c>
      <c r="H1080" t="s">
        <v>174</v>
      </c>
      <c r="I1080" t="s">
        <v>154</v>
      </c>
      <c r="J1080">
        <v>19960614</v>
      </c>
    </row>
    <row r="1081" spans="1:10">
      <c r="A1081" t="s">
        <v>5925</v>
      </c>
      <c r="B1081">
        <v>600718</v>
      </c>
      <c r="C1081" t="s">
        <v>5926</v>
      </c>
      <c r="D1081" t="s">
        <v>236</v>
      </c>
      <c r="E1081" t="s">
        <v>123</v>
      </c>
      <c r="F1081" t="s">
        <v>5927</v>
      </c>
      <c r="G1081" t="s">
        <v>152</v>
      </c>
      <c r="H1081" t="s">
        <v>174</v>
      </c>
      <c r="I1081" t="s">
        <v>154</v>
      </c>
      <c r="J1081">
        <v>19960618</v>
      </c>
    </row>
    <row r="1082" spans="1:10">
      <c r="A1082" t="s">
        <v>3601</v>
      </c>
      <c r="B1082">
        <v>600719</v>
      </c>
      <c r="C1082" t="s">
        <v>3602</v>
      </c>
      <c r="D1082" t="s">
        <v>236</v>
      </c>
      <c r="E1082" t="s">
        <v>91</v>
      </c>
      <c r="F1082" t="s">
        <v>3603</v>
      </c>
      <c r="G1082" t="s">
        <v>152</v>
      </c>
      <c r="H1082" t="s">
        <v>174</v>
      </c>
      <c r="I1082" t="s">
        <v>154</v>
      </c>
      <c r="J1082">
        <v>19960716</v>
      </c>
    </row>
    <row r="1083" spans="1:10">
      <c r="A1083" t="s">
        <v>5127</v>
      </c>
      <c r="B1083">
        <v>600720</v>
      </c>
      <c r="C1083" t="s">
        <v>5128</v>
      </c>
      <c r="D1083" t="s">
        <v>177</v>
      </c>
      <c r="E1083" t="s">
        <v>75</v>
      </c>
      <c r="F1083" t="s">
        <v>5129</v>
      </c>
      <c r="G1083" t="s">
        <v>152</v>
      </c>
      <c r="H1083" t="s">
        <v>174</v>
      </c>
      <c r="I1083" t="s">
        <v>154</v>
      </c>
      <c r="J1083">
        <v>19960716</v>
      </c>
    </row>
    <row r="1084" spans="1:10">
      <c r="A1084" t="s">
        <v>3130</v>
      </c>
      <c r="B1084">
        <v>600721</v>
      </c>
      <c r="C1084" t="s">
        <v>3131</v>
      </c>
      <c r="D1084" t="s">
        <v>202</v>
      </c>
      <c r="E1084" t="s">
        <v>76</v>
      </c>
      <c r="F1084" t="s">
        <v>3132</v>
      </c>
      <c r="G1084" t="s">
        <v>152</v>
      </c>
      <c r="H1084" t="s">
        <v>174</v>
      </c>
      <c r="I1084" t="s">
        <v>154</v>
      </c>
      <c r="J1084">
        <v>19960626</v>
      </c>
    </row>
    <row r="1085" spans="1:10">
      <c r="A1085" t="s">
        <v>562</v>
      </c>
      <c r="B1085">
        <v>600722</v>
      </c>
      <c r="C1085" t="s">
        <v>563</v>
      </c>
      <c r="D1085" t="s">
        <v>279</v>
      </c>
      <c r="E1085" t="s">
        <v>14</v>
      </c>
      <c r="F1085" t="s">
        <v>564</v>
      </c>
      <c r="G1085" t="s">
        <v>152</v>
      </c>
      <c r="H1085" t="s">
        <v>174</v>
      </c>
      <c r="I1085" t="s">
        <v>154</v>
      </c>
      <c r="J1085">
        <v>19960626</v>
      </c>
    </row>
    <row r="1086" spans="1:10">
      <c r="A1086" t="s">
        <v>5130</v>
      </c>
      <c r="B1086">
        <v>600724</v>
      </c>
      <c r="C1086" t="s">
        <v>5131</v>
      </c>
      <c r="D1086" t="s">
        <v>423</v>
      </c>
      <c r="E1086" t="s">
        <v>75</v>
      </c>
      <c r="F1086" t="s">
        <v>5132</v>
      </c>
      <c r="G1086" t="s">
        <v>152</v>
      </c>
      <c r="H1086" t="s">
        <v>174</v>
      </c>
      <c r="I1086" t="s">
        <v>154</v>
      </c>
      <c r="J1086">
        <v>19960716</v>
      </c>
    </row>
    <row r="1087" spans="1:10">
      <c r="A1087" t="s">
        <v>6399</v>
      </c>
      <c r="B1087">
        <v>600725</v>
      </c>
      <c r="C1087" t="s">
        <v>6400</v>
      </c>
      <c r="D1087" t="s">
        <v>184</v>
      </c>
      <c r="E1087" t="s">
        <v>117</v>
      </c>
      <c r="F1087" t="s">
        <v>6401</v>
      </c>
      <c r="G1087" t="s">
        <v>152</v>
      </c>
      <c r="H1087" t="s">
        <v>174</v>
      </c>
      <c r="I1087" t="s">
        <v>154</v>
      </c>
      <c r="J1087">
        <v>19960702</v>
      </c>
    </row>
    <row r="1088" spans="1:10">
      <c r="A1088" t="s">
        <v>3604</v>
      </c>
      <c r="B1088">
        <v>600726</v>
      </c>
      <c r="C1088" t="s">
        <v>3605</v>
      </c>
      <c r="D1088" t="s">
        <v>194</v>
      </c>
      <c r="E1088" t="s">
        <v>77</v>
      </c>
      <c r="F1088" t="s">
        <v>3606</v>
      </c>
      <c r="G1088" t="s">
        <v>152</v>
      </c>
      <c r="H1088" t="s">
        <v>174</v>
      </c>
      <c r="I1088" t="s">
        <v>154</v>
      </c>
      <c r="J1088">
        <v>19960701</v>
      </c>
    </row>
    <row r="1089" spans="1:10">
      <c r="A1089" t="s">
        <v>565</v>
      </c>
      <c r="B1089">
        <v>600727</v>
      </c>
      <c r="C1089" t="s">
        <v>566</v>
      </c>
      <c r="D1089" t="s">
        <v>198</v>
      </c>
      <c r="E1089" t="s">
        <v>14</v>
      </c>
      <c r="F1089" t="s">
        <v>567</v>
      </c>
      <c r="G1089" t="s">
        <v>152</v>
      </c>
      <c r="H1089" t="s">
        <v>174</v>
      </c>
      <c r="I1089" t="s">
        <v>154</v>
      </c>
      <c r="J1089">
        <v>19960702</v>
      </c>
    </row>
    <row r="1090" spans="1:10">
      <c r="A1090" t="s">
        <v>5928</v>
      </c>
      <c r="B1090">
        <v>600728</v>
      </c>
      <c r="C1090" t="s">
        <v>5929</v>
      </c>
      <c r="D1090" t="s">
        <v>223</v>
      </c>
      <c r="E1090" t="s">
        <v>123</v>
      </c>
      <c r="F1090" t="s">
        <v>5930</v>
      </c>
      <c r="G1090" t="s">
        <v>152</v>
      </c>
      <c r="H1090" t="s">
        <v>174</v>
      </c>
      <c r="I1090" t="s">
        <v>154</v>
      </c>
      <c r="J1090">
        <v>19960716</v>
      </c>
    </row>
    <row r="1091" spans="1:10">
      <c r="A1091" t="s">
        <v>4515</v>
      </c>
      <c r="B1091">
        <v>600729</v>
      </c>
      <c r="C1091" t="s">
        <v>4516</v>
      </c>
      <c r="D1091" t="s">
        <v>937</v>
      </c>
      <c r="E1091" t="s">
        <v>22</v>
      </c>
      <c r="F1091" t="s">
        <v>4517</v>
      </c>
      <c r="G1091" t="s">
        <v>152</v>
      </c>
      <c r="H1091" t="s">
        <v>174</v>
      </c>
      <c r="I1091" t="s">
        <v>154</v>
      </c>
      <c r="J1091">
        <v>19960702</v>
      </c>
    </row>
    <row r="1092" spans="1:10">
      <c r="A1092" t="s">
        <v>5040</v>
      </c>
      <c r="B1092">
        <v>600730</v>
      </c>
      <c r="C1092" t="s">
        <v>5041</v>
      </c>
      <c r="D1092" t="s">
        <v>164</v>
      </c>
      <c r="E1092" t="s">
        <v>74</v>
      </c>
      <c r="F1092" t="s">
        <v>5042</v>
      </c>
      <c r="G1092" t="s">
        <v>152</v>
      </c>
      <c r="H1092" t="s">
        <v>174</v>
      </c>
      <c r="I1092" t="s">
        <v>154</v>
      </c>
      <c r="J1092">
        <v>19960726</v>
      </c>
    </row>
    <row r="1093" spans="1:10">
      <c r="A1093" t="s">
        <v>568</v>
      </c>
      <c r="B1093">
        <v>600731</v>
      </c>
      <c r="C1093" t="s">
        <v>569</v>
      </c>
      <c r="D1093" t="s">
        <v>168</v>
      </c>
      <c r="E1093" t="s">
        <v>47</v>
      </c>
      <c r="F1093" t="s">
        <v>570</v>
      </c>
      <c r="G1093" t="s">
        <v>152</v>
      </c>
      <c r="H1093" t="s">
        <v>174</v>
      </c>
      <c r="I1093" t="s">
        <v>154</v>
      </c>
      <c r="J1093">
        <v>19960802</v>
      </c>
    </row>
    <row r="1094" spans="1:10">
      <c r="A1094" t="s">
        <v>1468</v>
      </c>
      <c r="B1094">
        <v>600732</v>
      </c>
      <c r="C1094" t="s">
        <v>1469</v>
      </c>
      <c r="D1094" t="s">
        <v>172</v>
      </c>
      <c r="E1094" t="s">
        <v>17</v>
      </c>
      <c r="F1094" t="s">
        <v>1470</v>
      </c>
      <c r="G1094" t="s">
        <v>152</v>
      </c>
      <c r="H1094" t="s">
        <v>174</v>
      </c>
      <c r="I1094" t="s">
        <v>154</v>
      </c>
      <c r="J1094">
        <v>19960816</v>
      </c>
    </row>
    <row r="1095" spans="1:10">
      <c r="A1095" t="s">
        <v>1960</v>
      </c>
      <c r="B1095">
        <v>600733</v>
      </c>
      <c r="C1095" t="s">
        <v>1961</v>
      </c>
      <c r="D1095" t="s">
        <v>164</v>
      </c>
      <c r="E1095" t="s">
        <v>36</v>
      </c>
      <c r="F1095" t="s">
        <v>1962</v>
      </c>
      <c r="G1095" t="s">
        <v>152</v>
      </c>
      <c r="H1095" t="s">
        <v>174</v>
      </c>
      <c r="I1095" t="s">
        <v>154</v>
      </c>
      <c r="J1095">
        <v>19960816</v>
      </c>
    </row>
    <row r="1096" spans="1:10">
      <c r="A1096" t="s">
        <v>1471</v>
      </c>
      <c r="B1096">
        <v>600734</v>
      </c>
      <c r="C1096" t="s">
        <v>1472</v>
      </c>
      <c r="D1096" t="s">
        <v>150</v>
      </c>
      <c r="E1096" t="s">
        <v>1</v>
      </c>
      <c r="F1096" t="s">
        <v>1473</v>
      </c>
      <c r="G1096" t="s">
        <v>152</v>
      </c>
      <c r="H1096" t="s">
        <v>174</v>
      </c>
      <c r="I1096" t="s">
        <v>154</v>
      </c>
      <c r="J1096">
        <v>19960808</v>
      </c>
    </row>
    <row r="1097" spans="1:10">
      <c r="A1097" t="s">
        <v>2659</v>
      </c>
      <c r="B1097">
        <v>600735</v>
      </c>
      <c r="C1097" t="s">
        <v>2660</v>
      </c>
      <c r="D1097" t="s">
        <v>198</v>
      </c>
      <c r="E1097" t="s">
        <v>20</v>
      </c>
      <c r="F1097" t="s">
        <v>2661</v>
      </c>
      <c r="G1097" t="s">
        <v>152</v>
      </c>
      <c r="H1097" t="s">
        <v>174</v>
      </c>
      <c r="I1097" t="s">
        <v>154</v>
      </c>
      <c r="J1097">
        <v>19960726</v>
      </c>
    </row>
    <row r="1098" spans="1:10">
      <c r="A1098" t="s">
        <v>4380</v>
      </c>
      <c r="B1098">
        <v>600736</v>
      </c>
      <c r="C1098" t="s">
        <v>4381</v>
      </c>
      <c r="D1098" t="s">
        <v>212</v>
      </c>
      <c r="E1098" t="s">
        <v>93</v>
      </c>
      <c r="F1098" t="s">
        <v>4382</v>
      </c>
      <c r="G1098" t="s">
        <v>152</v>
      </c>
      <c r="H1098" t="s">
        <v>174</v>
      </c>
      <c r="I1098" t="s">
        <v>154</v>
      </c>
      <c r="J1098">
        <v>19960815</v>
      </c>
    </row>
    <row r="1099" spans="1:10">
      <c r="A1099" t="s">
        <v>2470</v>
      </c>
      <c r="B1099">
        <v>600737</v>
      </c>
      <c r="C1099" t="s">
        <v>2471</v>
      </c>
      <c r="D1099" t="s">
        <v>202</v>
      </c>
      <c r="E1099" t="s">
        <v>19</v>
      </c>
      <c r="F1099" t="s">
        <v>2472</v>
      </c>
      <c r="G1099" t="s">
        <v>152</v>
      </c>
      <c r="H1099" t="s">
        <v>174</v>
      </c>
      <c r="I1099" t="s">
        <v>154</v>
      </c>
      <c r="J1099">
        <v>19960731</v>
      </c>
    </row>
    <row r="1100" spans="1:10">
      <c r="A1100" t="s">
        <v>4518</v>
      </c>
      <c r="B1100">
        <v>600738</v>
      </c>
      <c r="C1100" t="s">
        <v>4519</v>
      </c>
      <c r="D1100" t="s">
        <v>177</v>
      </c>
      <c r="E1100" t="s">
        <v>22</v>
      </c>
      <c r="F1100" t="s">
        <v>4520</v>
      </c>
      <c r="G1100" t="s">
        <v>152</v>
      </c>
      <c r="H1100" t="s">
        <v>174</v>
      </c>
      <c r="I1100" t="s">
        <v>154</v>
      </c>
      <c r="J1100">
        <v>19960802</v>
      </c>
    </row>
    <row r="1101" spans="1:10">
      <c r="A1101" t="s">
        <v>3121</v>
      </c>
      <c r="B1101">
        <v>600739</v>
      </c>
      <c r="C1101" t="s">
        <v>3122</v>
      </c>
      <c r="D1101" t="s">
        <v>236</v>
      </c>
      <c r="E1101" t="s">
        <v>76</v>
      </c>
      <c r="F1101" t="s">
        <v>3123</v>
      </c>
      <c r="G1101" t="s">
        <v>152</v>
      </c>
      <c r="H1101" t="s">
        <v>174</v>
      </c>
      <c r="I1101" t="s">
        <v>154</v>
      </c>
      <c r="J1101">
        <v>19960819</v>
      </c>
    </row>
    <row r="1102" spans="1:10">
      <c r="A1102" t="s">
        <v>6402</v>
      </c>
      <c r="B1102">
        <v>600740</v>
      </c>
      <c r="C1102" t="s">
        <v>6403</v>
      </c>
      <c r="D1102" t="s">
        <v>557</v>
      </c>
      <c r="E1102" t="s">
        <v>117</v>
      </c>
      <c r="F1102" t="s">
        <v>6404</v>
      </c>
      <c r="G1102" t="s">
        <v>152</v>
      </c>
      <c r="H1102" t="s">
        <v>174</v>
      </c>
      <c r="I1102" t="s">
        <v>154</v>
      </c>
      <c r="J1102">
        <v>19960808</v>
      </c>
    </row>
    <row r="1103" spans="1:10">
      <c r="A1103" t="s">
        <v>1963</v>
      </c>
      <c r="B1103">
        <v>600741</v>
      </c>
      <c r="C1103" t="s">
        <v>1964</v>
      </c>
      <c r="D1103" t="s">
        <v>172</v>
      </c>
      <c r="E1103" t="s">
        <v>28</v>
      </c>
      <c r="F1103" t="s">
        <v>1965</v>
      </c>
      <c r="G1103" t="s">
        <v>152</v>
      </c>
      <c r="H1103" t="s">
        <v>174</v>
      </c>
      <c r="I1103" t="s">
        <v>154</v>
      </c>
      <c r="J1103">
        <v>19960826</v>
      </c>
    </row>
    <row r="1104" spans="1:10">
      <c r="A1104" t="s">
        <v>1966</v>
      </c>
      <c r="B1104">
        <v>600742</v>
      </c>
      <c r="C1104" t="s">
        <v>1967</v>
      </c>
      <c r="D1104" t="s">
        <v>312</v>
      </c>
      <c r="E1104" t="s">
        <v>28</v>
      </c>
      <c r="F1104" t="s">
        <v>1968</v>
      </c>
      <c r="G1104" t="s">
        <v>152</v>
      </c>
      <c r="H1104" t="s">
        <v>174</v>
      </c>
      <c r="I1104" t="s">
        <v>154</v>
      </c>
      <c r="J1104">
        <v>19960826</v>
      </c>
    </row>
    <row r="1105" spans="1:10">
      <c r="A1105" t="s">
        <v>4383</v>
      </c>
      <c r="B1105">
        <v>600743</v>
      </c>
      <c r="C1105" t="s">
        <v>4384</v>
      </c>
      <c r="D1105" t="s">
        <v>164</v>
      </c>
      <c r="E1105" t="s">
        <v>79</v>
      </c>
      <c r="F1105" t="s">
        <v>4385</v>
      </c>
      <c r="G1105" t="s">
        <v>152</v>
      </c>
      <c r="H1105" t="s">
        <v>174</v>
      </c>
      <c r="I1105" t="s">
        <v>154</v>
      </c>
      <c r="J1105">
        <v>19960909</v>
      </c>
    </row>
    <row r="1106" spans="1:10">
      <c r="A1106" t="s">
        <v>3607</v>
      </c>
      <c r="B1106">
        <v>600744</v>
      </c>
      <c r="C1106" t="s">
        <v>3608</v>
      </c>
      <c r="D1106" t="s">
        <v>168</v>
      </c>
      <c r="E1106" t="s">
        <v>77</v>
      </c>
      <c r="F1106" t="s">
        <v>3609</v>
      </c>
      <c r="G1106" t="s">
        <v>152</v>
      </c>
      <c r="H1106" t="s">
        <v>174</v>
      </c>
      <c r="I1106" t="s">
        <v>154</v>
      </c>
      <c r="J1106">
        <v>19960905</v>
      </c>
    </row>
    <row r="1107" spans="1:10">
      <c r="A1107" t="s">
        <v>1474</v>
      </c>
      <c r="B1107">
        <v>600745</v>
      </c>
      <c r="C1107" t="s">
        <v>1475</v>
      </c>
      <c r="D1107" t="s">
        <v>316</v>
      </c>
      <c r="E1107" t="s">
        <v>31</v>
      </c>
      <c r="F1107" t="s">
        <v>1476</v>
      </c>
      <c r="G1107" t="s">
        <v>152</v>
      </c>
      <c r="H1107" t="s">
        <v>174</v>
      </c>
      <c r="I1107" t="s">
        <v>154</v>
      </c>
      <c r="J1107">
        <v>19960828</v>
      </c>
    </row>
    <row r="1108" spans="1:10">
      <c r="A1108" t="s">
        <v>571</v>
      </c>
      <c r="B1108">
        <v>600746</v>
      </c>
      <c r="C1108" t="s">
        <v>572</v>
      </c>
      <c r="D1108" t="s">
        <v>212</v>
      </c>
      <c r="E1108" t="s">
        <v>14</v>
      </c>
      <c r="F1108" t="s">
        <v>573</v>
      </c>
      <c r="G1108" t="s">
        <v>152</v>
      </c>
      <c r="H1108" t="s">
        <v>174</v>
      </c>
      <c r="I1108" t="s">
        <v>154</v>
      </c>
      <c r="J1108">
        <v>19960918</v>
      </c>
    </row>
    <row r="1109" spans="1:10">
      <c r="A1109" t="s">
        <v>4386</v>
      </c>
      <c r="B1109">
        <v>600748</v>
      </c>
      <c r="C1109" t="s">
        <v>4387</v>
      </c>
      <c r="D1109" t="s">
        <v>172</v>
      </c>
      <c r="E1109" t="s">
        <v>84</v>
      </c>
      <c r="F1109" t="s">
        <v>4388</v>
      </c>
      <c r="G1109" t="s">
        <v>152</v>
      </c>
      <c r="H1109" t="s">
        <v>174</v>
      </c>
      <c r="I1109" t="s">
        <v>154</v>
      </c>
      <c r="J1109">
        <v>19960925</v>
      </c>
    </row>
    <row r="1110" spans="1:10">
      <c r="A1110" t="s">
        <v>4653</v>
      </c>
      <c r="B1110">
        <v>600749</v>
      </c>
      <c r="C1110" t="s">
        <v>4654</v>
      </c>
      <c r="D1110" t="s">
        <v>1001</v>
      </c>
      <c r="E1110" t="s">
        <v>80</v>
      </c>
      <c r="F1110" t="s">
        <v>4655</v>
      </c>
      <c r="G1110" t="s">
        <v>152</v>
      </c>
      <c r="H1110" t="s">
        <v>174</v>
      </c>
      <c r="I1110" t="s">
        <v>154</v>
      </c>
      <c r="J1110">
        <v>19961015</v>
      </c>
    </row>
    <row r="1111" spans="1:10">
      <c r="A1111" t="s">
        <v>3349</v>
      </c>
      <c r="B1111">
        <v>600750</v>
      </c>
      <c r="C1111" t="s">
        <v>3350</v>
      </c>
      <c r="D1111" t="s">
        <v>406</v>
      </c>
      <c r="E1111" t="s">
        <v>67</v>
      </c>
      <c r="F1111" t="s">
        <v>3351</v>
      </c>
      <c r="G1111" t="s">
        <v>152</v>
      </c>
      <c r="H1111" t="s">
        <v>174</v>
      </c>
      <c r="I1111" t="s">
        <v>154</v>
      </c>
      <c r="J1111">
        <v>19960923</v>
      </c>
    </row>
    <row r="1112" spans="1:10">
      <c r="A1112" t="s">
        <v>1477</v>
      </c>
      <c r="B1112">
        <v>600751</v>
      </c>
      <c r="C1112" t="s">
        <v>1478</v>
      </c>
      <c r="D1112" t="s">
        <v>576</v>
      </c>
      <c r="E1112" t="s">
        <v>42</v>
      </c>
      <c r="F1112" t="s">
        <v>1479</v>
      </c>
      <c r="G1112" t="s">
        <v>152</v>
      </c>
      <c r="H1112" t="s">
        <v>174</v>
      </c>
      <c r="I1112" t="s">
        <v>154</v>
      </c>
      <c r="J1112">
        <v>19960909</v>
      </c>
    </row>
    <row r="1113" spans="1:10">
      <c r="A1113" t="s">
        <v>4521</v>
      </c>
      <c r="B1113">
        <v>600753</v>
      </c>
      <c r="C1113" t="s">
        <v>4522</v>
      </c>
      <c r="D1113" t="s">
        <v>150</v>
      </c>
      <c r="E1113" t="s">
        <v>71</v>
      </c>
      <c r="F1113" t="s">
        <v>4523</v>
      </c>
      <c r="G1113" t="s">
        <v>152</v>
      </c>
      <c r="H1113" t="s">
        <v>174</v>
      </c>
      <c r="I1113" t="s">
        <v>154</v>
      </c>
      <c r="J1113">
        <v>19960927</v>
      </c>
    </row>
    <row r="1114" spans="1:10">
      <c r="A1114" t="s">
        <v>4656</v>
      </c>
      <c r="B1114">
        <v>600754</v>
      </c>
      <c r="C1114" t="s">
        <v>4657</v>
      </c>
      <c r="D1114" t="s">
        <v>172</v>
      </c>
      <c r="E1114" t="s">
        <v>86</v>
      </c>
      <c r="F1114" t="s">
        <v>4658</v>
      </c>
      <c r="G1114" t="s">
        <v>152</v>
      </c>
      <c r="H1114" t="s">
        <v>174</v>
      </c>
      <c r="I1114" t="s">
        <v>154</v>
      </c>
      <c r="J1114">
        <v>19961011</v>
      </c>
    </row>
    <row r="1115" spans="1:10">
      <c r="A1115" t="s">
        <v>3946</v>
      </c>
      <c r="B1115">
        <v>600755</v>
      </c>
      <c r="C1115" t="s">
        <v>3947</v>
      </c>
      <c r="D1115" t="s">
        <v>150</v>
      </c>
      <c r="E1115" t="s">
        <v>50</v>
      </c>
      <c r="F1115" t="s">
        <v>3948</v>
      </c>
      <c r="G1115" t="s">
        <v>152</v>
      </c>
      <c r="H1115" t="s">
        <v>174</v>
      </c>
      <c r="I1115" t="s">
        <v>154</v>
      </c>
      <c r="J1115">
        <v>19961003</v>
      </c>
    </row>
    <row r="1116" spans="1:10">
      <c r="A1116" t="s">
        <v>5931</v>
      </c>
      <c r="B1116">
        <v>600756</v>
      </c>
      <c r="C1116" t="s">
        <v>5932</v>
      </c>
      <c r="D1116" t="s">
        <v>198</v>
      </c>
      <c r="E1116" t="s">
        <v>123</v>
      </c>
      <c r="F1116" t="s">
        <v>5933</v>
      </c>
      <c r="G1116" t="s">
        <v>152</v>
      </c>
      <c r="H1116" t="s">
        <v>174</v>
      </c>
      <c r="I1116" t="s">
        <v>154</v>
      </c>
      <c r="J1116">
        <v>19960923</v>
      </c>
    </row>
    <row r="1117" spans="1:10">
      <c r="A1117" t="s">
        <v>6174</v>
      </c>
      <c r="B1117">
        <v>600757</v>
      </c>
      <c r="C1117" t="s">
        <v>6175</v>
      </c>
      <c r="D1117" t="s">
        <v>316</v>
      </c>
      <c r="E1117" t="s">
        <v>55</v>
      </c>
      <c r="F1117" t="s">
        <v>6176</v>
      </c>
      <c r="G1117" t="s">
        <v>152</v>
      </c>
      <c r="H1117" t="s">
        <v>174</v>
      </c>
      <c r="I1117" t="s">
        <v>154</v>
      </c>
      <c r="J1117">
        <v>19961003</v>
      </c>
    </row>
    <row r="1118" spans="1:10">
      <c r="A1118" t="s">
        <v>6405</v>
      </c>
      <c r="B1118">
        <v>600758</v>
      </c>
      <c r="C1118" t="s">
        <v>6406</v>
      </c>
      <c r="D1118" t="s">
        <v>236</v>
      </c>
      <c r="E1118" t="s">
        <v>126</v>
      </c>
      <c r="F1118" t="s">
        <v>6407</v>
      </c>
      <c r="G1118" t="s">
        <v>152</v>
      </c>
      <c r="H1118" t="s">
        <v>174</v>
      </c>
      <c r="I1118" t="s">
        <v>154</v>
      </c>
      <c r="J1118">
        <v>19961029</v>
      </c>
    </row>
    <row r="1119" spans="1:10">
      <c r="A1119" t="s">
        <v>6498</v>
      </c>
      <c r="B1119">
        <v>600759</v>
      </c>
      <c r="C1119" t="s">
        <v>6499</v>
      </c>
      <c r="D1119" t="s">
        <v>250</v>
      </c>
      <c r="E1119" t="s">
        <v>118</v>
      </c>
      <c r="F1119" t="s">
        <v>6500</v>
      </c>
      <c r="G1119" t="s">
        <v>152</v>
      </c>
      <c r="H1119" t="s">
        <v>174</v>
      </c>
      <c r="I1119" t="s">
        <v>154</v>
      </c>
      <c r="J1119">
        <v>19961008</v>
      </c>
    </row>
    <row r="1120" spans="1:10">
      <c r="A1120" t="s">
        <v>3949</v>
      </c>
      <c r="B1120">
        <v>600760</v>
      </c>
      <c r="C1120" t="s">
        <v>3950</v>
      </c>
      <c r="D1120" t="s">
        <v>198</v>
      </c>
      <c r="E1120" t="s">
        <v>102</v>
      </c>
      <c r="F1120" t="s">
        <v>3951</v>
      </c>
      <c r="G1120" t="s">
        <v>152</v>
      </c>
      <c r="H1120" t="s">
        <v>174</v>
      </c>
      <c r="I1120" t="s">
        <v>154</v>
      </c>
      <c r="J1120">
        <v>19961011</v>
      </c>
    </row>
    <row r="1121" spans="1:10">
      <c r="A1121" t="s">
        <v>5568</v>
      </c>
      <c r="B1121">
        <v>600761</v>
      </c>
      <c r="C1121" t="s">
        <v>5569</v>
      </c>
      <c r="D1121" t="s">
        <v>160</v>
      </c>
      <c r="E1121" t="s">
        <v>104</v>
      </c>
      <c r="F1121" t="s">
        <v>5570</v>
      </c>
      <c r="G1121" t="s">
        <v>152</v>
      </c>
      <c r="H1121" t="s">
        <v>174</v>
      </c>
      <c r="I1121" t="s">
        <v>154</v>
      </c>
      <c r="J1121">
        <v>19961009</v>
      </c>
    </row>
    <row r="1122" spans="1:10">
      <c r="A1122" t="s">
        <v>3202</v>
      </c>
      <c r="B1122">
        <v>600763</v>
      </c>
      <c r="C1122" t="s">
        <v>3203</v>
      </c>
      <c r="D1122" t="s">
        <v>423</v>
      </c>
      <c r="E1122" t="s">
        <v>90</v>
      </c>
      <c r="F1122" t="s">
        <v>3204</v>
      </c>
      <c r="G1122" t="s">
        <v>152</v>
      </c>
      <c r="H1122" t="s">
        <v>174</v>
      </c>
      <c r="I1122" t="s">
        <v>154</v>
      </c>
      <c r="J1122">
        <v>19961030</v>
      </c>
    </row>
    <row r="1123" spans="1:10">
      <c r="A1123" t="s">
        <v>3952</v>
      </c>
      <c r="B1123">
        <v>600764</v>
      </c>
      <c r="C1123" t="s">
        <v>3953</v>
      </c>
      <c r="D1123" t="s">
        <v>164</v>
      </c>
      <c r="E1123" t="s">
        <v>66</v>
      </c>
      <c r="F1123" t="s">
        <v>3954</v>
      </c>
      <c r="G1123" t="s">
        <v>152</v>
      </c>
      <c r="H1123" t="s">
        <v>174</v>
      </c>
      <c r="I1123" t="s">
        <v>154</v>
      </c>
      <c r="J1123">
        <v>19961104</v>
      </c>
    </row>
    <row r="1124" spans="1:10">
      <c r="A1124" t="s">
        <v>3955</v>
      </c>
      <c r="B1124">
        <v>600765</v>
      </c>
      <c r="C1124" t="s">
        <v>3956</v>
      </c>
      <c r="D1124" t="s">
        <v>463</v>
      </c>
      <c r="E1124" t="s">
        <v>102</v>
      </c>
      <c r="F1124" t="s">
        <v>3957</v>
      </c>
      <c r="G1124" t="s">
        <v>152</v>
      </c>
      <c r="H1124" t="s">
        <v>174</v>
      </c>
      <c r="I1124" t="s">
        <v>154</v>
      </c>
      <c r="J1124">
        <v>19961106</v>
      </c>
    </row>
    <row r="1125" spans="1:10">
      <c r="A1125" t="s">
        <v>1114</v>
      </c>
      <c r="B1125">
        <v>600766</v>
      </c>
      <c r="C1125" t="s">
        <v>1115</v>
      </c>
      <c r="D1125" t="s">
        <v>198</v>
      </c>
      <c r="E1125" t="s">
        <v>48</v>
      </c>
      <c r="F1125" t="s">
        <v>1116</v>
      </c>
      <c r="G1125" t="s">
        <v>152</v>
      </c>
      <c r="H1125" t="s">
        <v>174</v>
      </c>
      <c r="I1125" t="s">
        <v>154</v>
      </c>
      <c r="J1125">
        <v>19961028</v>
      </c>
    </row>
    <row r="1126" spans="1:10">
      <c r="A1126" t="s">
        <v>3199</v>
      </c>
      <c r="B1126">
        <v>600767</v>
      </c>
      <c r="C1126" t="s">
        <v>3200</v>
      </c>
      <c r="D1126" t="s">
        <v>219</v>
      </c>
      <c r="E1126" t="s">
        <v>90</v>
      </c>
      <c r="F1126" t="s">
        <v>3201</v>
      </c>
      <c r="G1126" t="s">
        <v>152</v>
      </c>
      <c r="H1126" t="s">
        <v>174</v>
      </c>
      <c r="I1126" t="s">
        <v>154</v>
      </c>
      <c r="J1126">
        <v>19961115</v>
      </c>
    </row>
    <row r="1127" spans="1:10">
      <c r="A1127" t="s">
        <v>1117</v>
      </c>
      <c r="B1127">
        <v>600768</v>
      </c>
      <c r="C1127" t="s">
        <v>1118</v>
      </c>
      <c r="D1127" t="s">
        <v>423</v>
      </c>
      <c r="E1127" t="s">
        <v>16</v>
      </c>
      <c r="F1127" t="s">
        <v>1119</v>
      </c>
      <c r="G1127" t="s">
        <v>152</v>
      </c>
      <c r="H1127" t="s">
        <v>174</v>
      </c>
      <c r="I1127" t="s">
        <v>154</v>
      </c>
      <c r="J1127">
        <v>19961111</v>
      </c>
    </row>
    <row r="1128" spans="1:10">
      <c r="A1128" t="s">
        <v>5271</v>
      </c>
      <c r="B1128">
        <v>600769</v>
      </c>
      <c r="C1128" t="s">
        <v>5272</v>
      </c>
      <c r="D1128" t="s">
        <v>316</v>
      </c>
      <c r="E1128" t="s">
        <v>121</v>
      </c>
      <c r="F1128" t="s">
        <v>5273</v>
      </c>
      <c r="G1128" t="s">
        <v>152</v>
      </c>
      <c r="H1128" t="s">
        <v>174</v>
      </c>
      <c r="I1128" t="s">
        <v>154</v>
      </c>
      <c r="J1128">
        <v>19961101</v>
      </c>
    </row>
    <row r="1129" spans="1:10">
      <c r="A1129" t="s">
        <v>5043</v>
      </c>
      <c r="B1129">
        <v>600770</v>
      </c>
      <c r="C1129" t="s">
        <v>5044</v>
      </c>
      <c r="D1129" t="s">
        <v>212</v>
      </c>
      <c r="E1129" t="s">
        <v>74</v>
      </c>
      <c r="F1129" t="s">
        <v>5045</v>
      </c>
      <c r="G1129" t="s">
        <v>152</v>
      </c>
      <c r="H1129" t="s">
        <v>174</v>
      </c>
      <c r="I1129" t="s">
        <v>154</v>
      </c>
      <c r="J1129">
        <v>19961120</v>
      </c>
    </row>
    <row r="1130" spans="1:10">
      <c r="A1130" t="s">
        <v>3361</v>
      </c>
      <c r="B1130">
        <v>600771</v>
      </c>
      <c r="C1130" t="s">
        <v>3362</v>
      </c>
      <c r="D1130" t="s">
        <v>557</v>
      </c>
      <c r="E1130" t="s">
        <v>67</v>
      </c>
      <c r="F1130" t="s">
        <v>3363</v>
      </c>
      <c r="G1130" t="s">
        <v>152</v>
      </c>
      <c r="H1130" t="s">
        <v>174</v>
      </c>
      <c r="I1130" t="s">
        <v>154</v>
      </c>
      <c r="J1130">
        <v>19961105</v>
      </c>
    </row>
    <row r="1131" spans="1:10">
      <c r="A1131" t="s">
        <v>4389</v>
      </c>
      <c r="B1131">
        <v>600773</v>
      </c>
      <c r="C1131" t="s">
        <v>4390</v>
      </c>
      <c r="D1131" t="s">
        <v>1001</v>
      </c>
      <c r="E1131" t="s">
        <v>79</v>
      </c>
      <c r="F1131" t="s">
        <v>4391</v>
      </c>
      <c r="G1131" t="s">
        <v>152</v>
      </c>
      <c r="H1131" t="s">
        <v>174</v>
      </c>
      <c r="I1131" t="s">
        <v>154</v>
      </c>
      <c r="J1131">
        <v>19961108</v>
      </c>
    </row>
    <row r="1132" spans="1:10">
      <c r="A1132" t="s">
        <v>2977</v>
      </c>
      <c r="B1132">
        <v>600774</v>
      </c>
      <c r="C1132" t="s">
        <v>2978</v>
      </c>
      <c r="D1132" t="s">
        <v>316</v>
      </c>
      <c r="E1132" t="s">
        <v>81</v>
      </c>
      <c r="F1132" t="s">
        <v>2979</v>
      </c>
      <c r="G1132" t="s">
        <v>152</v>
      </c>
      <c r="H1132" t="s">
        <v>174</v>
      </c>
      <c r="I1132" t="s">
        <v>154</v>
      </c>
      <c r="J1132">
        <v>19961108</v>
      </c>
    </row>
    <row r="1133" spans="1:10">
      <c r="A1133" t="s">
        <v>6279</v>
      </c>
      <c r="B1133">
        <v>600775</v>
      </c>
      <c r="C1133" t="s">
        <v>6280</v>
      </c>
      <c r="D1133" t="s">
        <v>212</v>
      </c>
      <c r="E1133" t="s">
        <v>125</v>
      </c>
      <c r="F1133" t="s">
        <v>6281</v>
      </c>
      <c r="G1133" t="s">
        <v>152</v>
      </c>
      <c r="H1133" t="s">
        <v>174</v>
      </c>
      <c r="I1133" t="s">
        <v>154</v>
      </c>
      <c r="J1133">
        <v>19961118</v>
      </c>
    </row>
    <row r="1134" spans="1:10">
      <c r="A1134" t="s">
        <v>6282</v>
      </c>
      <c r="B1134">
        <v>600776</v>
      </c>
      <c r="C1134" t="s">
        <v>6283</v>
      </c>
      <c r="D1134" t="s">
        <v>423</v>
      </c>
      <c r="E1134" t="s">
        <v>125</v>
      </c>
      <c r="F1134" t="s">
        <v>6284</v>
      </c>
      <c r="G1134" t="s">
        <v>152</v>
      </c>
      <c r="H1134" t="s">
        <v>174</v>
      </c>
      <c r="I1134" t="s">
        <v>154</v>
      </c>
      <c r="J1134">
        <v>19961126</v>
      </c>
    </row>
    <row r="1135" spans="1:10">
      <c r="A1135" t="s">
        <v>6501</v>
      </c>
      <c r="B1135">
        <v>600777</v>
      </c>
      <c r="C1135" t="s">
        <v>6502</v>
      </c>
      <c r="D1135" t="s">
        <v>198</v>
      </c>
      <c r="E1135" t="s">
        <v>118</v>
      </c>
      <c r="F1135" t="s">
        <v>6503</v>
      </c>
      <c r="G1135" t="s">
        <v>152</v>
      </c>
      <c r="H1135" t="s">
        <v>174</v>
      </c>
      <c r="I1135" t="s">
        <v>154</v>
      </c>
      <c r="J1135">
        <v>19961121</v>
      </c>
    </row>
    <row r="1136" spans="1:10">
      <c r="A1136" t="s">
        <v>4524</v>
      </c>
      <c r="B1136">
        <v>600778</v>
      </c>
      <c r="C1136" t="s">
        <v>4525</v>
      </c>
      <c r="D1136" t="s">
        <v>202</v>
      </c>
      <c r="E1136" t="s">
        <v>22</v>
      </c>
      <c r="F1136" t="s">
        <v>4526</v>
      </c>
      <c r="G1136" t="s">
        <v>152</v>
      </c>
      <c r="H1136" t="s">
        <v>174</v>
      </c>
      <c r="I1136" t="s">
        <v>154</v>
      </c>
      <c r="J1136">
        <v>19961203</v>
      </c>
    </row>
    <row r="1137" spans="1:10">
      <c r="A1137" t="s">
        <v>2473</v>
      </c>
      <c r="B1137">
        <v>600779</v>
      </c>
      <c r="C1137" t="s">
        <v>2474</v>
      </c>
      <c r="D1137" t="s">
        <v>219</v>
      </c>
      <c r="E1137" t="s">
        <v>12</v>
      </c>
      <c r="F1137" t="s">
        <v>2475</v>
      </c>
      <c r="G1137" t="s">
        <v>152</v>
      </c>
      <c r="H1137" t="s">
        <v>174</v>
      </c>
      <c r="I1137" t="s">
        <v>154</v>
      </c>
      <c r="J1137">
        <v>19961206</v>
      </c>
    </row>
    <row r="1138" spans="1:10">
      <c r="A1138" t="s">
        <v>3610</v>
      </c>
      <c r="B1138">
        <v>600780</v>
      </c>
      <c r="C1138" t="s">
        <v>3611</v>
      </c>
      <c r="D1138" t="s">
        <v>557</v>
      </c>
      <c r="E1138" t="s">
        <v>77</v>
      </c>
      <c r="F1138" t="s">
        <v>3612</v>
      </c>
      <c r="G1138" t="s">
        <v>152</v>
      </c>
      <c r="H1138" t="s">
        <v>174</v>
      </c>
      <c r="I1138" t="s">
        <v>154</v>
      </c>
      <c r="J1138">
        <v>19961205</v>
      </c>
    </row>
    <row r="1139" spans="1:10">
      <c r="A1139" t="s">
        <v>2965</v>
      </c>
      <c r="B1139">
        <v>600781</v>
      </c>
      <c r="C1139" t="s">
        <v>2966</v>
      </c>
      <c r="D1139" t="s">
        <v>292</v>
      </c>
      <c r="E1139" t="s">
        <v>81</v>
      </c>
      <c r="F1139" t="s">
        <v>2967</v>
      </c>
      <c r="G1139" t="s">
        <v>152</v>
      </c>
      <c r="H1139" t="s">
        <v>174</v>
      </c>
      <c r="I1139" t="s">
        <v>154</v>
      </c>
      <c r="J1139">
        <v>19961218</v>
      </c>
    </row>
    <row r="1140" spans="1:10">
      <c r="A1140" t="s">
        <v>923</v>
      </c>
      <c r="B1140">
        <v>600782</v>
      </c>
      <c r="C1140" t="s">
        <v>924</v>
      </c>
      <c r="D1140" t="s">
        <v>406</v>
      </c>
      <c r="E1140" t="s">
        <v>25</v>
      </c>
      <c r="F1140" t="s">
        <v>925</v>
      </c>
      <c r="G1140" t="s">
        <v>152</v>
      </c>
      <c r="H1140" t="s">
        <v>174</v>
      </c>
      <c r="I1140" t="s">
        <v>154</v>
      </c>
      <c r="J1140">
        <v>19961225</v>
      </c>
    </row>
    <row r="1141" spans="1:10">
      <c r="A1141" t="s">
        <v>4884</v>
      </c>
      <c r="B1141">
        <v>600783</v>
      </c>
      <c r="C1141" t="s">
        <v>4885</v>
      </c>
      <c r="D1141" t="s">
        <v>198</v>
      </c>
      <c r="E1141" t="s">
        <v>73</v>
      </c>
      <c r="F1141" t="s">
        <v>4886</v>
      </c>
      <c r="G1141" t="s">
        <v>152</v>
      </c>
      <c r="H1141" t="s">
        <v>174</v>
      </c>
      <c r="I1141" t="s">
        <v>154</v>
      </c>
      <c r="J1141">
        <v>19961225</v>
      </c>
    </row>
    <row r="1142" spans="1:10">
      <c r="A1142" t="s">
        <v>5046</v>
      </c>
      <c r="B1142">
        <v>600784</v>
      </c>
      <c r="C1142" t="s">
        <v>5047</v>
      </c>
      <c r="D1142" t="s">
        <v>198</v>
      </c>
      <c r="E1142" t="s">
        <v>74</v>
      </c>
      <c r="F1142" t="s">
        <v>5048</v>
      </c>
      <c r="G1142" t="s">
        <v>152</v>
      </c>
      <c r="H1142" t="s">
        <v>174</v>
      </c>
      <c r="I1142" t="s">
        <v>154</v>
      </c>
      <c r="J1142">
        <v>19961225</v>
      </c>
    </row>
    <row r="1143" spans="1:10">
      <c r="A1143" t="s">
        <v>4527</v>
      </c>
      <c r="B1143">
        <v>600785</v>
      </c>
      <c r="C1143" t="s">
        <v>4528</v>
      </c>
      <c r="D1143" t="s">
        <v>332</v>
      </c>
      <c r="E1143" t="s">
        <v>22</v>
      </c>
      <c r="F1143" t="s">
        <v>4529</v>
      </c>
      <c r="G1143" t="s">
        <v>152</v>
      </c>
      <c r="H1143" t="s">
        <v>174</v>
      </c>
      <c r="I1143" t="s">
        <v>154</v>
      </c>
      <c r="J1143">
        <v>19970108</v>
      </c>
    </row>
    <row r="1144" spans="1:10">
      <c r="A1144" t="s">
        <v>3958</v>
      </c>
      <c r="B1144">
        <v>600787</v>
      </c>
      <c r="C1144" t="s">
        <v>3959</v>
      </c>
      <c r="D1144" t="s">
        <v>576</v>
      </c>
      <c r="E1144" t="s">
        <v>50</v>
      </c>
      <c r="F1144" t="s">
        <v>3960</v>
      </c>
      <c r="G1144" t="s">
        <v>152</v>
      </c>
      <c r="H1144" t="s">
        <v>174</v>
      </c>
      <c r="I1144" t="s">
        <v>154</v>
      </c>
      <c r="J1144">
        <v>19970121</v>
      </c>
    </row>
    <row r="1145" spans="1:10">
      <c r="A1145" t="s">
        <v>3016</v>
      </c>
      <c r="B1145">
        <v>600789</v>
      </c>
      <c r="C1145" t="s">
        <v>3017</v>
      </c>
      <c r="D1145" t="s">
        <v>198</v>
      </c>
      <c r="E1145" t="s">
        <v>81</v>
      </c>
      <c r="F1145" t="s">
        <v>3018</v>
      </c>
      <c r="G1145" t="s">
        <v>152</v>
      </c>
      <c r="H1145" t="s">
        <v>174</v>
      </c>
      <c r="I1145" t="s">
        <v>154</v>
      </c>
      <c r="J1145">
        <v>19970226</v>
      </c>
    </row>
    <row r="1146" spans="1:10">
      <c r="A1146" t="s">
        <v>6709</v>
      </c>
      <c r="B1146">
        <v>600790</v>
      </c>
      <c r="C1146" t="s">
        <v>6710</v>
      </c>
      <c r="D1146" t="s">
        <v>423</v>
      </c>
      <c r="E1146" t="s">
        <v>99</v>
      </c>
      <c r="F1146" t="s">
        <v>6711</v>
      </c>
      <c r="G1146" t="s">
        <v>152</v>
      </c>
      <c r="H1146" t="s">
        <v>174</v>
      </c>
      <c r="I1146" t="s">
        <v>154</v>
      </c>
      <c r="J1146">
        <v>19970228</v>
      </c>
    </row>
    <row r="1147" spans="1:10">
      <c r="A1147" t="s">
        <v>4392</v>
      </c>
      <c r="B1147">
        <v>600791</v>
      </c>
      <c r="C1147" t="s">
        <v>4393</v>
      </c>
      <c r="D1147" t="s">
        <v>164</v>
      </c>
      <c r="E1147" t="s">
        <v>84</v>
      </c>
      <c r="F1147" t="s">
        <v>4394</v>
      </c>
      <c r="G1147" t="s">
        <v>152</v>
      </c>
      <c r="H1147" t="s">
        <v>174</v>
      </c>
      <c r="I1147" t="s">
        <v>154</v>
      </c>
      <c r="J1147">
        <v>19970130</v>
      </c>
    </row>
    <row r="1148" spans="1:10">
      <c r="A1148" t="s">
        <v>6408</v>
      </c>
      <c r="B1148">
        <v>600792</v>
      </c>
      <c r="C1148" t="s">
        <v>6409</v>
      </c>
      <c r="D1148" t="s">
        <v>184</v>
      </c>
      <c r="E1148" t="s">
        <v>117</v>
      </c>
      <c r="F1148" t="s">
        <v>6410</v>
      </c>
      <c r="G1148" t="s">
        <v>152</v>
      </c>
      <c r="H1148" t="s">
        <v>174</v>
      </c>
      <c r="I1148" t="s">
        <v>154</v>
      </c>
      <c r="J1148">
        <v>19970123</v>
      </c>
    </row>
    <row r="1149" spans="1:10">
      <c r="A1149" t="s">
        <v>2779</v>
      </c>
      <c r="B1149">
        <v>600793</v>
      </c>
      <c r="C1149" t="s">
        <v>2780</v>
      </c>
      <c r="D1149" t="s">
        <v>219</v>
      </c>
      <c r="E1149" t="s">
        <v>30</v>
      </c>
      <c r="F1149" t="s">
        <v>2781</v>
      </c>
      <c r="G1149" t="s">
        <v>152</v>
      </c>
      <c r="H1149" t="s">
        <v>174</v>
      </c>
      <c r="I1149" t="s">
        <v>154</v>
      </c>
      <c r="J1149">
        <v>19970220</v>
      </c>
    </row>
    <row r="1150" spans="1:10">
      <c r="A1150" t="s">
        <v>3961</v>
      </c>
      <c r="B1150">
        <v>600794</v>
      </c>
      <c r="C1150" t="s">
        <v>3962</v>
      </c>
      <c r="D1150" t="s">
        <v>212</v>
      </c>
      <c r="E1150" t="s">
        <v>50</v>
      </c>
      <c r="F1150" t="s">
        <v>3963</v>
      </c>
      <c r="G1150" t="s">
        <v>152</v>
      </c>
      <c r="H1150" t="s">
        <v>174</v>
      </c>
      <c r="I1150" t="s">
        <v>154</v>
      </c>
      <c r="J1150">
        <v>19970306</v>
      </c>
    </row>
    <row r="1151" spans="1:10">
      <c r="A1151" t="s">
        <v>3613</v>
      </c>
      <c r="B1151">
        <v>600795</v>
      </c>
      <c r="C1151" t="s">
        <v>3614</v>
      </c>
      <c r="D1151" t="s">
        <v>236</v>
      </c>
      <c r="E1151" t="s">
        <v>77</v>
      </c>
      <c r="F1151" t="s">
        <v>3615</v>
      </c>
      <c r="G1151" t="s">
        <v>152</v>
      </c>
      <c r="H1151" t="s">
        <v>174</v>
      </c>
      <c r="I1151" t="s">
        <v>154</v>
      </c>
      <c r="J1151">
        <v>19970318</v>
      </c>
    </row>
    <row r="1152" spans="1:10">
      <c r="A1152" t="s">
        <v>6594</v>
      </c>
      <c r="B1152">
        <v>600796</v>
      </c>
      <c r="C1152" t="s">
        <v>6595</v>
      </c>
      <c r="D1152" t="s">
        <v>423</v>
      </c>
      <c r="E1152" t="s">
        <v>119</v>
      </c>
      <c r="F1152" t="s">
        <v>6596</v>
      </c>
      <c r="G1152" t="s">
        <v>152</v>
      </c>
      <c r="H1152" t="s">
        <v>174</v>
      </c>
      <c r="I1152" t="s">
        <v>154</v>
      </c>
      <c r="J1152">
        <v>19970408</v>
      </c>
    </row>
    <row r="1153" spans="1:10">
      <c r="A1153" t="s">
        <v>5934</v>
      </c>
      <c r="B1153">
        <v>600797</v>
      </c>
      <c r="C1153" t="s">
        <v>5935</v>
      </c>
      <c r="D1153" t="s">
        <v>423</v>
      </c>
      <c r="E1153" t="s">
        <v>123</v>
      </c>
      <c r="F1153" t="s">
        <v>5936</v>
      </c>
      <c r="G1153" t="s">
        <v>152</v>
      </c>
      <c r="H1153" t="s">
        <v>174</v>
      </c>
      <c r="I1153" t="s">
        <v>154</v>
      </c>
      <c r="J1153">
        <v>19970418</v>
      </c>
    </row>
    <row r="1154" spans="1:10">
      <c r="A1154" t="s">
        <v>3964</v>
      </c>
      <c r="B1154">
        <v>600798</v>
      </c>
      <c r="C1154" t="s">
        <v>3965</v>
      </c>
      <c r="D1154" t="s">
        <v>423</v>
      </c>
      <c r="E1154" t="s">
        <v>92</v>
      </c>
      <c r="F1154" t="s">
        <v>3966</v>
      </c>
      <c r="G1154" t="s">
        <v>152</v>
      </c>
      <c r="H1154" t="s">
        <v>174</v>
      </c>
      <c r="I1154" t="s">
        <v>154</v>
      </c>
      <c r="J1154">
        <v>19970423</v>
      </c>
    </row>
    <row r="1155" spans="1:10">
      <c r="A1155" t="s">
        <v>574</v>
      </c>
      <c r="B1155">
        <v>600800</v>
      </c>
      <c r="C1155" t="s">
        <v>575</v>
      </c>
      <c r="D1155" t="s">
        <v>576</v>
      </c>
      <c r="E1155" t="s">
        <v>14</v>
      </c>
      <c r="F1155" t="s">
        <v>577</v>
      </c>
      <c r="G1155" t="s">
        <v>152</v>
      </c>
      <c r="H1155" t="s">
        <v>174</v>
      </c>
      <c r="I1155" t="s">
        <v>154</v>
      </c>
      <c r="J1155">
        <v>19931206</v>
      </c>
    </row>
    <row r="1156" spans="1:10">
      <c r="A1156" t="s">
        <v>5133</v>
      </c>
      <c r="B1156">
        <v>600801</v>
      </c>
      <c r="C1156" t="s">
        <v>5134</v>
      </c>
      <c r="D1156" t="s">
        <v>316</v>
      </c>
      <c r="E1156" t="s">
        <v>75</v>
      </c>
      <c r="F1156" t="s">
        <v>5135</v>
      </c>
      <c r="G1156" t="s">
        <v>152</v>
      </c>
      <c r="H1156" t="s">
        <v>174</v>
      </c>
      <c r="I1156" t="s">
        <v>154</v>
      </c>
      <c r="J1156">
        <v>19940103</v>
      </c>
    </row>
    <row r="1157" spans="1:10">
      <c r="A1157" t="s">
        <v>5136</v>
      </c>
      <c r="B1157">
        <v>600802</v>
      </c>
      <c r="C1157" t="s">
        <v>5137</v>
      </c>
      <c r="D1157" t="s">
        <v>150</v>
      </c>
      <c r="E1157" t="s">
        <v>75</v>
      </c>
      <c r="F1157" t="s">
        <v>5138</v>
      </c>
      <c r="G1157" t="s">
        <v>152</v>
      </c>
      <c r="H1157" t="s">
        <v>174</v>
      </c>
      <c r="I1157" t="s">
        <v>154</v>
      </c>
      <c r="J1157">
        <v>19940103</v>
      </c>
    </row>
    <row r="1158" spans="1:10">
      <c r="A1158" t="s">
        <v>3616</v>
      </c>
      <c r="B1158">
        <v>600803</v>
      </c>
      <c r="C1158" t="s">
        <v>3617</v>
      </c>
      <c r="D1158" t="s">
        <v>279</v>
      </c>
      <c r="E1158" t="s">
        <v>91</v>
      </c>
      <c r="F1158" t="s">
        <v>3618</v>
      </c>
      <c r="G1158" t="s">
        <v>152</v>
      </c>
      <c r="H1158" t="s">
        <v>174</v>
      </c>
      <c r="I1158" t="s">
        <v>154</v>
      </c>
      <c r="J1158">
        <v>19940103</v>
      </c>
    </row>
    <row r="1159" spans="1:10">
      <c r="A1159" t="s">
        <v>6285</v>
      </c>
      <c r="B1159">
        <v>600804</v>
      </c>
      <c r="C1159" t="s">
        <v>6286</v>
      </c>
      <c r="D1159" t="s">
        <v>198</v>
      </c>
      <c r="E1159" t="s">
        <v>89</v>
      </c>
      <c r="F1159" t="s">
        <v>6287</v>
      </c>
      <c r="G1159" t="s">
        <v>152</v>
      </c>
      <c r="H1159" t="s">
        <v>174</v>
      </c>
      <c r="I1159" t="s">
        <v>154</v>
      </c>
      <c r="J1159">
        <v>19940103</v>
      </c>
    </row>
    <row r="1160" spans="1:10">
      <c r="A1160" t="s">
        <v>5049</v>
      </c>
      <c r="B1160">
        <v>600805</v>
      </c>
      <c r="C1160" t="s">
        <v>5050</v>
      </c>
      <c r="D1160" t="s">
        <v>212</v>
      </c>
      <c r="E1160" t="s">
        <v>74</v>
      </c>
      <c r="F1160" t="s">
        <v>5051</v>
      </c>
      <c r="G1160" t="s">
        <v>152</v>
      </c>
      <c r="H1160" t="s">
        <v>174</v>
      </c>
      <c r="I1160" t="s">
        <v>154</v>
      </c>
      <c r="J1160">
        <v>19940103</v>
      </c>
    </row>
    <row r="1161" spans="1:10">
      <c r="A1161" t="s">
        <v>1120</v>
      </c>
      <c r="B1161">
        <v>600807</v>
      </c>
      <c r="C1161" t="s">
        <v>1121</v>
      </c>
      <c r="D1161" t="s">
        <v>198</v>
      </c>
      <c r="E1161" t="s">
        <v>48</v>
      </c>
      <c r="F1161" t="s">
        <v>1122</v>
      </c>
      <c r="G1161" t="s">
        <v>152</v>
      </c>
      <c r="H1161" t="s">
        <v>174</v>
      </c>
      <c r="I1161" t="s">
        <v>154</v>
      </c>
      <c r="J1161">
        <v>19940103</v>
      </c>
    </row>
    <row r="1162" spans="1:10">
      <c r="A1162" t="s">
        <v>926</v>
      </c>
      <c r="B1162">
        <v>600808</v>
      </c>
      <c r="C1162" t="s">
        <v>927</v>
      </c>
      <c r="D1162" t="s">
        <v>160</v>
      </c>
      <c r="E1162" t="s">
        <v>25</v>
      </c>
      <c r="F1162" t="s">
        <v>928</v>
      </c>
      <c r="G1162" t="s">
        <v>152</v>
      </c>
      <c r="H1162" t="s">
        <v>174</v>
      </c>
      <c r="I1162" t="s">
        <v>154</v>
      </c>
      <c r="J1162">
        <v>19940106</v>
      </c>
    </row>
    <row r="1163" spans="1:10">
      <c r="A1163" t="s">
        <v>2476</v>
      </c>
      <c r="B1163">
        <v>600809</v>
      </c>
      <c r="C1163" t="s">
        <v>2477</v>
      </c>
      <c r="D1163" t="s">
        <v>557</v>
      </c>
      <c r="E1163" t="s">
        <v>12</v>
      </c>
      <c r="F1163" t="s">
        <v>2478</v>
      </c>
      <c r="G1163" t="s">
        <v>152</v>
      </c>
      <c r="H1163" t="s">
        <v>174</v>
      </c>
      <c r="I1163" t="s">
        <v>154</v>
      </c>
      <c r="J1163">
        <v>19940106</v>
      </c>
    </row>
    <row r="1164" spans="1:10">
      <c r="A1164" t="s">
        <v>578</v>
      </c>
      <c r="B1164">
        <v>600810</v>
      </c>
      <c r="C1164" t="s">
        <v>579</v>
      </c>
      <c r="D1164" t="s">
        <v>292</v>
      </c>
      <c r="E1164" t="s">
        <v>24</v>
      </c>
      <c r="F1164" t="s">
        <v>580</v>
      </c>
      <c r="G1164" t="s">
        <v>152</v>
      </c>
      <c r="H1164" t="s">
        <v>174</v>
      </c>
      <c r="I1164" t="s">
        <v>154</v>
      </c>
      <c r="J1164">
        <v>19940106</v>
      </c>
    </row>
    <row r="1165" spans="1:10">
      <c r="A1165" t="s">
        <v>274</v>
      </c>
      <c r="B1165">
        <v>600811</v>
      </c>
      <c r="C1165" t="s">
        <v>275</v>
      </c>
      <c r="D1165" t="s">
        <v>194</v>
      </c>
      <c r="E1165" t="s">
        <v>46</v>
      </c>
      <c r="F1165" t="s">
        <v>276</v>
      </c>
      <c r="G1165" t="s">
        <v>152</v>
      </c>
      <c r="H1165" t="s">
        <v>174</v>
      </c>
      <c r="I1165" t="s">
        <v>154</v>
      </c>
      <c r="J1165">
        <v>19940106</v>
      </c>
    </row>
    <row r="1166" spans="1:10">
      <c r="A1166" t="s">
        <v>2962</v>
      </c>
      <c r="B1166">
        <v>600812</v>
      </c>
      <c r="C1166" t="s">
        <v>2963</v>
      </c>
      <c r="D1166" t="s">
        <v>279</v>
      </c>
      <c r="E1166" t="s">
        <v>81</v>
      </c>
      <c r="F1166" t="s">
        <v>2964</v>
      </c>
      <c r="G1166" t="s">
        <v>152</v>
      </c>
      <c r="H1166" t="s">
        <v>174</v>
      </c>
      <c r="I1166" t="s">
        <v>154</v>
      </c>
      <c r="J1166">
        <v>19940114</v>
      </c>
    </row>
    <row r="1167" spans="1:10">
      <c r="A1167" t="s">
        <v>4530</v>
      </c>
      <c r="B1167">
        <v>600814</v>
      </c>
      <c r="C1167" t="s">
        <v>4531</v>
      </c>
      <c r="D1167" t="s">
        <v>423</v>
      </c>
      <c r="E1167" t="s">
        <v>22</v>
      </c>
      <c r="F1167" t="s">
        <v>4532</v>
      </c>
      <c r="G1167" t="s">
        <v>152</v>
      </c>
      <c r="H1167" t="s">
        <v>174</v>
      </c>
      <c r="I1167" t="s">
        <v>154</v>
      </c>
      <c r="J1167">
        <v>19940114</v>
      </c>
    </row>
    <row r="1168" spans="1:10">
      <c r="A1168" t="s">
        <v>5571</v>
      </c>
      <c r="B1168">
        <v>600815</v>
      </c>
      <c r="C1168" t="s">
        <v>5572</v>
      </c>
      <c r="D1168" t="s">
        <v>150</v>
      </c>
      <c r="E1168" t="s">
        <v>104</v>
      </c>
      <c r="F1168" t="s">
        <v>5573</v>
      </c>
      <c r="G1168" t="s">
        <v>152</v>
      </c>
      <c r="H1168" t="s">
        <v>174</v>
      </c>
      <c r="I1168" t="s">
        <v>154</v>
      </c>
      <c r="J1168">
        <v>19940128</v>
      </c>
    </row>
    <row r="1169" spans="1:10">
      <c r="A1169" t="s">
        <v>4887</v>
      </c>
      <c r="B1169">
        <v>600816</v>
      </c>
      <c r="C1169" t="s">
        <v>4888</v>
      </c>
      <c r="D1169" t="s">
        <v>172</v>
      </c>
      <c r="E1169" t="s">
        <v>73</v>
      </c>
      <c r="F1169" t="s">
        <v>4889</v>
      </c>
      <c r="G1169" t="s">
        <v>152</v>
      </c>
      <c r="H1169" t="s">
        <v>174</v>
      </c>
      <c r="I1169" t="s">
        <v>154</v>
      </c>
      <c r="J1169">
        <v>19940128</v>
      </c>
    </row>
    <row r="1170" spans="1:10">
      <c r="A1170" t="s">
        <v>5574</v>
      </c>
      <c r="B1170">
        <v>600817</v>
      </c>
      <c r="C1170" t="s">
        <v>5575</v>
      </c>
      <c r="D1170" t="s">
        <v>292</v>
      </c>
      <c r="E1170" t="s">
        <v>122</v>
      </c>
      <c r="F1170" t="s">
        <v>5576</v>
      </c>
      <c r="G1170" t="s">
        <v>152</v>
      </c>
      <c r="H1170" t="s">
        <v>174</v>
      </c>
      <c r="I1170" t="s">
        <v>154</v>
      </c>
      <c r="J1170">
        <v>19940128</v>
      </c>
    </row>
    <row r="1171" spans="1:10">
      <c r="A1171" t="s">
        <v>6135</v>
      </c>
      <c r="B1171">
        <v>600818</v>
      </c>
      <c r="C1171" t="s">
        <v>6136</v>
      </c>
      <c r="D1171" t="s">
        <v>172</v>
      </c>
      <c r="E1171" t="s">
        <v>129</v>
      </c>
      <c r="F1171" t="s">
        <v>6137</v>
      </c>
      <c r="G1171" t="s">
        <v>152</v>
      </c>
      <c r="H1171" t="s">
        <v>174</v>
      </c>
      <c r="I1171" t="s">
        <v>154</v>
      </c>
      <c r="J1171">
        <v>19940128</v>
      </c>
    </row>
    <row r="1172" spans="1:10">
      <c r="A1172" t="s">
        <v>5139</v>
      </c>
      <c r="B1172">
        <v>600819</v>
      </c>
      <c r="C1172" t="s">
        <v>5140</v>
      </c>
      <c r="D1172" t="s">
        <v>172</v>
      </c>
      <c r="E1172" t="s">
        <v>45</v>
      </c>
      <c r="F1172" t="s">
        <v>5141</v>
      </c>
      <c r="G1172" t="s">
        <v>152</v>
      </c>
      <c r="H1172" t="s">
        <v>174</v>
      </c>
      <c r="I1172" t="s">
        <v>154</v>
      </c>
      <c r="J1172">
        <v>19940128</v>
      </c>
    </row>
    <row r="1173" spans="1:10">
      <c r="A1173" t="s">
        <v>5274</v>
      </c>
      <c r="B1173">
        <v>600820</v>
      </c>
      <c r="C1173" t="s">
        <v>5275</v>
      </c>
      <c r="D1173" t="s">
        <v>172</v>
      </c>
      <c r="E1173" t="s">
        <v>121</v>
      </c>
      <c r="F1173" t="s">
        <v>5276</v>
      </c>
      <c r="G1173" t="s">
        <v>152</v>
      </c>
      <c r="H1173" t="s">
        <v>174</v>
      </c>
      <c r="I1173" t="s">
        <v>154</v>
      </c>
      <c r="J1173">
        <v>19940128</v>
      </c>
    </row>
    <row r="1174" spans="1:10">
      <c r="A1174" t="s">
        <v>3619</v>
      </c>
      <c r="B1174">
        <v>600821</v>
      </c>
      <c r="C1174" t="s">
        <v>3620</v>
      </c>
      <c r="D1174" t="s">
        <v>576</v>
      </c>
      <c r="E1174" t="s">
        <v>82</v>
      </c>
      <c r="F1174" t="s">
        <v>3621</v>
      </c>
      <c r="G1174" t="s">
        <v>152</v>
      </c>
      <c r="H1174" t="s">
        <v>174</v>
      </c>
      <c r="I1174" t="s">
        <v>154</v>
      </c>
      <c r="J1174">
        <v>19940128</v>
      </c>
    </row>
    <row r="1175" spans="1:10">
      <c r="A1175" t="s">
        <v>4533</v>
      </c>
      <c r="B1175">
        <v>600822</v>
      </c>
      <c r="C1175" t="s">
        <v>4534</v>
      </c>
      <c r="D1175" t="s">
        <v>172</v>
      </c>
      <c r="E1175" t="s">
        <v>71</v>
      </c>
      <c r="F1175" t="s">
        <v>4535</v>
      </c>
      <c r="G1175" t="s">
        <v>152</v>
      </c>
      <c r="H1175" t="s">
        <v>174</v>
      </c>
      <c r="I1175" t="s">
        <v>154</v>
      </c>
      <c r="J1175">
        <v>19940204</v>
      </c>
    </row>
    <row r="1176" spans="1:10">
      <c r="A1176" t="s">
        <v>4395</v>
      </c>
      <c r="B1176">
        <v>600823</v>
      </c>
      <c r="C1176" t="s">
        <v>4396</v>
      </c>
      <c r="D1176" t="s">
        <v>172</v>
      </c>
      <c r="E1176" t="s">
        <v>84</v>
      </c>
      <c r="F1176" t="s">
        <v>4397</v>
      </c>
      <c r="G1176" t="s">
        <v>152</v>
      </c>
      <c r="H1176" t="s">
        <v>174</v>
      </c>
      <c r="I1176" t="s">
        <v>154</v>
      </c>
      <c r="J1176">
        <v>19940204</v>
      </c>
    </row>
    <row r="1177" spans="1:10">
      <c r="A1177" t="s">
        <v>4536</v>
      </c>
      <c r="B1177">
        <v>600824</v>
      </c>
      <c r="C1177" t="s">
        <v>4537</v>
      </c>
      <c r="D1177" t="s">
        <v>172</v>
      </c>
      <c r="E1177" t="s">
        <v>22</v>
      </c>
      <c r="F1177" t="s">
        <v>4538</v>
      </c>
      <c r="G1177" t="s">
        <v>152</v>
      </c>
      <c r="H1177" t="s">
        <v>174</v>
      </c>
      <c r="I1177" t="s">
        <v>154</v>
      </c>
      <c r="J1177">
        <v>19940204</v>
      </c>
    </row>
    <row r="1178" spans="1:10">
      <c r="A1178" t="s">
        <v>6177</v>
      </c>
      <c r="B1178">
        <v>600825</v>
      </c>
      <c r="C1178" t="s">
        <v>6178</v>
      </c>
      <c r="D1178" t="s">
        <v>172</v>
      </c>
      <c r="E1178" t="s">
        <v>55</v>
      </c>
      <c r="F1178" t="s">
        <v>6179</v>
      </c>
      <c r="G1178" t="s">
        <v>152</v>
      </c>
      <c r="H1178" t="s">
        <v>174</v>
      </c>
      <c r="I1178" t="s">
        <v>154</v>
      </c>
      <c r="J1178">
        <v>19940204</v>
      </c>
    </row>
    <row r="1179" spans="1:10">
      <c r="A1179" t="s">
        <v>4539</v>
      </c>
      <c r="B1179">
        <v>600826</v>
      </c>
      <c r="C1179" t="s">
        <v>4540</v>
      </c>
      <c r="D1179" t="s">
        <v>172</v>
      </c>
      <c r="E1179" t="s">
        <v>71</v>
      </c>
      <c r="F1179" t="s">
        <v>4541</v>
      </c>
      <c r="G1179" t="s">
        <v>152</v>
      </c>
      <c r="H1179" t="s">
        <v>174</v>
      </c>
      <c r="I1179" t="s">
        <v>154</v>
      </c>
      <c r="J1179">
        <v>19940204</v>
      </c>
    </row>
    <row r="1180" spans="1:10">
      <c r="A1180" t="s">
        <v>4542</v>
      </c>
      <c r="B1180">
        <v>600827</v>
      </c>
      <c r="C1180" t="s">
        <v>4543</v>
      </c>
      <c r="D1180" t="s">
        <v>172</v>
      </c>
      <c r="E1180" t="s">
        <v>54</v>
      </c>
      <c r="F1180" t="s">
        <v>4544</v>
      </c>
      <c r="G1180" t="s">
        <v>152</v>
      </c>
      <c r="H1180" t="s">
        <v>174</v>
      </c>
      <c r="I1180" t="s">
        <v>154</v>
      </c>
      <c r="J1180">
        <v>19940204</v>
      </c>
    </row>
    <row r="1181" spans="1:10">
      <c r="A1181" t="s">
        <v>4545</v>
      </c>
      <c r="B1181">
        <v>600828</v>
      </c>
      <c r="C1181" t="s">
        <v>4546</v>
      </c>
      <c r="D1181" t="s">
        <v>219</v>
      </c>
      <c r="E1181" t="s">
        <v>22</v>
      </c>
      <c r="F1181" t="s">
        <v>4547</v>
      </c>
      <c r="G1181" t="s">
        <v>152</v>
      </c>
      <c r="H1181" t="s">
        <v>174</v>
      </c>
      <c r="I1181" t="s">
        <v>154</v>
      </c>
      <c r="J1181">
        <v>19940224</v>
      </c>
    </row>
    <row r="1182" spans="1:10">
      <c r="A1182" t="s">
        <v>3235</v>
      </c>
      <c r="B1182">
        <v>600829</v>
      </c>
      <c r="C1182" t="s">
        <v>3236</v>
      </c>
      <c r="D1182" t="s">
        <v>194</v>
      </c>
      <c r="E1182" t="s">
        <v>95</v>
      </c>
      <c r="F1182" t="s">
        <v>3237</v>
      </c>
      <c r="G1182" t="s">
        <v>152</v>
      </c>
      <c r="H1182" t="s">
        <v>174</v>
      </c>
      <c r="I1182" t="s">
        <v>154</v>
      </c>
      <c r="J1182">
        <v>19940224</v>
      </c>
    </row>
    <row r="1183" spans="1:10">
      <c r="A1183" t="s">
        <v>4890</v>
      </c>
      <c r="B1183">
        <v>600830</v>
      </c>
      <c r="C1183" t="s">
        <v>4891</v>
      </c>
      <c r="D1183" t="s">
        <v>423</v>
      </c>
      <c r="E1183" t="s">
        <v>73</v>
      </c>
      <c r="F1183" t="s">
        <v>4892</v>
      </c>
      <c r="G1183" t="s">
        <v>152</v>
      </c>
      <c r="H1183" t="s">
        <v>174</v>
      </c>
      <c r="I1183" t="s">
        <v>154</v>
      </c>
      <c r="J1183">
        <v>19940224</v>
      </c>
    </row>
    <row r="1184" spans="1:10">
      <c r="A1184" t="s">
        <v>6072</v>
      </c>
      <c r="B1184">
        <v>600831</v>
      </c>
      <c r="C1184" t="s">
        <v>6073</v>
      </c>
      <c r="D1184" t="s">
        <v>419</v>
      </c>
      <c r="E1184" t="s">
        <v>124</v>
      </c>
      <c r="F1184" t="s">
        <v>6074</v>
      </c>
      <c r="G1184" t="s">
        <v>152</v>
      </c>
      <c r="H1184" t="s">
        <v>174</v>
      </c>
      <c r="I1184" t="s">
        <v>154</v>
      </c>
      <c r="J1184">
        <v>19940224</v>
      </c>
    </row>
    <row r="1185" spans="1:10">
      <c r="A1185" t="s">
        <v>3259</v>
      </c>
      <c r="B1185">
        <v>600833</v>
      </c>
      <c r="C1185" t="s">
        <v>3260</v>
      </c>
      <c r="D1185" t="s">
        <v>172</v>
      </c>
      <c r="E1185" t="s">
        <v>95</v>
      </c>
      <c r="F1185" t="s">
        <v>3261</v>
      </c>
      <c r="G1185" t="s">
        <v>152</v>
      </c>
      <c r="H1185" t="s">
        <v>174</v>
      </c>
      <c r="I1185" t="s">
        <v>154</v>
      </c>
      <c r="J1185">
        <v>19940224</v>
      </c>
    </row>
    <row r="1186" spans="1:10">
      <c r="A1186" t="s">
        <v>3967</v>
      </c>
      <c r="B1186">
        <v>600834</v>
      </c>
      <c r="C1186" t="s">
        <v>3968</v>
      </c>
      <c r="D1186" t="s">
        <v>172</v>
      </c>
      <c r="E1186" t="s">
        <v>69</v>
      </c>
      <c r="F1186" t="s">
        <v>3969</v>
      </c>
      <c r="G1186" t="s">
        <v>152</v>
      </c>
      <c r="H1186" t="s">
        <v>174</v>
      </c>
      <c r="I1186" t="s">
        <v>154</v>
      </c>
      <c r="J1186">
        <v>19940224</v>
      </c>
    </row>
    <row r="1187" spans="1:10">
      <c r="A1187" t="s">
        <v>5577</v>
      </c>
      <c r="B1187">
        <v>600835</v>
      </c>
      <c r="C1187" t="s">
        <v>5578</v>
      </c>
      <c r="D1187" t="s">
        <v>172</v>
      </c>
      <c r="E1187" t="s">
        <v>128</v>
      </c>
      <c r="F1187" t="s">
        <v>5579</v>
      </c>
      <c r="G1187" t="s">
        <v>152</v>
      </c>
      <c r="H1187" t="s">
        <v>174</v>
      </c>
      <c r="I1187" t="s">
        <v>154</v>
      </c>
      <c r="J1187">
        <v>19940224</v>
      </c>
    </row>
    <row r="1188" spans="1:10">
      <c r="A1188" t="s">
        <v>2782</v>
      </c>
      <c r="B1188">
        <v>600836</v>
      </c>
      <c r="C1188" t="s">
        <v>2783</v>
      </c>
      <c r="D1188" t="s">
        <v>172</v>
      </c>
      <c r="E1188" t="s">
        <v>37</v>
      </c>
      <c r="F1188" t="s">
        <v>2784</v>
      </c>
      <c r="G1188" t="s">
        <v>152</v>
      </c>
      <c r="H1188" t="s">
        <v>174</v>
      </c>
      <c r="I1188" t="s">
        <v>154</v>
      </c>
      <c r="J1188">
        <v>19940224</v>
      </c>
    </row>
    <row r="1189" spans="1:10">
      <c r="A1189" t="s">
        <v>4893</v>
      </c>
      <c r="B1189">
        <v>600837</v>
      </c>
      <c r="C1189" t="s">
        <v>4894</v>
      </c>
      <c r="D1189" t="s">
        <v>172</v>
      </c>
      <c r="E1189" t="s">
        <v>87</v>
      </c>
      <c r="F1189" t="s">
        <v>4895</v>
      </c>
      <c r="G1189" t="s">
        <v>152</v>
      </c>
      <c r="H1189" t="s">
        <v>174</v>
      </c>
      <c r="I1189" t="s">
        <v>154</v>
      </c>
      <c r="J1189">
        <v>19940224</v>
      </c>
    </row>
    <row r="1190" spans="1:10">
      <c r="A1190" t="s">
        <v>4548</v>
      </c>
      <c r="B1190">
        <v>600838</v>
      </c>
      <c r="C1190" t="s">
        <v>4549</v>
      </c>
      <c r="D1190" t="s">
        <v>172</v>
      </c>
      <c r="E1190" t="s">
        <v>22</v>
      </c>
      <c r="F1190" t="s">
        <v>4550</v>
      </c>
      <c r="G1190" t="s">
        <v>152</v>
      </c>
      <c r="H1190" t="s">
        <v>174</v>
      </c>
      <c r="I1190" t="s">
        <v>154</v>
      </c>
      <c r="J1190">
        <v>19940224</v>
      </c>
    </row>
    <row r="1191" spans="1:10">
      <c r="A1191" t="s">
        <v>2257</v>
      </c>
      <c r="B1191">
        <v>600839</v>
      </c>
      <c r="C1191" t="s">
        <v>2258</v>
      </c>
      <c r="D1191" t="s">
        <v>219</v>
      </c>
      <c r="E1191" t="s">
        <v>8</v>
      </c>
      <c r="F1191" t="s">
        <v>2259</v>
      </c>
      <c r="G1191" t="s">
        <v>152</v>
      </c>
      <c r="H1191" t="s">
        <v>174</v>
      </c>
      <c r="I1191" t="s">
        <v>154</v>
      </c>
      <c r="J1191">
        <v>19940311</v>
      </c>
    </row>
    <row r="1192" spans="1:10">
      <c r="A1192" t="s">
        <v>1969</v>
      </c>
      <c r="B1192">
        <v>600841</v>
      </c>
      <c r="C1192" t="s">
        <v>1970</v>
      </c>
      <c r="D1192" t="s">
        <v>172</v>
      </c>
      <c r="E1192" t="s">
        <v>28</v>
      </c>
      <c r="F1192" t="s">
        <v>1971</v>
      </c>
      <c r="G1192" t="s">
        <v>152</v>
      </c>
      <c r="H1192" t="s">
        <v>174</v>
      </c>
      <c r="I1192" t="s">
        <v>154</v>
      </c>
      <c r="J1192">
        <v>19940311</v>
      </c>
    </row>
    <row r="1193" spans="1:10">
      <c r="A1193" t="s">
        <v>5580</v>
      </c>
      <c r="B1193">
        <v>600843</v>
      </c>
      <c r="C1193" t="s">
        <v>5581</v>
      </c>
      <c r="D1193" t="s">
        <v>172</v>
      </c>
      <c r="E1193" t="s">
        <v>100</v>
      </c>
      <c r="F1193" t="s">
        <v>5582</v>
      </c>
      <c r="G1193" t="s">
        <v>152</v>
      </c>
      <c r="H1193" t="s">
        <v>174</v>
      </c>
      <c r="I1193" t="s">
        <v>154</v>
      </c>
      <c r="J1193">
        <v>19940311</v>
      </c>
    </row>
    <row r="1194" spans="1:10">
      <c r="A1194" t="s">
        <v>581</v>
      </c>
      <c r="B1194">
        <v>600844</v>
      </c>
      <c r="C1194" t="s">
        <v>582</v>
      </c>
      <c r="D1194" t="s">
        <v>212</v>
      </c>
      <c r="E1194" t="s">
        <v>14</v>
      </c>
      <c r="F1194" t="s">
        <v>583</v>
      </c>
      <c r="G1194" t="s">
        <v>152</v>
      </c>
      <c r="H1194" t="s">
        <v>174</v>
      </c>
      <c r="I1194" t="s">
        <v>154</v>
      </c>
      <c r="J1194">
        <v>19940311</v>
      </c>
    </row>
    <row r="1195" spans="1:10">
      <c r="A1195" t="s">
        <v>5937</v>
      </c>
      <c r="B1195">
        <v>600845</v>
      </c>
      <c r="C1195" t="s">
        <v>5938</v>
      </c>
      <c r="D1195" t="s">
        <v>172</v>
      </c>
      <c r="E1195" t="s">
        <v>123</v>
      </c>
      <c r="F1195" t="s">
        <v>5939</v>
      </c>
      <c r="G1195" t="s">
        <v>152</v>
      </c>
      <c r="H1195" t="s">
        <v>174</v>
      </c>
      <c r="I1195" t="s">
        <v>154</v>
      </c>
      <c r="J1195">
        <v>19940311</v>
      </c>
    </row>
    <row r="1196" spans="1:10">
      <c r="A1196" t="s">
        <v>5277</v>
      </c>
      <c r="B1196">
        <v>600846</v>
      </c>
      <c r="C1196" t="s">
        <v>5278</v>
      </c>
      <c r="D1196" t="s">
        <v>172</v>
      </c>
      <c r="E1196" t="s">
        <v>121</v>
      </c>
      <c r="F1196" t="s">
        <v>5279</v>
      </c>
      <c r="G1196" t="s">
        <v>152</v>
      </c>
      <c r="H1196" t="s">
        <v>174</v>
      </c>
      <c r="I1196" t="s">
        <v>154</v>
      </c>
      <c r="J1196">
        <v>19940311</v>
      </c>
    </row>
    <row r="1197" spans="1:10">
      <c r="A1197" t="s">
        <v>1480</v>
      </c>
      <c r="B1197">
        <v>600847</v>
      </c>
      <c r="C1197" t="s">
        <v>1481</v>
      </c>
      <c r="D1197" t="s">
        <v>937</v>
      </c>
      <c r="E1197" t="s">
        <v>17</v>
      </c>
      <c r="F1197" t="s">
        <v>1482</v>
      </c>
      <c r="G1197" t="s">
        <v>152</v>
      </c>
      <c r="H1197" t="s">
        <v>174</v>
      </c>
      <c r="I1197" t="s">
        <v>154</v>
      </c>
      <c r="J1197">
        <v>19940324</v>
      </c>
    </row>
    <row r="1198" spans="1:10">
      <c r="A1198" t="s">
        <v>4398</v>
      </c>
      <c r="B1198">
        <v>600848</v>
      </c>
      <c r="C1198" t="s">
        <v>4399</v>
      </c>
      <c r="D1198" t="s">
        <v>172</v>
      </c>
      <c r="E1198" t="s">
        <v>93</v>
      </c>
      <c r="F1198" t="s">
        <v>4400</v>
      </c>
      <c r="G1198" t="s">
        <v>152</v>
      </c>
      <c r="H1198" t="s">
        <v>174</v>
      </c>
      <c r="I1198" t="s">
        <v>154</v>
      </c>
      <c r="J1198">
        <v>19940324</v>
      </c>
    </row>
    <row r="1199" spans="1:10">
      <c r="A1199" t="s">
        <v>5940</v>
      </c>
      <c r="B1199">
        <v>600850</v>
      </c>
      <c r="C1199" t="s">
        <v>5941</v>
      </c>
      <c r="D1199" t="s">
        <v>172</v>
      </c>
      <c r="E1199" t="s">
        <v>123</v>
      </c>
      <c r="F1199" t="s">
        <v>5942</v>
      </c>
      <c r="G1199" t="s">
        <v>152</v>
      </c>
      <c r="H1199" t="s">
        <v>174</v>
      </c>
      <c r="I1199" t="s">
        <v>154</v>
      </c>
      <c r="J1199">
        <v>19940324</v>
      </c>
    </row>
    <row r="1200" spans="1:10">
      <c r="A1200" t="s">
        <v>3031</v>
      </c>
      <c r="B1200">
        <v>600851</v>
      </c>
      <c r="C1200" t="s">
        <v>3032</v>
      </c>
      <c r="D1200" t="s">
        <v>172</v>
      </c>
      <c r="E1200" t="s">
        <v>81</v>
      </c>
      <c r="F1200" t="s">
        <v>3033</v>
      </c>
      <c r="G1200" t="s">
        <v>152</v>
      </c>
      <c r="H1200" t="s">
        <v>174</v>
      </c>
      <c r="I1200" t="s">
        <v>154</v>
      </c>
      <c r="J1200">
        <v>19940404</v>
      </c>
    </row>
    <row r="1201" spans="1:10">
      <c r="A1201" t="s">
        <v>5280</v>
      </c>
      <c r="B1201">
        <v>600853</v>
      </c>
      <c r="C1201" t="s">
        <v>5281</v>
      </c>
      <c r="D1201" t="s">
        <v>194</v>
      </c>
      <c r="E1201" t="s">
        <v>121</v>
      </c>
      <c r="F1201" t="s">
        <v>5282</v>
      </c>
      <c r="G1201" t="s">
        <v>152</v>
      </c>
      <c r="H1201" t="s">
        <v>174</v>
      </c>
      <c r="I1201" t="s">
        <v>154</v>
      </c>
      <c r="J1201">
        <v>19940404</v>
      </c>
    </row>
    <row r="1202" spans="1:10">
      <c r="A1202" t="s">
        <v>2260</v>
      </c>
      <c r="B1202">
        <v>600854</v>
      </c>
      <c r="C1202" t="s">
        <v>2261</v>
      </c>
      <c r="D1202" t="s">
        <v>212</v>
      </c>
      <c r="E1202" t="s">
        <v>8</v>
      </c>
      <c r="F1202" t="s">
        <v>2262</v>
      </c>
      <c r="G1202" t="s">
        <v>152</v>
      </c>
      <c r="H1202" t="s">
        <v>174</v>
      </c>
      <c r="I1202" t="s">
        <v>154</v>
      </c>
      <c r="J1202">
        <v>19940425</v>
      </c>
    </row>
    <row r="1203" spans="1:10">
      <c r="A1203" t="s">
        <v>5583</v>
      </c>
      <c r="B1203">
        <v>600855</v>
      </c>
      <c r="C1203" t="s">
        <v>5584</v>
      </c>
      <c r="D1203" t="s">
        <v>164</v>
      </c>
      <c r="E1203" t="s">
        <v>122</v>
      </c>
      <c r="F1203" t="s">
        <v>5585</v>
      </c>
      <c r="G1203" t="s">
        <v>152</v>
      </c>
      <c r="H1203" t="s">
        <v>174</v>
      </c>
      <c r="I1203" t="s">
        <v>154</v>
      </c>
      <c r="J1203">
        <v>19940425</v>
      </c>
    </row>
    <row r="1204" spans="1:10">
      <c r="A1204" t="s">
        <v>4551</v>
      </c>
      <c r="B1204">
        <v>600857</v>
      </c>
      <c r="C1204" t="s">
        <v>4552</v>
      </c>
      <c r="D1204" t="s">
        <v>423</v>
      </c>
      <c r="E1204" t="s">
        <v>22</v>
      </c>
      <c r="F1204" t="s">
        <v>4553</v>
      </c>
      <c r="G1204" t="s">
        <v>152</v>
      </c>
      <c r="H1204" t="s">
        <v>174</v>
      </c>
      <c r="I1204" t="s">
        <v>154</v>
      </c>
      <c r="J1204">
        <v>19940425</v>
      </c>
    </row>
    <row r="1205" spans="1:10">
      <c r="A1205" t="s">
        <v>4554</v>
      </c>
      <c r="B1205">
        <v>600858</v>
      </c>
      <c r="C1205" t="s">
        <v>4555</v>
      </c>
      <c r="D1205" t="s">
        <v>198</v>
      </c>
      <c r="E1205" t="s">
        <v>22</v>
      </c>
      <c r="F1205" t="s">
        <v>4556</v>
      </c>
      <c r="G1205" t="s">
        <v>152</v>
      </c>
      <c r="H1205" t="s">
        <v>174</v>
      </c>
      <c r="I1205" t="s">
        <v>154</v>
      </c>
      <c r="J1205">
        <v>19940506</v>
      </c>
    </row>
    <row r="1206" spans="1:10">
      <c r="A1206" t="s">
        <v>4557</v>
      </c>
      <c r="B1206">
        <v>600859</v>
      </c>
      <c r="C1206" t="s">
        <v>4558</v>
      </c>
      <c r="D1206" t="s">
        <v>164</v>
      </c>
      <c r="E1206" t="s">
        <v>22</v>
      </c>
      <c r="F1206" t="s">
        <v>4559</v>
      </c>
      <c r="G1206" t="s">
        <v>152</v>
      </c>
      <c r="H1206" t="s">
        <v>174</v>
      </c>
      <c r="I1206" t="s">
        <v>154</v>
      </c>
      <c r="J1206">
        <v>19940506</v>
      </c>
    </row>
    <row r="1207" spans="1:10">
      <c r="A1207" t="s">
        <v>5586</v>
      </c>
      <c r="B1207">
        <v>600860</v>
      </c>
      <c r="C1207" t="s">
        <v>5587</v>
      </c>
      <c r="D1207" t="s">
        <v>164</v>
      </c>
      <c r="E1207" t="s">
        <v>122</v>
      </c>
      <c r="F1207" t="s">
        <v>5588</v>
      </c>
      <c r="G1207" t="s">
        <v>152</v>
      </c>
      <c r="H1207" t="s">
        <v>174</v>
      </c>
      <c r="I1207" t="s">
        <v>154</v>
      </c>
      <c r="J1207">
        <v>19940506</v>
      </c>
    </row>
    <row r="1208" spans="1:10">
      <c r="A1208" t="s">
        <v>4560</v>
      </c>
      <c r="B1208">
        <v>600861</v>
      </c>
      <c r="C1208" t="s">
        <v>4561</v>
      </c>
      <c r="D1208" t="s">
        <v>164</v>
      </c>
      <c r="E1208" t="s">
        <v>22</v>
      </c>
      <c r="F1208" t="s">
        <v>4562</v>
      </c>
      <c r="G1208" t="s">
        <v>152</v>
      </c>
      <c r="H1208" t="s">
        <v>174</v>
      </c>
      <c r="I1208" t="s">
        <v>154</v>
      </c>
      <c r="J1208">
        <v>19940520</v>
      </c>
    </row>
    <row r="1209" spans="1:10">
      <c r="A1209" t="s">
        <v>3970</v>
      </c>
      <c r="B1209">
        <v>600862</v>
      </c>
      <c r="C1209" t="s">
        <v>3971</v>
      </c>
      <c r="D1209" t="s">
        <v>212</v>
      </c>
      <c r="E1209" t="s">
        <v>102</v>
      </c>
      <c r="F1209" t="s">
        <v>3972</v>
      </c>
      <c r="G1209" t="s">
        <v>152</v>
      </c>
      <c r="H1209" t="s">
        <v>174</v>
      </c>
      <c r="I1209" t="s">
        <v>154</v>
      </c>
      <c r="J1209">
        <v>19940520</v>
      </c>
    </row>
    <row r="1210" spans="1:10">
      <c r="A1210" t="s">
        <v>3622</v>
      </c>
      <c r="B1210">
        <v>600863</v>
      </c>
      <c r="C1210" t="s">
        <v>3623</v>
      </c>
      <c r="D1210" t="s">
        <v>266</v>
      </c>
      <c r="E1210" t="s">
        <v>77</v>
      </c>
      <c r="F1210" t="s">
        <v>3624</v>
      </c>
      <c r="G1210" t="s">
        <v>152</v>
      </c>
      <c r="H1210" t="s">
        <v>174</v>
      </c>
      <c r="I1210" t="s">
        <v>154</v>
      </c>
      <c r="J1210">
        <v>19940520</v>
      </c>
    </row>
    <row r="1211" spans="1:10">
      <c r="A1211" t="s">
        <v>4896</v>
      </c>
      <c r="B1211">
        <v>600864</v>
      </c>
      <c r="C1211" t="s">
        <v>4897</v>
      </c>
      <c r="D1211" t="s">
        <v>194</v>
      </c>
      <c r="E1211" t="s">
        <v>87</v>
      </c>
      <c r="F1211" t="s">
        <v>4898</v>
      </c>
      <c r="G1211" t="s">
        <v>152</v>
      </c>
      <c r="H1211" t="s">
        <v>174</v>
      </c>
      <c r="I1211" t="s">
        <v>154</v>
      </c>
      <c r="J1211">
        <v>19940809</v>
      </c>
    </row>
    <row r="1212" spans="1:10">
      <c r="A1212" t="s">
        <v>4563</v>
      </c>
      <c r="B1212">
        <v>600865</v>
      </c>
      <c r="C1212" t="s">
        <v>4564</v>
      </c>
      <c r="D1212" t="s">
        <v>423</v>
      </c>
      <c r="E1212" t="s">
        <v>22</v>
      </c>
      <c r="F1212" t="s">
        <v>4565</v>
      </c>
      <c r="G1212" t="s">
        <v>152</v>
      </c>
      <c r="H1212" t="s">
        <v>174</v>
      </c>
      <c r="I1212" t="s">
        <v>154</v>
      </c>
      <c r="J1212">
        <v>19940809</v>
      </c>
    </row>
    <row r="1213" spans="1:10">
      <c r="A1213" t="s">
        <v>2479</v>
      </c>
      <c r="B1213">
        <v>600866</v>
      </c>
      <c r="C1213" t="s">
        <v>2480</v>
      </c>
      <c r="D1213" t="s">
        <v>223</v>
      </c>
      <c r="E1213" t="s">
        <v>19</v>
      </c>
      <c r="F1213" t="s">
        <v>2481</v>
      </c>
      <c r="G1213" t="s">
        <v>152</v>
      </c>
      <c r="H1213" t="s">
        <v>174</v>
      </c>
      <c r="I1213" t="s">
        <v>154</v>
      </c>
      <c r="J1213">
        <v>19940818</v>
      </c>
    </row>
    <row r="1214" spans="1:10">
      <c r="A1214" t="s">
        <v>3109</v>
      </c>
      <c r="B1214">
        <v>600867</v>
      </c>
      <c r="C1214" t="s">
        <v>3110</v>
      </c>
      <c r="D1214" t="s">
        <v>312</v>
      </c>
      <c r="E1214" t="s">
        <v>76</v>
      </c>
      <c r="F1214" t="s">
        <v>3111</v>
      </c>
      <c r="G1214" t="s">
        <v>152</v>
      </c>
      <c r="H1214" t="s">
        <v>174</v>
      </c>
      <c r="I1214" t="s">
        <v>154</v>
      </c>
      <c r="J1214">
        <v>19940824</v>
      </c>
    </row>
    <row r="1215" spans="1:10">
      <c r="A1215" t="s">
        <v>5943</v>
      </c>
      <c r="B1215">
        <v>600868</v>
      </c>
      <c r="C1215" t="s">
        <v>5944</v>
      </c>
      <c r="D1215" t="s">
        <v>223</v>
      </c>
      <c r="E1215" t="s">
        <v>123</v>
      </c>
      <c r="F1215" t="s">
        <v>5945</v>
      </c>
      <c r="G1215" t="s">
        <v>152</v>
      </c>
      <c r="H1215" t="s">
        <v>174</v>
      </c>
      <c r="I1215" t="s">
        <v>154</v>
      </c>
      <c r="J1215">
        <v>19940912</v>
      </c>
    </row>
    <row r="1216" spans="1:10">
      <c r="A1216" t="s">
        <v>1483</v>
      </c>
      <c r="B1216">
        <v>600869</v>
      </c>
      <c r="C1216" t="s">
        <v>1484</v>
      </c>
      <c r="D1216" t="s">
        <v>308</v>
      </c>
      <c r="E1216" t="s">
        <v>17</v>
      </c>
      <c r="F1216" t="s">
        <v>1485</v>
      </c>
      <c r="G1216" t="s">
        <v>152</v>
      </c>
      <c r="H1216" t="s">
        <v>174</v>
      </c>
      <c r="I1216" t="s">
        <v>154</v>
      </c>
      <c r="J1216">
        <v>19950206</v>
      </c>
    </row>
    <row r="1217" spans="1:10">
      <c r="A1217" t="s">
        <v>6504</v>
      </c>
      <c r="B1217">
        <v>600871</v>
      </c>
      <c r="C1217" t="s">
        <v>6505</v>
      </c>
      <c r="D1217" t="s">
        <v>164</v>
      </c>
      <c r="E1217" t="s">
        <v>118</v>
      </c>
      <c r="F1217" t="s">
        <v>6506</v>
      </c>
      <c r="G1217" t="s">
        <v>152</v>
      </c>
      <c r="H1217" t="s">
        <v>174</v>
      </c>
      <c r="I1217" t="s">
        <v>154</v>
      </c>
      <c r="J1217">
        <v>19950411</v>
      </c>
    </row>
    <row r="1218" spans="1:10">
      <c r="A1218" t="s">
        <v>2482</v>
      </c>
      <c r="B1218">
        <v>600872</v>
      </c>
      <c r="C1218" t="s">
        <v>2483</v>
      </c>
      <c r="D1218" t="s">
        <v>223</v>
      </c>
      <c r="E1218" t="s">
        <v>19</v>
      </c>
      <c r="F1218" t="s">
        <v>2484</v>
      </c>
      <c r="G1218" t="s">
        <v>152</v>
      </c>
      <c r="H1218" t="s">
        <v>174</v>
      </c>
      <c r="I1218" t="s">
        <v>154</v>
      </c>
      <c r="J1218">
        <v>19950124</v>
      </c>
    </row>
    <row r="1219" spans="1:10">
      <c r="A1219" t="s">
        <v>2485</v>
      </c>
      <c r="B1219">
        <v>600873</v>
      </c>
      <c r="C1219" t="s">
        <v>2486</v>
      </c>
      <c r="D1219" t="s">
        <v>1001</v>
      </c>
      <c r="E1219" t="s">
        <v>19</v>
      </c>
      <c r="F1219" t="s">
        <v>2487</v>
      </c>
      <c r="G1219" t="s">
        <v>152</v>
      </c>
      <c r="H1219" t="s">
        <v>174</v>
      </c>
      <c r="I1219" t="s">
        <v>154</v>
      </c>
      <c r="J1219">
        <v>19950217</v>
      </c>
    </row>
    <row r="1220" spans="1:10">
      <c r="A1220" t="s">
        <v>6597</v>
      </c>
      <c r="B1220">
        <v>600874</v>
      </c>
      <c r="C1220" t="s">
        <v>6598</v>
      </c>
      <c r="D1220" t="s">
        <v>576</v>
      </c>
      <c r="E1220" t="s">
        <v>119</v>
      </c>
      <c r="F1220" t="s">
        <v>6599</v>
      </c>
      <c r="G1220" t="s">
        <v>152</v>
      </c>
      <c r="H1220" t="s">
        <v>174</v>
      </c>
      <c r="I1220" t="s">
        <v>154</v>
      </c>
      <c r="J1220">
        <v>19950630</v>
      </c>
    </row>
    <row r="1221" spans="1:10">
      <c r="A1221" t="s">
        <v>1486</v>
      </c>
      <c r="B1221">
        <v>600875</v>
      </c>
      <c r="C1221" t="s">
        <v>1487</v>
      </c>
      <c r="D1221" t="s">
        <v>219</v>
      </c>
      <c r="E1221" t="s">
        <v>17</v>
      </c>
      <c r="F1221" t="s">
        <v>1488</v>
      </c>
      <c r="G1221" t="s">
        <v>152</v>
      </c>
      <c r="H1221" t="s">
        <v>174</v>
      </c>
      <c r="I1221" t="s">
        <v>154</v>
      </c>
      <c r="J1221">
        <v>19951010</v>
      </c>
    </row>
    <row r="1222" spans="1:10">
      <c r="A1222" t="s">
        <v>5142</v>
      </c>
      <c r="B1222">
        <v>600876</v>
      </c>
      <c r="C1222" t="s">
        <v>5143</v>
      </c>
      <c r="D1222" t="s">
        <v>292</v>
      </c>
      <c r="E1222" t="s">
        <v>45</v>
      </c>
      <c r="F1222" t="s">
        <v>5144</v>
      </c>
      <c r="G1222" t="s">
        <v>152</v>
      </c>
      <c r="H1222" t="s">
        <v>174</v>
      </c>
      <c r="I1222" t="s">
        <v>154</v>
      </c>
      <c r="J1222">
        <v>19951031</v>
      </c>
    </row>
    <row r="1223" spans="1:10">
      <c r="A1223" t="s">
        <v>1489</v>
      </c>
      <c r="B1223">
        <v>600877</v>
      </c>
      <c r="C1223" t="s">
        <v>1490</v>
      </c>
      <c r="D1223" t="s">
        <v>937</v>
      </c>
      <c r="E1223" t="s">
        <v>31</v>
      </c>
      <c r="F1223" t="s">
        <v>1491</v>
      </c>
      <c r="G1223" t="s">
        <v>152</v>
      </c>
      <c r="H1223" t="s">
        <v>174</v>
      </c>
      <c r="I1223" t="s">
        <v>154</v>
      </c>
      <c r="J1223">
        <v>19951013</v>
      </c>
    </row>
    <row r="1224" spans="1:10">
      <c r="A1224" t="s">
        <v>3973</v>
      </c>
      <c r="B1224">
        <v>600879</v>
      </c>
      <c r="C1224" t="s">
        <v>3974</v>
      </c>
      <c r="D1224" t="s">
        <v>316</v>
      </c>
      <c r="E1224" t="s">
        <v>102</v>
      </c>
      <c r="F1224" t="s">
        <v>3975</v>
      </c>
      <c r="G1224" t="s">
        <v>152</v>
      </c>
      <c r="H1224" t="s">
        <v>174</v>
      </c>
      <c r="I1224" t="s">
        <v>154</v>
      </c>
      <c r="J1224">
        <v>19951115</v>
      </c>
    </row>
    <row r="1225" spans="1:10">
      <c r="A1225" t="s">
        <v>2785</v>
      </c>
      <c r="B1225">
        <v>600880</v>
      </c>
      <c r="C1225" t="s">
        <v>2786</v>
      </c>
      <c r="D1225" t="s">
        <v>219</v>
      </c>
      <c r="E1225" t="s">
        <v>37</v>
      </c>
      <c r="F1225" t="s">
        <v>2787</v>
      </c>
      <c r="G1225" t="s">
        <v>152</v>
      </c>
      <c r="H1225" t="s">
        <v>174</v>
      </c>
      <c r="I1225" t="s">
        <v>154</v>
      </c>
      <c r="J1225">
        <v>19951115</v>
      </c>
    </row>
    <row r="1226" spans="1:10">
      <c r="A1226" t="s">
        <v>5145</v>
      </c>
      <c r="B1226">
        <v>600881</v>
      </c>
      <c r="C1226" t="s">
        <v>5146</v>
      </c>
      <c r="D1226" t="s">
        <v>312</v>
      </c>
      <c r="E1226" t="s">
        <v>75</v>
      </c>
      <c r="F1226" t="s">
        <v>5147</v>
      </c>
      <c r="G1226" t="s">
        <v>152</v>
      </c>
      <c r="H1226" t="s">
        <v>174</v>
      </c>
      <c r="I1226" t="s">
        <v>154</v>
      </c>
      <c r="J1226">
        <v>19951115</v>
      </c>
    </row>
    <row r="1227" spans="1:10">
      <c r="A1227" t="s">
        <v>2488</v>
      </c>
      <c r="B1227">
        <v>600882</v>
      </c>
      <c r="C1227" t="s">
        <v>2489</v>
      </c>
      <c r="D1227" t="s">
        <v>172</v>
      </c>
      <c r="E1227" t="s">
        <v>53</v>
      </c>
      <c r="F1227" t="s">
        <v>2490</v>
      </c>
      <c r="G1227" t="s">
        <v>152</v>
      </c>
      <c r="H1227" t="s">
        <v>174</v>
      </c>
      <c r="I1227" t="s">
        <v>154</v>
      </c>
      <c r="J1227">
        <v>19951206</v>
      </c>
    </row>
    <row r="1228" spans="1:10">
      <c r="A1228" t="s">
        <v>207</v>
      </c>
      <c r="B1228">
        <v>600883</v>
      </c>
      <c r="C1228" t="s">
        <v>208</v>
      </c>
      <c r="D1228" t="s">
        <v>184</v>
      </c>
      <c r="E1228" t="s">
        <v>13</v>
      </c>
      <c r="F1228" t="s">
        <v>209</v>
      </c>
      <c r="G1228" t="s">
        <v>152</v>
      </c>
      <c r="H1228" t="s">
        <v>174</v>
      </c>
      <c r="I1228" t="s">
        <v>154</v>
      </c>
      <c r="J1228">
        <v>19951208</v>
      </c>
    </row>
    <row r="1229" spans="1:10">
      <c r="A1229" t="s">
        <v>1492</v>
      </c>
      <c r="B1229">
        <v>600884</v>
      </c>
      <c r="C1229" t="s">
        <v>1493</v>
      </c>
      <c r="D1229" t="s">
        <v>423</v>
      </c>
      <c r="E1229" t="s">
        <v>17</v>
      </c>
      <c r="F1229" t="s">
        <v>1494</v>
      </c>
      <c r="G1229" t="s">
        <v>152</v>
      </c>
      <c r="H1229" t="s">
        <v>174</v>
      </c>
      <c r="I1229" t="s">
        <v>154</v>
      </c>
      <c r="J1229">
        <v>19960130</v>
      </c>
    </row>
    <row r="1230" spans="1:10">
      <c r="A1230" t="s">
        <v>1495</v>
      </c>
      <c r="B1230">
        <v>600885</v>
      </c>
      <c r="C1230" t="s">
        <v>1496</v>
      </c>
      <c r="D1230" t="s">
        <v>316</v>
      </c>
      <c r="E1230" t="s">
        <v>17</v>
      </c>
      <c r="F1230" t="s">
        <v>1497</v>
      </c>
      <c r="G1230" t="s">
        <v>152</v>
      </c>
      <c r="H1230" t="s">
        <v>174</v>
      </c>
      <c r="I1230" t="s">
        <v>154</v>
      </c>
      <c r="J1230">
        <v>19960205</v>
      </c>
    </row>
    <row r="1231" spans="1:10">
      <c r="A1231" t="s">
        <v>3625</v>
      </c>
      <c r="B1231">
        <v>600886</v>
      </c>
      <c r="C1231" t="s">
        <v>3626</v>
      </c>
      <c r="D1231" t="s">
        <v>164</v>
      </c>
      <c r="E1231" t="s">
        <v>68</v>
      </c>
      <c r="F1231" t="s">
        <v>3627</v>
      </c>
      <c r="G1231" t="s">
        <v>152</v>
      </c>
      <c r="H1231" t="s">
        <v>174</v>
      </c>
      <c r="I1231" t="s">
        <v>154</v>
      </c>
      <c r="J1231">
        <v>19960118</v>
      </c>
    </row>
    <row r="1232" spans="1:10">
      <c r="A1232" t="s">
        <v>2491</v>
      </c>
      <c r="B1232">
        <v>600887</v>
      </c>
      <c r="C1232" t="s">
        <v>2492</v>
      </c>
      <c r="D1232" t="s">
        <v>266</v>
      </c>
      <c r="E1232" t="s">
        <v>53</v>
      </c>
      <c r="F1232" t="s">
        <v>2493</v>
      </c>
      <c r="G1232" t="s">
        <v>152</v>
      </c>
      <c r="H1232" t="s">
        <v>174</v>
      </c>
      <c r="I1232" t="s">
        <v>154</v>
      </c>
      <c r="J1232">
        <v>19960312</v>
      </c>
    </row>
    <row r="1233" spans="1:10">
      <c r="A1233" t="s">
        <v>1123</v>
      </c>
      <c r="B1233">
        <v>600888</v>
      </c>
      <c r="C1233" t="s">
        <v>1124</v>
      </c>
      <c r="D1233" t="s">
        <v>202</v>
      </c>
      <c r="E1233" t="s">
        <v>16</v>
      </c>
      <c r="F1233" t="s">
        <v>1125</v>
      </c>
      <c r="G1233" t="s">
        <v>152</v>
      </c>
      <c r="H1233" t="s">
        <v>174</v>
      </c>
      <c r="I1233" t="s">
        <v>154</v>
      </c>
      <c r="J1233">
        <v>19960215</v>
      </c>
    </row>
    <row r="1234" spans="1:10">
      <c r="A1234" t="s">
        <v>584</v>
      </c>
      <c r="B1234">
        <v>600889</v>
      </c>
      <c r="C1234" t="s">
        <v>585</v>
      </c>
      <c r="D1234" t="s">
        <v>212</v>
      </c>
      <c r="E1234" t="s">
        <v>24</v>
      </c>
      <c r="F1234" t="s">
        <v>586</v>
      </c>
      <c r="G1234" t="s">
        <v>152</v>
      </c>
      <c r="H1234" t="s">
        <v>174</v>
      </c>
      <c r="I1234" t="s">
        <v>154</v>
      </c>
      <c r="J1234">
        <v>19960308</v>
      </c>
    </row>
    <row r="1235" spans="1:10">
      <c r="A1235" t="s">
        <v>6075</v>
      </c>
      <c r="B1235">
        <v>600892</v>
      </c>
      <c r="C1235" t="s">
        <v>6076</v>
      </c>
      <c r="D1235" t="s">
        <v>243</v>
      </c>
      <c r="E1235" t="s">
        <v>124</v>
      </c>
      <c r="F1235" t="s">
        <v>6077</v>
      </c>
      <c r="G1235" t="s">
        <v>152</v>
      </c>
      <c r="H1235" t="s">
        <v>174</v>
      </c>
      <c r="I1235" t="s">
        <v>154</v>
      </c>
      <c r="J1235">
        <v>19960315</v>
      </c>
    </row>
    <row r="1236" spans="1:10">
      <c r="A1236" t="s">
        <v>3976</v>
      </c>
      <c r="B1236">
        <v>600893</v>
      </c>
      <c r="C1236" t="s">
        <v>3977</v>
      </c>
      <c r="D1236" t="s">
        <v>419</v>
      </c>
      <c r="E1236" t="s">
        <v>102</v>
      </c>
      <c r="F1236" t="s">
        <v>3978</v>
      </c>
      <c r="G1236" t="s">
        <v>152</v>
      </c>
      <c r="H1236" t="s">
        <v>174</v>
      </c>
      <c r="I1236" t="s">
        <v>154</v>
      </c>
      <c r="J1236">
        <v>19960408</v>
      </c>
    </row>
    <row r="1237" spans="1:10">
      <c r="A1237" t="s">
        <v>5589</v>
      </c>
      <c r="B1237">
        <v>600894</v>
      </c>
      <c r="C1237" t="s">
        <v>5590</v>
      </c>
      <c r="D1237" t="s">
        <v>223</v>
      </c>
      <c r="E1237" t="s">
        <v>128</v>
      </c>
      <c r="F1237" t="s">
        <v>5591</v>
      </c>
      <c r="G1237" t="s">
        <v>152</v>
      </c>
      <c r="H1237" t="s">
        <v>174</v>
      </c>
      <c r="I1237" t="s">
        <v>154</v>
      </c>
      <c r="J1237">
        <v>19960328</v>
      </c>
    </row>
    <row r="1238" spans="1:10">
      <c r="A1238" t="s">
        <v>4401</v>
      </c>
      <c r="B1238">
        <v>600895</v>
      </c>
      <c r="C1238" t="s">
        <v>4402</v>
      </c>
      <c r="D1238" t="s">
        <v>172</v>
      </c>
      <c r="E1238" t="s">
        <v>93</v>
      </c>
      <c r="F1238" t="s">
        <v>4403</v>
      </c>
      <c r="G1238" t="s">
        <v>152</v>
      </c>
      <c r="H1238" t="s">
        <v>174</v>
      </c>
      <c r="I1238" t="s">
        <v>154</v>
      </c>
      <c r="J1238">
        <v>19960422</v>
      </c>
    </row>
    <row r="1239" spans="1:10">
      <c r="A1239" t="s">
        <v>3979</v>
      </c>
      <c r="B1239">
        <v>600897</v>
      </c>
      <c r="C1239" t="s">
        <v>3980</v>
      </c>
      <c r="D1239" t="s">
        <v>150</v>
      </c>
      <c r="E1239" t="s">
        <v>101</v>
      </c>
      <c r="F1239" t="s">
        <v>3981</v>
      </c>
      <c r="G1239" t="s">
        <v>152</v>
      </c>
      <c r="H1239" t="s">
        <v>174</v>
      </c>
      <c r="I1239" t="s">
        <v>154</v>
      </c>
      <c r="J1239">
        <v>19960531</v>
      </c>
    </row>
    <row r="1240" spans="1:10">
      <c r="A1240" t="s">
        <v>6288</v>
      </c>
      <c r="B1240">
        <v>600898</v>
      </c>
      <c r="C1240" t="s">
        <v>6289</v>
      </c>
      <c r="D1240" t="s">
        <v>198</v>
      </c>
      <c r="E1240" t="s">
        <v>125</v>
      </c>
      <c r="F1240" t="s">
        <v>6290</v>
      </c>
      <c r="G1240" t="s">
        <v>152</v>
      </c>
      <c r="H1240" t="s">
        <v>174</v>
      </c>
      <c r="I1240" t="s">
        <v>154</v>
      </c>
      <c r="J1240">
        <v>19960418</v>
      </c>
    </row>
    <row r="1241" spans="1:10">
      <c r="A1241" t="s">
        <v>3628</v>
      </c>
      <c r="B1241">
        <v>600900</v>
      </c>
      <c r="C1241" t="s">
        <v>3629</v>
      </c>
      <c r="D1241" t="s">
        <v>164</v>
      </c>
      <c r="E1241" t="s">
        <v>68</v>
      </c>
      <c r="F1241" t="s">
        <v>3630</v>
      </c>
      <c r="G1241" t="s">
        <v>152</v>
      </c>
      <c r="H1241" t="s">
        <v>174</v>
      </c>
      <c r="I1241" t="s">
        <v>154</v>
      </c>
      <c r="J1241">
        <v>20031118</v>
      </c>
    </row>
    <row r="1242" spans="1:10">
      <c r="A1242" t="s">
        <v>4899</v>
      </c>
      <c r="B1242">
        <v>600901</v>
      </c>
      <c r="C1242" t="s">
        <v>4900</v>
      </c>
      <c r="D1242" t="s">
        <v>212</v>
      </c>
      <c r="E1242" t="s">
        <v>73</v>
      </c>
      <c r="F1242" t="s">
        <v>4901</v>
      </c>
      <c r="G1242" t="s">
        <v>152</v>
      </c>
      <c r="H1242" t="s">
        <v>174</v>
      </c>
      <c r="I1242" t="s">
        <v>154</v>
      </c>
      <c r="J1242">
        <v>20180301</v>
      </c>
    </row>
    <row r="1243" spans="1:10">
      <c r="A1243" t="s">
        <v>3631</v>
      </c>
      <c r="B1243">
        <v>600903</v>
      </c>
      <c r="C1243" t="s">
        <v>3632</v>
      </c>
      <c r="D1243" t="s">
        <v>463</v>
      </c>
      <c r="E1243" t="s">
        <v>91</v>
      </c>
      <c r="F1243" t="s">
        <v>3633</v>
      </c>
      <c r="G1243" t="s">
        <v>152</v>
      </c>
      <c r="H1243" t="s">
        <v>174</v>
      </c>
      <c r="I1243" t="s">
        <v>154</v>
      </c>
      <c r="J1243">
        <v>20171107</v>
      </c>
    </row>
    <row r="1244" spans="1:10">
      <c r="A1244" t="s">
        <v>3634</v>
      </c>
      <c r="B1244">
        <v>600905</v>
      </c>
      <c r="C1244" t="s">
        <v>3635</v>
      </c>
      <c r="D1244" t="s">
        <v>164</v>
      </c>
      <c r="E1244" t="s">
        <v>82</v>
      </c>
      <c r="F1244" t="s">
        <v>3636</v>
      </c>
      <c r="G1244" t="s">
        <v>152</v>
      </c>
      <c r="H1244" t="s">
        <v>174</v>
      </c>
      <c r="I1244" t="s">
        <v>154</v>
      </c>
      <c r="J1244">
        <v>20210610</v>
      </c>
    </row>
    <row r="1245" spans="1:10">
      <c r="A1245" t="s">
        <v>4902</v>
      </c>
      <c r="B1245">
        <v>600906</v>
      </c>
      <c r="C1245" t="s">
        <v>4903</v>
      </c>
      <c r="D1245" t="s">
        <v>279</v>
      </c>
      <c r="E1245" t="s">
        <v>87</v>
      </c>
      <c r="F1245" t="s">
        <v>4904</v>
      </c>
      <c r="G1245" t="s">
        <v>152</v>
      </c>
      <c r="H1245" t="s">
        <v>174</v>
      </c>
      <c r="I1245" t="s">
        <v>154</v>
      </c>
      <c r="J1245">
        <v>20210507</v>
      </c>
    </row>
    <row r="1246" spans="1:10">
      <c r="A1246" t="s">
        <v>4695</v>
      </c>
      <c r="B1246">
        <v>600908</v>
      </c>
      <c r="C1246" t="s">
        <v>4696</v>
      </c>
      <c r="D1246" t="s">
        <v>212</v>
      </c>
      <c r="E1246" t="s">
        <v>62</v>
      </c>
      <c r="F1246" t="s">
        <v>4697</v>
      </c>
      <c r="G1246" t="s">
        <v>152</v>
      </c>
      <c r="H1246" t="s">
        <v>174</v>
      </c>
      <c r="I1246" t="s">
        <v>154</v>
      </c>
      <c r="J1246">
        <v>20160923</v>
      </c>
    </row>
    <row r="1247" spans="1:10">
      <c r="A1247" t="s">
        <v>4905</v>
      </c>
      <c r="B1247">
        <v>600909</v>
      </c>
      <c r="C1247" t="s">
        <v>4906</v>
      </c>
      <c r="D1247" t="s">
        <v>160</v>
      </c>
      <c r="E1247" t="s">
        <v>87</v>
      </c>
      <c r="F1247" t="s">
        <v>4907</v>
      </c>
      <c r="G1247" t="s">
        <v>152</v>
      </c>
      <c r="H1247" t="s">
        <v>174</v>
      </c>
      <c r="I1247" t="s">
        <v>154</v>
      </c>
      <c r="J1247">
        <v>20161206</v>
      </c>
    </row>
    <row r="1248" spans="1:10">
      <c r="A1248" t="s">
        <v>1126</v>
      </c>
      <c r="B1248">
        <v>600916</v>
      </c>
      <c r="C1248" t="s">
        <v>1127</v>
      </c>
      <c r="D1248" t="s">
        <v>164</v>
      </c>
      <c r="E1248" t="s">
        <v>48</v>
      </c>
      <c r="F1248" t="s">
        <v>1128</v>
      </c>
      <c r="G1248" t="s">
        <v>152</v>
      </c>
      <c r="H1248" t="s">
        <v>174</v>
      </c>
      <c r="I1248" t="s">
        <v>154</v>
      </c>
      <c r="J1248">
        <v>20210205</v>
      </c>
    </row>
    <row r="1249" spans="1:10">
      <c r="A1249" t="s">
        <v>3637</v>
      </c>
      <c r="B1249">
        <v>600917</v>
      </c>
      <c r="C1249" t="s">
        <v>3638</v>
      </c>
      <c r="D1249" t="s">
        <v>937</v>
      </c>
      <c r="E1249" t="s">
        <v>91</v>
      </c>
      <c r="F1249" t="s">
        <v>3639</v>
      </c>
      <c r="G1249" t="s">
        <v>152</v>
      </c>
      <c r="H1249" t="s">
        <v>174</v>
      </c>
      <c r="I1249" t="s">
        <v>154</v>
      </c>
      <c r="J1249">
        <v>20140930</v>
      </c>
    </row>
    <row r="1250" spans="1:10">
      <c r="A1250" t="s">
        <v>4908</v>
      </c>
      <c r="B1250">
        <v>600918</v>
      </c>
      <c r="C1250" t="s">
        <v>4909</v>
      </c>
      <c r="D1250" t="s">
        <v>198</v>
      </c>
      <c r="E1250" t="s">
        <v>87</v>
      </c>
      <c r="F1250" t="s">
        <v>4910</v>
      </c>
      <c r="G1250" t="s">
        <v>152</v>
      </c>
      <c r="H1250" t="s">
        <v>174</v>
      </c>
      <c r="I1250" t="s">
        <v>154</v>
      </c>
      <c r="J1250">
        <v>20200603</v>
      </c>
    </row>
    <row r="1251" spans="1:10">
      <c r="A1251" t="s">
        <v>4698</v>
      </c>
      <c r="B1251">
        <v>600919</v>
      </c>
      <c r="C1251" t="s">
        <v>4699</v>
      </c>
      <c r="D1251" t="s">
        <v>212</v>
      </c>
      <c r="E1251" t="s">
        <v>62</v>
      </c>
      <c r="F1251" t="s">
        <v>4700</v>
      </c>
      <c r="G1251" t="s">
        <v>152</v>
      </c>
      <c r="H1251" t="s">
        <v>174</v>
      </c>
      <c r="I1251" t="s">
        <v>154</v>
      </c>
      <c r="J1251">
        <v>20160802</v>
      </c>
    </row>
    <row r="1252" spans="1:10">
      <c r="A1252" t="s">
        <v>4701</v>
      </c>
      <c r="B1252">
        <v>600926</v>
      </c>
      <c r="C1252" t="s">
        <v>4702</v>
      </c>
      <c r="D1252" t="s">
        <v>423</v>
      </c>
      <c r="E1252" t="s">
        <v>62</v>
      </c>
      <c r="F1252" t="s">
        <v>4703</v>
      </c>
      <c r="G1252" t="s">
        <v>152</v>
      </c>
      <c r="H1252" t="s">
        <v>174</v>
      </c>
      <c r="I1252" t="s">
        <v>154</v>
      </c>
      <c r="J1252">
        <v>20161027</v>
      </c>
    </row>
    <row r="1253" spans="1:10">
      <c r="A1253" t="s">
        <v>4911</v>
      </c>
      <c r="B1253">
        <v>600927</v>
      </c>
      <c r="C1253" t="s">
        <v>4912</v>
      </c>
      <c r="D1253" t="s">
        <v>423</v>
      </c>
      <c r="E1253" t="s">
        <v>73</v>
      </c>
      <c r="F1253" t="s">
        <v>4913</v>
      </c>
      <c r="G1253" t="s">
        <v>152</v>
      </c>
      <c r="H1253" t="s">
        <v>174</v>
      </c>
      <c r="I1253" t="s">
        <v>154</v>
      </c>
      <c r="J1253">
        <v>20211223</v>
      </c>
    </row>
    <row r="1254" spans="1:10">
      <c r="A1254" t="s">
        <v>4704</v>
      </c>
      <c r="B1254">
        <v>600928</v>
      </c>
      <c r="C1254" t="s">
        <v>4705</v>
      </c>
      <c r="D1254" t="s">
        <v>419</v>
      </c>
      <c r="E1254" t="s">
        <v>62</v>
      </c>
      <c r="F1254" t="s">
        <v>4706</v>
      </c>
      <c r="G1254" t="s">
        <v>152</v>
      </c>
      <c r="H1254" t="s">
        <v>174</v>
      </c>
      <c r="I1254" t="s">
        <v>154</v>
      </c>
      <c r="J1254">
        <v>20190301</v>
      </c>
    </row>
    <row r="1255" spans="1:10">
      <c r="A1255" t="s">
        <v>2494</v>
      </c>
      <c r="B1255">
        <v>600929</v>
      </c>
      <c r="C1255" t="s">
        <v>2495</v>
      </c>
      <c r="D1255" t="s">
        <v>168</v>
      </c>
      <c r="E1255" t="s">
        <v>19</v>
      </c>
      <c r="F1255" t="s">
        <v>2496</v>
      </c>
      <c r="G1255" t="s">
        <v>152</v>
      </c>
      <c r="H1255" t="s">
        <v>174</v>
      </c>
      <c r="I1255" t="s">
        <v>154</v>
      </c>
      <c r="J1255">
        <v>20180326</v>
      </c>
    </row>
    <row r="1256" spans="1:10">
      <c r="A1256" t="s">
        <v>1972</v>
      </c>
      <c r="B1256">
        <v>600933</v>
      </c>
      <c r="C1256" t="s">
        <v>1973</v>
      </c>
      <c r="D1256" t="s">
        <v>423</v>
      </c>
      <c r="E1256" t="s">
        <v>28</v>
      </c>
      <c r="F1256" t="s">
        <v>1974</v>
      </c>
      <c r="G1256" t="s">
        <v>152</v>
      </c>
      <c r="H1256" t="s">
        <v>174</v>
      </c>
      <c r="I1256" t="s">
        <v>154</v>
      </c>
      <c r="J1256">
        <v>20171117</v>
      </c>
    </row>
    <row r="1257" spans="1:10">
      <c r="A1257" t="s">
        <v>587</v>
      </c>
      <c r="B1257">
        <v>600935</v>
      </c>
      <c r="C1257" t="s">
        <v>588</v>
      </c>
      <c r="D1257" t="s">
        <v>160</v>
      </c>
      <c r="E1257" t="s">
        <v>14</v>
      </c>
      <c r="F1257" t="s">
        <v>589</v>
      </c>
      <c r="G1257" t="s">
        <v>152</v>
      </c>
      <c r="H1257" t="s">
        <v>174</v>
      </c>
      <c r="I1257" t="s">
        <v>154</v>
      </c>
      <c r="J1257">
        <v>20211126</v>
      </c>
    </row>
    <row r="1258" spans="1:10">
      <c r="A1258" t="s">
        <v>6078</v>
      </c>
      <c r="B1258">
        <v>600936</v>
      </c>
      <c r="C1258" t="s">
        <v>6079</v>
      </c>
      <c r="D1258" t="s">
        <v>345</v>
      </c>
      <c r="E1258" t="s">
        <v>124</v>
      </c>
      <c r="F1258" t="s">
        <v>6080</v>
      </c>
      <c r="G1258" t="s">
        <v>152</v>
      </c>
      <c r="H1258" t="s">
        <v>174</v>
      </c>
      <c r="I1258" t="s">
        <v>154</v>
      </c>
      <c r="J1258">
        <v>20160815</v>
      </c>
    </row>
    <row r="1259" spans="1:10">
      <c r="A1259" t="s">
        <v>6507</v>
      </c>
      <c r="B1259">
        <v>600938</v>
      </c>
      <c r="C1259" t="s">
        <v>6508</v>
      </c>
      <c r="D1259" t="s">
        <v>164</v>
      </c>
      <c r="E1259" t="s">
        <v>118</v>
      </c>
      <c r="F1259" t="s">
        <v>6509</v>
      </c>
      <c r="G1259" t="s">
        <v>152</v>
      </c>
      <c r="H1259" t="s">
        <v>174</v>
      </c>
      <c r="I1259" t="s">
        <v>154</v>
      </c>
      <c r="J1259">
        <v>20220421</v>
      </c>
    </row>
    <row r="1260" spans="1:10">
      <c r="A1260" t="s">
        <v>5283</v>
      </c>
      <c r="B1260">
        <v>600939</v>
      </c>
      <c r="C1260" t="s">
        <v>5284</v>
      </c>
      <c r="D1260" t="s">
        <v>937</v>
      </c>
      <c r="E1260" t="s">
        <v>121</v>
      </c>
      <c r="F1260" t="s">
        <v>5285</v>
      </c>
      <c r="G1260" t="s">
        <v>152</v>
      </c>
      <c r="H1260" t="s">
        <v>174</v>
      </c>
      <c r="I1260" t="s">
        <v>154</v>
      </c>
      <c r="J1260">
        <v>20170221</v>
      </c>
    </row>
    <row r="1261" spans="1:10">
      <c r="A1261" t="s">
        <v>6291</v>
      </c>
      <c r="B1261">
        <v>600941</v>
      </c>
      <c r="C1261" t="s">
        <v>6292</v>
      </c>
      <c r="D1261" t="s">
        <v>164</v>
      </c>
      <c r="E1261" t="s">
        <v>89</v>
      </c>
      <c r="F1261" t="s">
        <v>6293</v>
      </c>
      <c r="G1261" t="s">
        <v>152</v>
      </c>
      <c r="H1261" t="s">
        <v>174</v>
      </c>
      <c r="I1261" t="s">
        <v>154</v>
      </c>
      <c r="J1261">
        <v>20220105</v>
      </c>
    </row>
    <row r="1262" spans="1:10">
      <c r="A1262" t="s">
        <v>590</v>
      </c>
      <c r="B1262">
        <v>600955</v>
      </c>
      <c r="C1262" t="s">
        <v>591</v>
      </c>
      <c r="D1262" t="s">
        <v>198</v>
      </c>
      <c r="E1262" t="s">
        <v>14</v>
      </c>
      <c r="F1262" t="s">
        <v>592</v>
      </c>
      <c r="G1262" t="s">
        <v>152</v>
      </c>
      <c r="H1262" t="s">
        <v>174</v>
      </c>
      <c r="I1262" t="s">
        <v>154</v>
      </c>
      <c r="J1262">
        <v>20210915</v>
      </c>
    </row>
    <row r="1263" spans="1:10">
      <c r="A1263" t="s">
        <v>3640</v>
      </c>
      <c r="B1263">
        <v>600956</v>
      </c>
      <c r="C1263" t="s">
        <v>3641</v>
      </c>
      <c r="D1263" t="s">
        <v>279</v>
      </c>
      <c r="E1263" t="s">
        <v>91</v>
      </c>
      <c r="F1263" t="s">
        <v>3642</v>
      </c>
      <c r="G1263" t="s">
        <v>152</v>
      </c>
      <c r="H1263" t="s">
        <v>174</v>
      </c>
      <c r="I1263" t="s">
        <v>154</v>
      </c>
      <c r="J1263">
        <v>20200629</v>
      </c>
    </row>
    <row r="1264" spans="1:10">
      <c r="A1264" t="s">
        <v>4914</v>
      </c>
      <c r="B1264">
        <v>600958</v>
      </c>
      <c r="C1264" t="s">
        <v>4915</v>
      </c>
      <c r="D1264" t="s">
        <v>172</v>
      </c>
      <c r="E1264" t="s">
        <v>87</v>
      </c>
      <c r="F1264" t="s">
        <v>4916</v>
      </c>
      <c r="G1264" t="s">
        <v>152</v>
      </c>
      <c r="H1264" t="s">
        <v>174</v>
      </c>
      <c r="I1264" t="s">
        <v>154</v>
      </c>
      <c r="J1264">
        <v>20150323</v>
      </c>
    </row>
    <row r="1265" spans="1:10">
      <c r="A1265" t="s">
        <v>6081</v>
      </c>
      <c r="B1265">
        <v>600959</v>
      </c>
      <c r="C1265" t="s">
        <v>6082</v>
      </c>
      <c r="D1265" t="s">
        <v>212</v>
      </c>
      <c r="E1265" t="s">
        <v>124</v>
      </c>
      <c r="F1265" t="s">
        <v>6083</v>
      </c>
      <c r="G1265" t="s">
        <v>152</v>
      </c>
      <c r="H1265" t="s">
        <v>174</v>
      </c>
      <c r="I1265" t="s">
        <v>154</v>
      </c>
      <c r="J1265">
        <v>20150428</v>
      </c>
    </row>
    <row r="1266" spans="1:10">
      <c r="A1266" t="s">
        <v>1975</v>
      </c>
      <c r="B1266">
        <v>600960</v>
      </c>
      <c r="C1266" t="s">
        <v>1976</v>
      </c>
      <c r="D1266" t="s">
        <v>198</v>
      </c>
      <c r="E1266" t="s">
        <v>28</v>
      </c>
      <c r="F1266" t="s">
        <v>1977</v>
      </c>
      <c r="G1266" t="s">
        <v>152</v>
      </c>
      <c r="H1266" t="s">
        <v>174</v>
      </c>
      <c r="I1266" t="s">
        <v>154</v>
      </c>
      <c r="J1266">
        <v>20040407</v>
      </c>
    </row>
    <row r="1267" spans="1:10">
      <c r="A1267" t="s">
        <v>1129</v>
      </c>
      <c r="B1267">
        <v>600961</v>
      </c>
      <c r="C1267" t="s">
        <v>1130</v>
      </c>
      <c r="D1267" t="s">
        <v>168</v>
      </c>
      <c r="E1267" t="s">
        <v>35</v>
      </c>
      <c r="F1267" t="s">
        <v>1131</v>
      </c>
      <c r="G1267" t="s">
        <v>152</v>
      </c>
      <c r="H1267" t="s">
        <v>174</v>
      </c>
      <c r="I1267" t="s">
        <v>154</v>
      </c>
      <c r="J1267">
        <v>20040830</v>
      </c>
    </row>
    <row r="1268" spans="1:10">
      <c r="A1268" t="s">
        <v>2497</v>
      </c>
      <c r="B1268">
        <v>600962</v>
      </c>
      <c r="C1268" t="s">
        <v>2498</v>
      </c>
      <c r="D1268" t="s">
        <v>164</v>
      </c>
      <c r="E1268" t="s">
        <v>29</v>
      </c>
      <c r="F1268" t="s">
        <v>2499</v>
      </c>
      <c r="G1268" t="s">
        <v>152</v>
      </c>
      <c r="H1268" t="s">
        <v>174</v>
      </c>
      <c r="I1268" t="s">
        <v>154</v>
      </c>
      <c r="J1268">
        <v>20040622</v>
      </c>
    </row>
    <row r="1269" spans="1:10">
      <c r="A1269" t="s">
        <v>2788</v>
      </c>
      <c r="B1269">
        <v>600963</v>
      </c>
      <c r="C1269" t="s">
        <v>2789</v>
      </c>
      <c r="D1269" t="s">
        <v>168</v>
      </c>
      <c r="E1269" t="s">
        <v>30</v>
      </c>
      <c r="F1269" t="s">
        <v>2790</v>
      </c>
      <c r="G1269" t="s">
        <v>152</v>
      </c>
      <c r="H1269" t="s">
        <v>174</v>
      </c>
      <c r="I1269" t="s">
        <v>154</v>
      </c>
      <c r="J1269">
        <v>20040525</v>
      </c>
    </row>
    <row r="1270" spans="1:10">
      <c r="A1270" t="s">
        <v>277</v>
      </c>
      <c r="B1270">
        <v>600965</v>
      </c>
      <c r="C1270" t="s">
        <v>278</v>
      </c>
      <c r="D1270" t="s">
        <v>279</v>
      </c>
      <c r="E1270" t="s">
        <v>46</v>
      </c>
      <c r="F1270" t="s">
        <v>280</v>
      </c>
      <c r="G1270" t="s">
        <v>152</v>
      </c>
      <c r="H1270" t="s">
        <v>174</v>
      </c>
      <c r="I1270" t="s">
        <v>154</v>
      </c>
      <c r="J1270">
        <v>20040713</v>
      </c>
    </row>
    <row r="1271" spans="1:10">
      <c r="A1271" t="s">
        <v>2791</v>
      </c>
      <c r="B1271">
        <v>600966</v>
      </c>
      <c r="C1271" t="s">
        <v>2792</v>
      </c>
      <c r="D1271" t="s">
        <v>198</v>
      </c>
      <c r="E1271" t="s">
        <v>30</v>
      </c>
      <c r="F1271" t="s">
        <v>2793</v>
      </c>
      <c r="G1271" t="s">
        <v>152</v>
      </c>
      <c r="H1271" t="s">
        <v>174</v>
      </c>
      <c r="I1271" t="s">
        <v>154</v>
      </c>
      <c r="J1271">
        <v>20040608</v>
      </c>
    </row>
    <row r="1272" spans="1:10">
      <c r="A1272" t="s">
        <v>5592</v>
      </c>
      <c r="B1272">
        <v>600967</v>
      </c>
      <c r="C1272" t="s">
        <v>5593</v>
      </c>
      <c r="D1272" t="s">
        <v>266</v>
      </c>
      <c r="E1272" t="s">
        <v>128</v>
      </c>
      <c r="F1272" t="s">
        <v>5594</v>
      </c>
      <c r="G1272" t="s">
        <v>152</v>
      </c>
      <c r="H1272" t="s">
        <v>174</v>
      </c>
      <c r="I1272" t="s">
        <v>154</v>
      </c>
      <c r="J1272">
        <v>20040518</v>
      </c>
    </row>
    <row r="1273" spans="1:10">
      <c r="A1273" t="s">
        <v>6510</v>
      </c>
      <c r="B1273">
        <v>600968</v>
      </c>
      <c r="C1273" t="s">
        <v>6511</v>
      </c>
      <c r="D1273" t="s">
        <v>164</v>
      </c>
      <c r="E1273" t="s">
        <v>118</v>
      </c>
      <c r="F1273" t="s">
        <v>6512</v>
      </c>
      <c r="G1273" t="s">
        <v>152</v>
      </c>
      <c r="H1273" t="s">
        <v>174</v>
      </c>
      <c r="I1273" t="s">
        <v>154</v>
      </c>
      <c r="J1273">
        <v>20190626</v>
      </c>
    </row>
    <row r="1274" spans="1:10">
      <c r="A1274" t="s">
        <v>3643</v>
      </c>
      <c r="B1274">
        <v>600969</v>
      </c>
      <c r="C1274" t="s">
        <v>3644</v>
      </c>
      <c r="D1274" t="s">
        <v>168</v>
      </c>
      <c r="E1274" t="s">
        <v>68</v>
      </c>
      <c r="F1274" t="s">
        <v>3645</v>
      </c>
      <c r="G1274" t="s">
        <v>152</v>
      </c>
      <c r="H1274" t="s">
        <v>174</v>
      </c>
      <c r="I1274" t="s">
        <v>154</v>
      </c>
      <c r="J1274">
        <v>20040408</v>
      </c>
    </row>
    <row r="1275" spans="1:10">
      <c r="A1275" t="s">
        <v>5286</v>
      </c>
      <c r="B1275">
        <v>600970</v>
      </c>
      <c r="C1275" t="s">
        <v>5287</v>
      </c>
      <c r="D1275" t="s">
        <v>212</v>
      </c>
      <c r="E1275" t="s">
        <v>121</v>
      </c>
      <c r="F1275" t="s">
        <v>5288</v>
      </c>
      <c r="G1275" t="s">
        <v>152</v>
      </c>
      <c r="H1275" t="s">
        <v>174</v>
      </c>
      <c r="I1275" t="s">
        <v>154</v>
      </c>
      <c r="J1275">
        <v>20050412</v>
      </c>
    </row>
    <row r="1276" spans="1:10">
      <c r="A1276" t="s">
        <v>6411</v>
      </c>
      <c r="B1276">
        <v>600971</v>
      </c>
      <c r="C1276" t="s">
        <v>6412</v>
      </c>
      <c r="D1276" t="s">
        <v>160</v>
      </c>
      <c r="E1276" t="s">
        <v>126</v>
      </c>
      <c r="F1276" t="s">
        <v>6413</v>
      </c>
      <c r="G1276" t="s">
        <v>152</v>
      </c>
      <c r="H1276" t="s">
        <v>174</v>
      </c>
      <c r="I1276" t="s">
        <v>154</v>
      </c>
      <c r="J1276">
        <v>20040817</v>
      </c>
    </row>
    <row r="1277" spans="1:10">
      <c r="A1277" t="s">
        <v>1498</v>
      </c>
      <c r="B1277">
        <v>600973</v>
      </c>
      <c r="C1277" t="s">
        <v>1499</v>
      </c>
      <c r="D1277" t="s">
        <v>212</v>
      </c>
      <c r="E1277" t="s">
        <v>17</v>
      </c>
      <c r="F1277" t="s">
        <v>1500</v>
      </c>
      <c r="G1277" t="s">
        <v>152</v>
      </c>
      <c r="H1277" t="s">
        <v>174</v>
      </c>
      <c r="I1277" t="s">
        <v>154</v>
      </c>
      <c r="J1277">
        <v>20040802</v>
      </c>
    </row>
    <row r="1278" spans="1:10">
      <c r="A1278" t="s">
        <v>281</v>
      </c>
      <c r="B1278">
        <v>600975</v>
      </c>
      <c r="C1278" t="s">
        <v>282</v>
      </c>
      <c r="D1278" t="s">
        <v>168</v>
      </c>
      <c r="E1278" t="s">
        <v>46</v>
      </c>
      <c r="F1278" t="s">
        <v>283</v>
      </c>
      <c r="G1278" t="s">
        <v>152</v>
      </c>
      <c r="H1278" t="s">
        <v>174</v>
      </c>
      <c r="I1278" t="s">
        <v>154</v>
      </c>
      <c r="J1278">
        <v>20040609</v>
      </c>
    </row>
    <row r="1279" spans="1:10">
      <c r="A1279" t="s">
        <v>3322</v>
      </c>
      <c r="B1279">
        <v>600976</v>
      </c>
      <c r="C1279" t="s">
        <v>3323</v>
      </c>
      <c r="D1279" t="s">
        <v>316</v>
      </c>
      <c r="E1279" t="s">
        <v>67</v>
      </c>
      <c r="F1279" t="s">
        <v>3324</v>
      </c>
      <c r="G1279" t="s">
        <v>152</v>
      </c>
      <c r="H1279" t="s">
        <v>174</v>
      </c>
      <c r="I1279" t="s">
        <v>154</v>
      </c>
      <c r="J1279">
        <v>20040419</v>
      </c>
    </row>
    <row r="1280" spans="1:10">
      <c r="A1280" t="s">
        <v>6084</v>
      </c>
      <c r="B1280">
        <v>600977</v>
      </c>
      <c r="C1280" t="s">
        <v>6085</v>
      </c>
      <c r="D1280" t="s">
        <v>164</v>
      </c>
      <c r="E1280" t="s">
        <v>124</v>
      </c>
      <c r="F1280" t="s">
        <v>6086</v>
      </c>
      <c r="G1280" t="s">
        <v>152</v>
      </c>
      <c r="H1280" t="s">
        <v>174</v>
      </c>
      <c r="I1280" t="s">
        <v>154</v>
      </c>
      <c r="J1280">
        <v>20160809</v>
      </c>
    </row>
    <row r="1281" spans="1:10">
      <c r="A1281" t="s">
        <v>3646</v>
      </c>
      <c r="B1281">
        <v>600979</v>
      </c>
      <c r="C1281" t="s">
        <v>3647</v>
      </c>
      <c r="D1281" t="s">
        <v>219</v>
      </c>
      <c r="E1281" t="s">
        <v>68</v>
      </c>
      <c r="F1281" t="s">
        <v>3648</v>
      </c>
      <c r="G1281" t="s">
        <v>152</v>
      </c>
      <c r="H1281" t="s">
        <v>174</v>
      </c>
      <c r="I1281" t="s">
        <v>154</v>
      </c>
      <c r="J1281">
        <v>20040906</v>
      </c>
    </row>
    <row r="1282" spans="1:10">
      <c r="A1282" t="s">
        <v>1132</v>
      </c>
      <c r="B1282">
        <v>600980</v>
      </c>
      <c r="C1282" t="s">
        <v>1133</v>
      </c>
      <c r="D1282" t="s">
        <v>164</v>
      </c>
      <c r="E1282" t="s">
        <v>52</v>
      </c>
      <c r="F1282" t="s">
        <v>1134</v>
      </c>
      <c r="G1282" t="s">
        <v>152</v>
      </c>
      <c r="H1282" t="s">
        <v>174</v>
      </c>
      <c r="I1282" t="s">
        <v>154</v>
      </c>
      <c r="J1282">
        <v>20040512</v>
      </c>
    </row>
    <row r="1283" spans="1:10">
      <c r="A1283" t="s">
        <v>4566</v>
      </c>
      <c r="B1283">
        <v>600981</v>
      </c>
      <c r="C1283" t="s">
        <v>4567</v>
      </c>
      <c r="D1283" t="s">
        <v>212</v>
      </c>
      <c r="E1283" t="s">
        <v>71</v>
      </c>
      <c r="F1283" t="s">
        <v>4568</v>
      </c>
      <c r="G1283" t="s">
        <v>152</v>
      </c>
      <c r="H1283" t="s">
        <v>174</v>
      </c>
      <c r="I1283" t="s">
        <v>154</v>
      </c>
      <c r="J1283">
        <v>20040630</v>
      </c>
    </row>
    <row r="1284" spans="1:10">
      <c r="A1284" t="s">
        <v>3649</v>
      </c>
      <c r="B1284">
        <v>600982</v>
      </c>
      <c r="C1284" t="s">
        <v>3650</v>
      </c>
      <c r="D1284" t="s">
        <v>423</v>
      </c>
      <c r="E1284" t="s">
        <v>91</v>
      </c>
      <c r="F1284" t="s">
        <v>3651</v>
      </c>
      <c r="G1284" t="s">
        <v>152</v>
      </c>
      <c r="H1284" t="s">
        <v>174</v>
      </c>
      <c r="I1284" t="s">
        <v>154</v>
      </c>
      <c r="J1284">
        <v>20040706</v>
      </c>
    </row>
    <row r="1285" spans="1:10">
      <c r="A1285" t="s">
        <v>2263</v>
      </c>
      <c r="B1285">
        <v>600983</v>
      </c>
      <c r="C1285" t="s">
        <v>2264</v>
      </c>
      <c r="D1285" t="s">
        <v>160</v>
      </c>
      <c r="E1285" t="s">
        <v>8</v>
      </c>
      <c r="F1285" t="s">
        <v>2265</v>
      </c>
      <c r="G1285" t="s">
        <v>152</v>
      </c>
      <c r="H1285" t="s">
        <v>174</v>
      </c>
      <c r="I1285" t="s">
        <v>154</v>
      </c>
      <c r="J1285">
        <v>20040727</v>
      </c>
    </row>
    <row r="1286" spans="1:10">
      <c r="A1286" t="s">
        <v>5595</v>
      </c>
      <c r="B1286">
        <v>600984</v>
      </c>
      <c r="C1286" t="s">
        <v>5596</v>
      </c>
      <c r="D1286" t="s">
        <v>419</v>
      </c>
      <c r="E1286" t="s">
        <v>104</v>
      </c>
      <c r="F1286" t="s">
        <v>5597</v>
      </c>
      <c r="G1286" t="s">
        <v>152</v>
      </c>
      <c r="H1286" t="s">
        <v>174</v>
      </c>
      <c r="I1286" t="s">
        <v>154</v>
      </c>
      <c r="J1286">
        <v>20040707</v>
      </c>
    </row>
    <row r="1287" spans="1:10">
      <c r="A1287" t="s">
        <v>6414</v>
      </c>
      <c r="B1287">
        <v>600985</v>
      </c>
      <c r="C1287" t="s">
        <v>6415</v>
      </c>
      <c r="D1287" t="s">
        <v>160</v>
      </c>
      <c r="E1287" t="s">
        <v>126</v>
      </c>
      <c r="F1287" t="s">
        <v>6416</v>
      </c>
      <c r="G1287" t="s">
        <v>152</v>
      </c>
      <c r="H1287" t="s">
        <v>174</v>
      </c>
      <c r="I1287" t="s">
        <v>154</v>
      </c>
      <c r="J1287">
        <v>20040428</v>
      </c>
    </row>
    <row r="1288" spans="1:10">
      <c r="A1288" t="s">
        <v>5946</v>
      </c>
      <c r="B1288">
        <v>600986</v>
      </c>
      <c r="C1288" t="s">
        <v>5947</v>
      </c>
      <c r="D1288" t="s">
        <v>423</v>
      </c>
      <c r="E1288" t="s">
        <v>116</v>
      </c>
      <c r="F1288" t="s">
        <v>5948</v>
      </c>
      <c r="G1288" t="s">
        <v>152</v>
      </c>
      <c r="H1288" t="s">
        <v>174</v>
      </c>
      <c r="I1288" t="s">
        <v>154</v>
      </c>
      <c r="J1288">
        <v>20040426</v>
      </c>
    </row>
    <row r="1289" spans="1:10">
      <c r="A1289" t="s">
        <v>593</v>
      </c>
      <c r="B1289">
        <v>600987</v>
      </c>
      <c r="C1289" t="s">
        <v>594</v>
      </c>
      <c r="D1289" t="s">
        <v>423</v>
      </c>
      <c r="E1289" t="s">
        <v>33</v>
      </c>
      <c r="F1289" t="s">
        <v>595</v>
      </c>
      <c r="G1289" t="s">
        <v>152</v>
      </c>
      <c r="H1289" t="s">
        <v>174</v>
      </c>
      <c r="I1289" t="s">
        <v>154</v>
      </c>
      <c r="J1289">
        <v>20040809</v>
      </c>
    </row>
    <row r="1290" spans="1:10">
      <c r="A1290" t="s">
        <v>1135</v>
      </c>
      <c r="B1290">
        <v>600988</v>
      </c>
      <c r="C1290" t="s">
        <v>1136</v>
      </c>
      <c r="D1290" t="s">
        <v>266</v>
      </c>
      <c r="E1290" t="s">
        <v>48</v>
      </c>
      <c r="F1290" t="s">
        <v>1137</v>
      </c>
      <c r="G1290" t="s">
        <v>152</v>
      </c>
      <c r="H1290" t="s">
        <v>174</v>
      </c>
      <c r="I1290" t="s">
        <v>154</v>
      </c>
      <c r="J1290">
        <v>20040414</v>
      </c>
    </row>
    <row r="1291" spans="1:10">
      <c r="A1291" t="s">
        <v>596</v>
      </c>
      <c r="B1291">
        <v>600989</v>
      </c>
      <c r="C1291" t="s">
        <v>597</v>
      </c>
      <c r="D1291" t="s">
        <v>332</v>
      </c>
      <c r="E1291" t="s">
        <v>14</v>
      </c>
      <c r="F1291" t="s">
        <v>598</v>
      </c>
      <c r="G1291" t="s">
        <v>152</v>
      </c>
      <c r="H1291" t="s">
        <v>174</v>
      </c>
      <c r="I1291" t="s">
        <v>154</v>
      </c>
      <c r="J1291">
        <v>20190516</v>
      </c>
    </row>
    <row r="1292" spans="1:10">
      <c r="A1292" t="s">
        <v>6294</v>
      </c>
      <c r="B1292">
        <v>600990</v>
      </c>
      <c r="C1292" t="s">
        <v>6295</v>
      </c>
      <c r="D1292" t="s">
        <v>160</v>
      </c>
      <c r="E1292" t="s">
        <v>125</v>
      </c>
      <c r="F1292" t="s">
        <v>6296</v>
      </c>
      <c r="G1292" t="s">
        <v>152</v>
      </c>
      <c r="H1292" t="s">
        <v>174</v>
      </c>
      <c r="I1292" t="s">
        <v>154</v>
      </c>
      <c r="J1292">
        <v>20040510</v>
      </c>
    </row>
    <row r="1293" spans="1:10">
      <c r="A1293" t="s">
        <v>929</v>
      </c>
      <c r="B1293">
        <v>600992</v>
      </c>
      <c r="C1293" t="s">
        <v>930</v>
      </c>
      <c r="D1293" t="s">
        <v>463</v>
      </c>
      <c r="E1293" t="s">
        <v>34</v>
      </c>
      <c r="F1293" t="s">
        <v>931</v>
      </c>
      <c r="G1293" t="s">
        <v>152</v>
      </c>
      <c r="H1293" t="s">
        <v>174</v>
      </c>
      <c r="I1293" t="s">
        <v>154</v>
      </c>
      <c r="J1293">
        <v>20040514</v>
      </c>
    </row>
    <row r="1294" spans="1:10">
      <c r="A1294" t="s">
        <v>3325</v>
      </c>
      <c r="B1294">
        <v>600993</v>
      </c>
      <c r="C1294" t="s">
        <v>3326</v>
      </c>
      <c r="D1294" t="s">
        <v>316</v>
      </c>
      <c r="E1294" t="s">
        <v>67</v>
      </c>
      <c r="F1294" t="s">
        <v>3327</v>
      </c>
      <c r="G1294" t="s">
        <v>152</v>
      </c>
      <c r="H1294" t="s">
        <v>174</v>
      </c>
      <c r="I1294" t="s">
        <v>154</v>
      </c>
      <c r="J1294">
        <v>20040517</v>
      </c>
    </row>
    <row r="1295" spans="1:10">
      <c r="A1295" t="s">
        <v>3652</v>
      </c>
      <c r="B1295">
        <v>600995</v>
      </c>
      <c r="C1295" t="s">
        <v>3653</v>
      </c>
      <c r="D1295" t="s">
        <v>184</v>
      </c>
      <c r="E1295" t="s">
        <v>68</v>
      </c>
      <c r="F1295" t="s">
        <v>3654</v>
      </c>
      <c r="G1295" t="s">
        <v>152</v>
      </c>
      <c r="H1295" t="s">
        <v>174</v>
      </c>
      <c r="I1295" t="s">
        <v>154</v>
      </c>
      <c r="J1295">
        <v>20040615</v>
      </c>
    </row>
    <row r="1296" spans="1:10">
      <c r="A1296" t="s">
        <v>6087</v>
      </c>
      <c r="B1296">
        <v>600996</v>
      </c>
      <c r="C1296" t="s">
        <v>6088</v>
      </c>
      <c r="D1296" t="s">
        <v>463</v>
      </c>
      <c r="E1296" t="s">
        <v>124</v>
      </c>
      <c r="F1296" t="s">
        <v>6089</v>
      </c>
      <c r="G1296" t="s">
        <v>152</v>
      </c>
      <c r="H1296" t="s">
        <v>174</v>
      </c>
      <c r="I1296" t="s">
        <v>154</v>
      </c>
      <c r="J1296">
        <v>20161226</v>
      </c>
    </row>
    <row r="1297" spans="1:10">
      <c r="A1297" t="s">
        <v>6417</v>
      </c>
      <c r="B1297">
        <v>600997</v>
      </c>
      <c r="C1297" t="s">
        <v>6418</v>
      </c>
      <c r="D1297" t="s">
        <v>279</v>
      </c>
      <c r="E1297" t="s">
        <v>126</v>
      </c>
      <c r="F1297" t="s">
        <v>6419</v>
      </c>
      <c r="G1297" t="s">
        <v>152</v>
      </c>
      <c r="H1297" t="s">
        <v>174</v>
      </c>
      <c r="I1297" t="s">
        <v>154</v>
      </c>
      <c r="J1297">
        <v>20040602</v>
      </c>
    </row>
    <row r="1298" spans="1:10">
      <c r="A1298" t="s">
        <v>3238</v>
      </c>
      <c r="B1298">
        <v>600998</v>
      </c>
      <c r="C1298" t="s">
        <v>3239</v>
      </c>
      <c r="D1298" t="s">
        <v>316</v>
      </c>
      <c r="E1298" t="s">
        <v>95</v>
      </c>
      <c r="F1298" t="s">
        <v>3240</v>
      </c>
      <c r="G1298" t="s">
        <v>152</v>
      </c>
      <c r="H1298" t="s">
        <v>174</v>
      </c>
      <c r="I1298" t="s">
        <v>154</v>
      </c>
      <c r="J1298">
        <v>20101102</v>
      </c>
    </row>
    <row r="1299" spans="1:10">
      <c r="A1299" t="s">
        <v>4917</v>
      </c>
      <c r="B1299">
        <v>600999</v>
      </c>
      <c r="C1299" t="s">
        <v>4918</v>
      </c>
      <c r="D1299" t="s">
        <v>243</v>
      </c>
      <c r="E1299" t="s">
        <v>87</v>
      </c>
      <c r="F1299" t="s">
        <v>4919</v>
      </c>
      <c r="G1299" t="s">
        <v>152</v>
      </c>
      <c r="H1299" t="s">
        <v>174</v>
      </c>
      <c r="I1299" t="s">
        <v>154</v>
      </c>
      <c r="J1299">
        <v>20091117</v>
      </c>
    </row>
    <row r="1300" spans="1:10">
      <c r="A1300" t="s">
        <v>3982</v>
      </c>
      <c r="B1300">
        <v>601000</v>
      </c>
      <c r="C1300" t="s">
        <v>3983</v>
      </c>
      <c r="D1300" t="s">
        <v>279</v>
      </c>
      <c r="E1300" t="s">
        <v>83</v>
      </c>
      <c r="F1300" t="s">
        <v>3984</v>
      </c>
      <c r="G1300" t="s">
        <v>152</v>
      </c>
      <c r="H1300" t="s">
        <v>174</v>
      </c>
      <c r="I1300" t="s">
        <v>154</v>
      </c>
      <c r="J1300">
        <v>20100705</v>
      </c>
    </row>
    <row r="1301" spans="1:10">
      <c r="A1301" t="s">
        <v>6420</v>
      </c>
      <c r="B1301">
        <v>601001</v>
      </c>
      <c r="C1301" t="s">
        <v>6421</v>
      </c>
      <c r="D1301" t="s">
        <v>557</v>
      </c>
      <c r="E1301" t="s">
        <v>126</v>
      </c>
      <c r="F1301" t="s">
        <v>6422</v>
      </c>
      <c r="G1301" t="s">
        <v>152</v>
      </c>
      <c r="H1301" t="s">
        <v>174</v>
      </c>
      <c r="I1301" t="s">
        <v>154</v>
      </c>
      <c r="J1301">
        <v>20060623</v>
      </c>
    </row>
    <row r="1302" spans="1:10">
      <c r="A1302" t="s">
        <v>5598</v>
      </c>
      <c r="B1302">
        <v>601002</v>
      </c>
      <c r="C1302" t="s">
        <v>5599</v>
      </c>
      <c r="D1302" t="s">
        <v>423</v>
      </c>
      <c r="E1302" t="s">
        <v>135</v>
      </c>
      <c r="F1302" t="s">
        <v>5600</v>
      </c>
      <c r="G1302" t="s">
        <v>152</v>
      </c>
      <c r="H1302" t="s">
        <v>174</v>
      </c>
      <c r="I1302" t="s">
        <v>154</v>
      </c>
      <c r="J1302">
        <v>20070126</v>
      </c>
    </row>
    <row r="1303" spans="1:10">
      <c r="A1303" t="s">
        <v>932</v>
      </c>
      <c r="B1303">
        <v>601003</v>
      </c>
      <c r="C1303" t="s">
        <v>933</v>
      </c>
      <c r="D1303" t="s">
        <v>345</v>
      </c>
      <c r="E1303" t="s">
        <v>25</v>
      </c>
      <c r="F1303" t="s">
        <v>934</v>
      </c>
      <c r="G1303" t="s">
        <v>152</v>
      </c>
      <c r="H1303" t="s">
        <v>174</v>
      </c>
      <c r="I1303" t="s">
        <v>154</v>
      </c>
      <c r="J1303">
        <v>20070227</v>
      </c>
    </row>
    <row r="1304" spans="1:10">
      <c r="A1304" t="s">
        <v>935</v>
      </c>
      <c r="B1304">
        <v>601005</v>
      </c>
      <c r="C1304" t="s">
        <v>936</v>
      </c>
      <c r="D1304" t="s">
        <v>937</v>
      </c>
      <c r="E1304" t="s">
        <v>25</v>
      </c>
      <c r="F1304" t="s">
        <v>938</v>
      </c>
      <c r="G1304" t="s">
        <v>152</v>
      </c>
      <c r="H1304" t="s">
        <v>174</v>
      </c>
      <c r="I1304" t="s">
        <v>154</v>
      </c>
      <c r="J1304">
        <v>20070228</v>
      </c>
    </row>
    <row r="1305" spans="1:10">
      <c r="A1305" t="s">
        <v>3985</v>
      </c>
      <c r="B1305">
        <v>601006</v>
      </c>
      <c r="C1305" t="s">
        <v>3986</v>
      </c>
      <c r="D1305" t="s">
        <v>557</v>
      </c>
      <c r="E1305" t="s">
        <v>97</v>
      </c>
      <c r="F1305" t="s">
        <v>3987</v>
      </c>
      <c r="G1305" t="s">
        <v>152</v>
      </c>
      <c r="H1305" t="s">
        <v>174</v>
      </c>
      <c r="I1305" t="s">
        <v>154</v>
      </c>
      <c r="J1305">
        <v>20060801</v>
      </c>
    </row>
    <row r="1306" spans="1:10">
      <c r="A1306" t="s">
        <v>4659</v>
      </c>
      <c r="B1306">
        <v>601007</v>
      </c>
      <c r="C1306" t="s">
        <v>4660</v>
      </c>
      <c r="D1306" t="s">
        <v>212</v>
      </c>
      <c r="E1306" t="s">
        <v>86</v>
      </c>
      <c r="F1306" t="s">
        <v>4661</v>
      </c>
      <c r="G1306" t="s">
        <v>152</v>
      </c>
      <c r="H1306" t="s">
        <v>174</v>
      </c>
      <c r="I1306" t="s">
        <v>154</v>
      </c>
      <c r="J1306">
        <v>20070406</v>
      </c>
    </row>
    <row r="1307" spans="1:10">
      <c r="A1307" t="s">
        <v>3988</v>
      </c>
      <c r="B1307">
        <v>601008</v>
      </c>
      <c r="C1307" t="s">
        <v>3989</v>
      </c>
      <c r="D1307" t="s">
        <v>212</v>
      </c>
      <c r="E1307" t="s">
        <v>83</v>
      </c>
      <c r="F1307" t="s">
        <v>3990</v>
      </c>
      <c r="G1307" t="s">
        <v>152</v>
      </c>
      <c r="H1307" t="s">
        <v>174</v>
      </c>
      <c r="I1307" t="s">
        <v>154</v>
      </c>
      <c r="J1307">
        <v>20070426</v>
      </c>
    </row>
    <row r="1308" spans="1:10">
      <c r="A1308" t="s">
        <v>4707</v>
      </c>
      <c r="B1308">
        <v>601009</v>
      </c>
      <c r="C1308" t="s">
        <v>4708</v>
      </c>
      <c r="D1308" t="s">
        <v>212</v>
      </c>
      <c r="E1308" t="s">
        <v>62</v>
      </c>
      <c r="F1308" t="s">
        <v>4709</v>
      </c>
      <c r="G1308" t="s">
        <v>152</v>
      </c>
      <c r="H1308" t="s">
        <v>174</v>
      </c>
      <c r="I1308" t="s">
        <v>154</v>
      </c>
      <c r="J1308">
        <v>20070719</v>
      </c>
    </row>
    <row r="1309" spans="1:10">
      <c r="A1309" t="s">
        <v>4569</v>
      </c>
      <c r="B1309">
        <v>601010</v>
      </c>
      <c r="C1309" t="s">
        <v>4570</v>
      </c>
      <c r="D1309" t="s">
        <v>212</v>
      </c>
      <c r="E1309" t="s">
        <v>22</v>
      </c>
      <c r="F1309" t="s">
        <v>4571</v>
      </c>
      <c r="G1309" t="s">
        <v>152</v>
      </c>
      <c r="H1309" t="s">
        <v>174</v>
      </c>
      <c r="I1309" t="s">
        <v>154</v>
      </c>
      <c r="J1309">
        <v>20110603</v>
      </c>
    </row>
    <row r="1310" spans="1:10">
      <c r="A1310" t="s">
        <v>6423</v>
      </c>
      <c r="B1310">
        <v>601011</v>
      </c>
      <c r="C1310" t="s">
        <v>6424</v>
      </c>
      <c r="D1310" t="s">
        <v>194</v>
      </c>
      <c r="E1310" t="s">
        <v>117</v>
      </c>
      <c r="F1310" t="s">
        <v>6425</v>
      </c>
      <c r="G1310" t="s">
        <v>152</v>
      </c>
      <c r="H1310" t="s">
        <v>174</v>
      </c>
      <c r="I1310" t="s">
        <v>154</v>
      </c>
      <c r="J1310">
        <v>20110309</v>
      </c>
    </row>
    <row r="1311" spans="1:10">
      <c r="A1311" t="s">
        <v>1501</v>
      </c>
      <c r="B1311">
        <v>601012</v>
      </c>
      <c r="C1311" t="s">
        <v>1502</v>
      </c>
      <c r="D1311" t="s">
        <v>419</v>
      </c>
      <c r="E1311" t="s">
        <v>17</v>
      </c>
      <c r="F1311" t="s">
        <v>1503</v>
      </c>
      <c r="G1311" t="s">
        <v>152</v>
      </c>
      <c r="H1311" t="s">
        <v>174</v>
      </c>
      <c r="I1311" t="s">
        <v>154</v>
      </c>
      <c r="J1311">
        <v>20120411</v>
      </c>
    </row>
    <row r="1312" spans="1:10">
      <c r="A1312" t="s">
        <v>6426</v>
      </c>
      <c r="B1312">
        <v>601015</v>
      </c>
      <c r="C1312" t="s">
        <v>6427</v>
      </c>
      <c r="D1312" t="s">
        <v>419</v>
      </c>
      <c r="E1312" t="s">
        <v>117</v>
      </c>
      <c r="F1312" t="s">
        <v>6428</v>
      </c>
      <c r="G1312" t="s">
        <v>152</v>
      </c>
      <c r="H1312" t="s">
        <v>174</v>
      </c>
      <c r="I1312" t="s">
        <v>154</v>
      </c>
      <c r="J1312">
        <v>20141105</v>
      </c>
    </row>
    <row r="1313" spans="1:10">
      <c r="A1313" t="s">
        <v>3655</v>
      </c>
      <c r="B1313">
        <v>601016</v>
      </c>
      <c r="C1313" t="s">
        <v>3656</v>
      </c>
      <c r="D1313" t="s">
        <v>164</v>
      </c>
      <c r="E1313" t="s">
        <v>82</v>
      </c>
      <c r="F1313" t="s">
        <v>3657</v>
      </c>
      <c r="G1313" t="s">
        <v>152</v>
      </c>
      <c r="H1313" t="s">
        <v>174</v>
      </c>
      <c r="I1313" t="s">
        <v>154</v>
      </c>
      <c r="J1313">
        <v>20140929</v>
      </c>
    </row>
    <row r="1314" spans="1:10">
      <c r="A1314" t="s">
        <v>3991</v>
      </c>
      <c r="B1314">
        <v>601018</v>
      </c>
      <c r="C1314" t="s">
        <v>3992</v>
      </c>
      <c r="D1314" t="s">
        <v>423</v>
      </c>
      <c r="E1314" t="s">
        <v>83</v>
      </c>
      <c r="F1314" t="s">
        <v>3993</v>
      </c>
      <c r="G1314" t="s">
        <v>152</v>
      </c>
      <c r="H1314" t="s">
        <v>174</v>
      </c>
      <c r="I1314" t="s">
        <v>154</v>
      </c>
      <c r="J1314">
        <v>20100928</v>
      </c>
    </row>
    <row r="1315" spans="1:10">
      <c r="A1315" t="s">
        <v>6180</v>
      </c>
      <c r="B1315">
        <v>601019</v>
      </c>
      <c r="C1315" t="s">
        <v>6181</v>
      </c>
      <c r="D1315" t="s">
        <v>198</v>
      </c>
      <c r="E1315" t="s">
        <v>55</v>
      </c>
      <c r="F1315" t="s">
        <v>6182</v>
      </c>
      <c r="G1315" t="s">
        <v>152</v>
      </c>
      <c r="H1315" t="s">
        <v>174</v>
      </c>
      <c r="I1315" t="s">
        <v>154</v>
      </c>
      <c r="J1315">
        <v>20171122</v>
      </c>
    </row>
    <row r="1316" spans="1:10">
      <c r="A1316" t="s">
        <v>1138</v>
      </c>
      <c r="B1316">
        <v>601020</v>
      </c>
      <c r="C1316" t="s">
        <v>1139</v>
      </c>
      <c r="D1316" t="s">
        <v>1001</v>
      </c>
      <c r="E1316" t="s">
        <v>35</v>
      </c>
      <c r="F1316" t="s">
        <v>1140</v>
      </c>
      <c r="G1316" t="s">
        <v>152</v>
      </c>
      <c r="H1316" t="s">
        <v>174</v>
      </c>
      <c r="I1316" t="s">
        <v>154</v>
      </c>
      <c r="J1316">
        <v>20160316</v>
      </c>
    </row>
    <row r="1317" spans="1:10">
      <c r="A1317" t="s">
        <v>3994</v>
      </c>
      <c r="B1317">
        <v>601021</v>
      </c>
      <c r="C1317" t="s">
        <v>3995</v>
      </c>
      <c r="D1317" t="s">
        <v>172</v>
      </c>
      <c r="E1317" t="s">
        <v>103</v>
      </c>
      <c r="F1317" t="s">
        <v>3996</v>
      </c>
      <c r="G1317" t="s">
        <v>152</v>
      </c>
      <c r="H1317" t="s">
        <v>174</v>
      </c>
      <c r="I1317" t="s">
        <v>154</v>
      </c>
      <c r="J1317">
        <v>20150121</v>
      </c>
    </row>
    <row r="1318" spans="1:10">
      <c r="A1318" t="s">
        <v>3997</v>
      </c>
      <c r="B1318">
        <v>601022</v>
      </c>
      <c r="C1318" t="s">
        <v>3998</v>
      </c>
      <c r="D1318" t="s">
        <v>423</v>
      </c>
      <c r="E1318" t="s">
        <v>92</v>
      </c>
      <c r="F1318" t="s">
        <v>3999</v>
      </c>
      <c r="G1318" t="s">
        <v>152</v>
      </c>
      <c r="H1318" t="s">
        <v>174</v>
      </c>
      <c r="I1318" t="s">
        <v>154</v>
      </c>
      <c r="J1318">
        <v>20221208</v>
      </c>
    </row>
    <row r="1319" spans="1:10">
      <c r="A1319" t="s">
        <v>4572</v>
      </c>
      <c r="B1319">
        <v>601028</v>
      </c>
      <c r="C1319" t="s">
        <v>4573</v>
      </c>
      <c r="D1319" t="s">
        <v>198</v>
      </c>
      <c r="E1319" t="s">
        <v>71</v>
      </c>
      <c r="F1319" t="s">
        <v>4574</v>
      </c>
      <c r="G1319" t="s">
        <v>152</v>
      </c>
      <c r="H1319" t="s">
        <v>174</v>
      </c>
      <c r="I1319" t="s">
        <v>154</v>
      </c>
      <c r="J1319">
        <v>20111107</v>
      </c>
    </row>
    <row r="1320" spans="1:10">
      <c r="A1320" t="s">
        <v>5601</v>
      </c>
      <c r="B1320">
        <v>601038</v>
      </c>
      <c r="C1320" t="s">
        <v>5602</v>
      </c>
      <c r="D1320" t="s">
        <v>292</v>
      </c>
      <c r="E1320" t="s">
        <v>133</v>
      </c>
      <c r="F1320" t="s">
        <v>5603</v>
      </c>
      <c r="G1320" t="s">
        <v>152</v>
      </c>
      <c r="H1320" t="s">
        <v>174</v>
      </c>
      <c r="I1320" t="s">
        <v>154</v>
      </c>
      <c r="J1320">
        <v>20120808</v>
      </c>
    </row>
    <row r="1321" spans="1:10">
      <c r="A1321" t="s">
        <v>1978</v>
      </c>
      <c r="B1321">
        <v>601058</v>
      </c>
      <c r="C1321" t="s">
        <v>1979</v>
      </c>
      <c r="D1321" t="s">
        <v>198</v>
      </c>
      <c r="E1321" t="s">
        <v>28</v>
      </c>
      <c r="F1321" t="s">
        <v>1980</v>
      </c>
      <c r="G1321" t="s">
        <v>152</v>
      </c>
      <c r="H1321" t="s">
        <v>174</v>
      </c>
      <c r="I1321" t="s">
        <v>154</v>
      </c>
      <c r="J1321">
        <v>20110630</v>
      </c>
    </row>
    <row r="1322" spans="1:10">
      <c r="A1322" t="s">
        <v>4920</v>
      </c>
      <c r="B1322">
        <v>601066</v>
      </c>
      <c r="C1322" t="s">
        <v>4921</v>
      </c>
      <c r="D1322" t="s">
        <v>164</v>
      </c>
      <c r="E1322" t="s">
        <v>87</v>
      </c>
      <c r="F1322" t="s">
        <v>4922</v>
      </c>
      <c r="G1322" t="s">
        <v>152</v>
      </c>
      <c r="H1322" t="s">
        <v>174</v>
      </c>
      <c r="I1322" t="s">
        <v>154</v>
      </c>
      <c r="J1322">
        <v>20180620</v>
      </c>
    </row>
    <row r="1323" spans="1:10">
      <c r="A1323" t="s">
        <v>5289</v>
      </c>
      <c r="B1323">
        <v>601068</v>
      </c>
      <c r="C1323" t="s">
        <v>5290</v>
      </c>
      <c r="D1323" t="s">
        <v>164</v>
      </c>
      <c r="E1323" t="s">
        <v>121</v>
      </c>
      <c r="F1323" t="s">
        <v>5291</v>
      </c>
      <c r="G1323" t="s">
        <v>152</v>
      </c>
      <c r="H1323" t="s">
        <v>174</v>
      </c>
      <c r="I1323" t="s">
        <v>154</v>
      </c>
      <c r="J1323">
        <v>20180831</v>
      </c>
    </row>
    <row r="1324" spans="1:10">
      <c r="A1324" t="s">
        <v>1141</v>
      </c>
      <c r="B1324">
        <v>601069</v>
      </c>
      <c r="C1324" t="s">
        <v>1142</v>
      </c>
      <c r="D1324" t="s">
        <v>202</v>
      </c>
      <c r="E1324" t="s">
        <v>48</v>
      </c>
      <c r="F1324" t="s">
        <v>1143</v>
      </c>
      <c r="G1324" t="s">
        <v>152</v>
      </c>
      <c r="H1324" t="s">
        <v>174</v>
      </c>
      <c r="I1324" t="s">
        <v>154</v>
      </c>
      <c r="J1324">
        <v>20150122</v>
      </c>
    </row>
    <row r="1325" spans="1:10">
      <c r="A1325" t="s">
        <v>4710</v>
      </c>
      <c r="B1325">
        <v>601077</v>
      </c>
      <c r="C1325" t="s">
        <v>4711</v>
      </c>
      <c r="D1325" t="s">
        <v>937</v>
      </c>
      <c r="E1325" t="s">
        <v>62</v>
      </c>
      <c r="F1325" t="s">
        <v>4712</v>
      </c>
      <c r="G1325" t="s">
        <v>152</v>
      </c>
      <c r="H1325" t="s">
        <v>174</v>
      </c>
      <c r="I1325" t="s">
        <v>154</v>
      </c>
      <c r="J1325">
        <v>20191029</v>
      </c>
    </row>
    <row r="1326" spans="1:10">
      <c r="A1326" t="s">
        <v>4575</v>
      </c>
      <c r="B1326">
        <v>601086</v>
      </c>
      <c r="C1326" t="s">
        <v>4576</v>
      </c>
      <c r="D1326" t="s">
        <v>177</v>
      </c>
      <c r="E1326" t="s">
        <v>22</v>
      </c>
      <c r="F1326" t="s">
        <v>4577</v>
      </c>
      <c r="G1326" t="s">
        <v>152</v>
      </c>
      <c r="H1326" t="s">
        <v>174</v>
      </c>
      <c r="I1326" t="s">
        <v>154</v>
      </c>
      <c r="J1326">
        <v>20170929</v>
      </c>
    </row>
    <row r="1327" spans="1:10">
      <c r="A1327" t="s">
        <v>6429</v>
      </c>
      <c r="B1327">
        <v>601088</v>
      </c>
      <c r="C1327" t="s">
        <v>6430</v>
      </c>
      <c r="D1327" t="s">
        <v>164</v>
      </c>
      <c r="E1327" t="s">
        <v>126</v>
      </c>
      <c r="F1327" t="s">
        <v>6431</v>
      </c>
      <c r="G1327" t="s">
        <v>152</v>
      </c>
      <c r="H1327" t="s">
        <v>174</v>
      </c>
      <c r="I1327" t="s">
        <v>154</v>
      </c>
      <c r="J1327">
        <v>20071009</v>
      </c>
    </row>
    <row r="1328" spans="1:10">
      <c r="A1328" t="s">
        <v>2950</v>
      </c>
      <c r="B1328">
        <v>601089</v>
      </c>
      <c r="C1328" t="s">
        <v>2951</v>
      </c>
      <c r="D1328" t="s">
        <v>164</v>
      </c>
      <c r="E1328" t="s">
        <v>81</v>
      </c>
      <c r="F1328" t="s">
        <v>2952</v>
      </c>
      <c r="G1328" t="s">
        <v>152</v>
      </c>
      <c r="H1328" t="s">
        <v>174</v>
      </c>
      <c r="I1328" t="s">
        <v>154</v>
      </c>
      <c r="J1328">
        <v>20220630</v>
      </c>
    </row>
    <row r="1329" spans="1:10">
      <c r="A1329" t="s">
        <v>6183</v>
      </c>
      <c r="B1329">
        <v>601098</v>
      </c>
      <c r="C1329" t="s">
        <v>6184</v>
      </c>
      <c r="D1329" t="s">
        <v>168</v>
      </c>
      <c r="E1329" t="s">
        <v>55</v>
      </c>
      <c r="F1329" t="s">
        <v>6185</v>
      </c>
      <c r="G1329" t="s">
        <v>152</v>
      </c>
      <c r="H1329" t="s">
        <v>174</v>
      </c>
      <c r="I1329" t="s">
        <v>154</v>
      </c>
      <c r="J1329">
        <v>20101028</v>
      </c>
    </row>
    <row r="1330" spans="1:10">
      <c r="A1330" t="s">
        <v>4923</v>
      </c>
      <c r="B1330">
        <v>601099</v>
      </c>
      <c r="C1330" t="s">
        <v>4924</v>
      </c>
      <c r="D1330" t="s">
        <v>184</v>
      </c>
      <c r="E1330" t="s">
        <v>87</v>
      </c>
      <c r="F1330" t="s">
        <v>4925</v>
      </c>
      <c r="G1330" t="s">
        <v>152</v>
      </c>
      <c r="H1330" t="s">
        <v>174</v>
      </c>
      <c r="I1330" t="s">
        <v>154</v>
      </c>
      <c r="J1330">
        <v>20071228</v>
      </c>
    </row>
    <row r="1331" spans="1:10">
      <c r="A1331" t="s">
        <v>5604</v>
      </c>
      <c r="B1331">
        <v>601100</v>
      </c>
      <c r="C1331" t="s">
        <v>5605</v>
      </c>
      <c r="D1331" t="s">
        <v>212</v>
      </c>
      <c r="E1331" t="s">
        <v>104</v>
      </c>
      <c r="F1331" t="s">
        <v>5606</v>
      </c>
      <c r="G1331" t="s">
        <v>152</v>
      </c>
      <c r="H1331" t="s">
        <v>174</v>
      </c>
      <c r="I1331" t="s">
        <v>154</v>
      </c>
      <c r="J1331">
        <v>20111028</v>
      </c>
    </row>
    <row r="1332" spans="1:10">
      <c r="A1332" t="s">
        <v>6432</v>
      </c>
      <c r="B1332">
        <v>601101</v>
      </c>
      <c r="C1332" t="s">
        <v>6433</v>
      </c>
      <c r="D1332" t="s">
        <v>164</v>
      </c>
      <c r="E1332" t="s">
        <v>126</v>
      </c>
      <c r="F1332" t="s">
        <v>6434</v>
      </c>
      <c r="G1332" t="s">
        <v>152</v>
      </c>
      <c r="H1332" t="s">
        <v>174</v>
      </c>
      <c r="I1332" t="s">
        <v>154</v>
      </c>
      <c r="J1332">
        <v>20100331</v>
      </c>
    </row>
    <row r="1333" spans="1:10">
      <c r="A1333" t="s">
        <v>5607</v>
      </c>
      <c r="B1333">
        <v>601106</v>
      </c>
      <c r="C1333" t="s">
        <v>5608</v>
      </c>
      <c r="D1333" t="s">
        <v>194</v>
      </c>
      <c r="E1333" t="s">
        <v>104</v>
      </c>
      <c r="F1333" t="s">
        <v>5609</v>
      </c>
      <c r="G1333" t="s">
        <v>152</v>
      </c>
      <c r="H1333" t="s">
        <v>174</v>
      </c>
      <c r="I1333" t="s">
        <v>154</v>
      </c>
      <c r="J1333">
        <v>20100209</v>
      </c>
    </row>
    <row r="1334" spans="1:10">
      <c r="A1334" t="s">
        <v>4000</v>
      </c>
      <c r="B1334">
        <v>601107</v>
      </c>
      <c r="C1334" t="s">
        <v>4001</v>
      </c>
      <c r="D1334" t="s">
        <v>219</v>
      </c>
      <c r="E1334" t="s">
        <v>98</v>
      </c>
      <c r="F1334" t="s">
        <v>4002</v>
      </c>
      <c r="G1334" t="s">
        <v>152</v>
      </c>
      <c r="H1334" t="s">
        <v>174</v>
      </c>
      <c r="I1334" t="s">
        <v>154</v>
      </c>
      <c r="J1334">
        <v>20090727</v>
      </c>
    </row>
    <row r="1335" spans="1:10">
      <c r="A1335" t="s">
        <v>4926</v>
      </c>
      <c r="B1335">
        <v>601108</v>
      </c>
      <c r="C1335" t="s">
        <v>4927</v>
      </c>
      <c r="D1335" t="s">
        <v>423</v>
      </c>
      <c r="E1335" t="s">
        <v>87</v>
      </c>
      <c r="F1335" t="s">
        <v>4928</v>
      </c>
      <c r="G1335" t="s">
        <v>152</v>
      </c>
      <c r="H1335" t="s">
        <v>174</v>
      </c>
      <c r="I1335" t="s">
        <v>154</v>
      </c>
      <c r="J1335">
        <v>20171024</v>
      </c>
    </row>
    <row r="1336" spans="1:10">
      <c r="A1336" t="s">
        <v>4003</v>
      </c>
      <c r="B1336">
        <v>601111</v>
      </c>
      <c r="C1336" t="s">
        <v>4004</v>
      </c>
      <c r="D1336" t="s">
        <v>164</v>
      </c>
      <c r="E1336" t="s">
        <v>103</v>
      </c>
      <c r="F1336" t="s">
        <v>4005</v>
      </c>
      <c r="G1336" t="s">
        <v>152</v>
      </c>
      <c r="H1336" t="s">
        <v>174</v>
      </c>
      <c r="I1336" t="s">
        <v>154</v>
      </c>
      <c r="J1336">
        <v>20060818</v>
      </c>
    </row>
    <row r="1337" spans="1:10">
      <c r="A1337" t="s">
        <v>5949</v>
      </c>
      <c r="B1337">
        <v>601113</v>
      </c>
      <c r="C1337" t="s">
        <v>5950</v>
      </c>
      <c r="D1337" t="s">
        <v>423</v>
      </c>
      <c r="E1337" t="s">
        <v>116</v>
      </c>
      <c r="F1337" t="s">
        <v>5951</v>
      </c>
      <c r="G1337" t="s">
        <v>152</v>
      </c>
      <c r="H1337" t="s">
        <v>174</v>
      </c>
      <c r="I1337" t="s">
        <v>154</v>
      </c>
      <c r="J1337">
        <v>20110509</v>
      </c>
    </row>
    <row r="1338" spans="1:10">
      <c r="A1338" t="s">
        <v>4578</v>
      </c>
      <c r="B1338">
        <v>601116</v>
      </c>
      <c r="C1338" t="s">
        <v>4579</v>
      </c>
      <c r="D1338" t="s">
        <v>423</v>
      </c>
      <c r="E1338" t="s">
        <v>54</v>
      </c>
      <c r="F1338" t="s">
        <v>4580</v>
      </c>
      <c r="G1338" t="s">
        <v>152</v>
      </c>
      <c r="H1338" t="s">
        <v>174</v>
      </c>
      <c r="I1338" t="s">
        <v>154</v>
      </c>
      <c r="J1338">
        <v>20110302</v>
      </c>
    </row>
    <row r="1339" spans="1:10">
      <c r="A1339" t="s">
        <v>5292</v>
      </c>
      <c r="B1339">
        <v>601117</v>
      </c>
      <c r="C1339" t="s">
        <v>5293</v>
      </c>
      <c r="D1339" t="s">
        <v>164</v>
      </c>
      <c r="E1339" t="s">
        <v>121</v>
      </c>
      <c r="F1339" t="s">
        <v>5294</v>
      </c>
      <c r="G1339" t="s">
        <v>152</v>
      </c>
      <c r="H1339" t="s">
        <v>174</v>
      </c>
      <c r="I1339" t="s">
        <v>154</v>
      </c>
      <c r="J1339">
        <v>20100107</v>
      </c>
    </row>
    <row r="1340" spans="1:10">
      <c r="A1340" t="s">
        <v>6712</v>
      </c>
      <c r="B1340">
        <v>601118</v>
      </c>
      <c r="C1340" t="s">
        <v>6713</v>
      </c>
      <c r="D1340" t="s">
        <v>250</v>
      </c>
      <c r="E1340" t="s">
        <v>51</v>
      </c>
      <c r="F1340" t="s">
        <v>6714</v>
      </c>
      <c r="G1340" t="s">
        <v>152</v>
      </c>
      <c r="H1340" t="s">
        <v>174</v>
      </c>
      <c r="I1340" t="s">
        <v>154</v>
      </c>
      <c r="J1340">
        <v>20110107</v>
      </c>
    </row>
    <row r="1341" spans="1:10">
      <c r="A1341" t="s">
        <v>1504</v>
      </c>
      <c r="B1341">
        <v>601126</v>
      </c>
      <c r="C1341" t="s">
        <v>1505</v>
      </c>
      <c r="D1341" t="s">
        <v>164</v>
      </c>
      <c r="E1341" t="s">
        <v>17</v>
      </c>
      <c r="F1341" t="s">
        <v>1506</v>
      </c>
      <c r="G1341" t="s">
        <v>152</v>
      </c>
      <c r="H1341" t="s">
        <v>174</v>
      </c>
      <c r="I1341" t="s">
        <v>154</v>
      </c>
      <c r="J1341">
        <v>20101231</v>
      </c>
    </row>
    <row r="1342" spans="1:10">
      <c r="A1342" t="s">
        <v>1981</v>
      </c>
      <c r="B1342">
        <v>601127</v>
      </c>
      <c r="C1342" t="s">
        <v>1982</v>
      </c>
      <c r="D1342" t="s">
        <v>937</v>
      </c>
      <c r="E1342" t="s">
        <v>36</v>
      </c>
      <c r="F1342" t="s">
        <v>1983</v>
      </c>
      <c r="G1342" t="s">
        <v>152</v>
      </c>
      <c r="H1342" t="s">
        <v>174</v>
      </c>
      <c r="I1342" t="s">
        <v>154</v>
      </c>
      <c r="J1342">
        <v>20160615</v>
      </c>
    </row>
    <row r="1343" spans="1:10">
      <c r="A1343" t="s">
        <v>4713</v>
      </c>
      <c r="B1343">
        <v>601128</v>
      </c>
      <c r="C1343" t="s">
        <v>4714</v>
      </c>
      <c r="D1343" t="s">
        <v>212</v>
      </c>
      <c r="E1343" t="s">
        <v>62</v>
      </c>
      <c r="F1343" t="s">
        <v>4715</v>
      </c>
      <c r="G1343" t="s">
        <v>152</v>
      </c>
      <c r="H1343" t="s">
        <v>174</v>
      </c>
      <c r="I1343" t="s">
        <v>154</v>
      </c>
      <c r="J1343">
        <v>20160930</v>
      </c>
    </row>
    <row r="1344" spans="1:10">
      <c r="A1344" t="s">
        <v>4929</v>
      </c>
      <c r="B1344">
        <v>601136</v>
      </c>
      <c r="C1344" t="s">
        <v>4930</v>
      </c>
      <c r="D1344" t="s">
        <v>164</v>
      </c>
      <c r="E1344" t="s">
        <v>87</v>
      </c>
      <c r="F1344" t="s">
        <v>4931</v>
      </c>
      <c r="G1344" t="s">
        <v>152</v>
      </c>
      <c r="H1344" t="s">
        <v>174</v>
      </c>
      <c r="I1344" t="s">
        <v>154</v>
      </c>
      <c r="J1344">
        <v>20221222</v>
      </c>
    </row>
    <row r="1345" spans="1:10">
      <c r="A1345" t="s">
        <v>1144</v>
      </c>
      <c r="B1345">
        <v>601137</v>
      </c>
      <c r="C1345" t="s">
        <v>1145</v>
      </c>
      <c r="D1345" t="s">
        <v>423</v>
      </c>
      <c r="E1345" t="s">
        <v>41</v>
      </c>
      <c r="F1345" t="s">
        <v>1146</v>
      </c>
      <c r="G1345" t="s">
        <v>152</v>
      </c>
      <c r="H1345" t="s">
        <v>174</v>
      </c>
      <c r="I1345" t="s">
        <v>154</v>
      </c>
      <c r="J1345">
        <v>20110127</v>
      </c>
    </row>
    <row r="1346" spans="1:10">
      <c r="A1346" t="s">
        <v>6297</v>
      </c>
      <c r="B1346">
        <v>601138</v>
      </c>
      <c r="C1346" t="s">
        <v>6298</v>
      </c>
      <c r="D1346" t="s">
        <v>243</v>
      </c>
      <c r="E1346" t="s">
        <v>125</v>
      </c>
      <c r="F1346" t="s">
        <v>6299</v>
      </c>
      <c r="G1346" t="s">
        <v>152</v>
      </c>
      <c r="H1346" t="s">
        <v>174</v>
      </c>
      <c r="I1346" t="s">
        <v>154</v>
      </c>
      <c r="J1346">
        <v>20180608</v>
      </c>
    </row>
    <row r="1347" spans="1:10">
      <c r="A1347" t="s">
        <v>3658</v>
      </c>
      <c r="B1347">
        <v>601139</v>
      </c>
      <c r="C1347" t="s">
        <v>3659</v>
      </c>
      <c r="D1347" t="s">
        <v>243</v>
      </c>
      <c r="E1347" t="s">
        <v>91</v>
      </c>
      <c r="F1347" t="s">
        <v>3660</v>
      </c>
      <c r="G1347" t="s">
        <v>152</v>
      </c>
      <c r="H1347" t="s">
        <v>174</v>
      </c>
      <c r="I1347" t="s">
        <v>154</v>
      </c>
      <c r="J1347">
        <v>20091225</v>
      </c>
    </row>
    <row r="1348" spans="1:10">
      <c r="A1348" t="s">
        <v>4404</v>
      </c>
      <c r="B1348">
        <v>601155</v>
      </c>
      <c r="C1348" t="s">
        <v>4405</v>
      </c>
      <c r="D1348" t="s">
        <v>212</v>
      </c>
      <c r="E1348" t="s">
        <v>79</v>
      </c>
      <c r="F1348" t="s">
        <v>4406</v>
      </c>
      <c r="G1348" t="s">
        <v>152</v>
      </c>
      <c r="H1348" t="s">
        <v>174</v>
      </c>
      <c r="I1348" t="s">
        <v>154</v>
      </c>
      <c r="J1348">
        <v>20151204</v>
      </c>
    </row>
    <row r="1349" spans="1:10">
      <c r="A1349" t="s">
        <v>4006</v>
      </c>
      <c r="B1349">
        <v>601156</v>
      </c>
      <c r="C1349" t="s">
        <v>4007</v>
      </c>
      <c r="D1349" t="s">
        <v>172</v>
      </c>
      <c r="E1349" t="s">
        <v>103</v>
      </c>
      <c r="F1349" t="s">
        <v>4008</v>
      </c>
      <c r="G1349" t="s">
        <v>152</v>
      </c>
      <c r="H1349" t="s">
        <v>174</v>
      </c>
      <c r="I1349" t="s">
        <v>154</v>
      </c>
      <c r="J1349">
        <v>20210609</v>
      </c>
    </row>
    <row r="1350" spans="1:10">
      <c r="A1350" t="s">
        <v>3661</v>
      </c>
      <c r="B1350">
        <v>601158</v>
      </c>
      <c r="C1350" t="s">
        <v>3662</v>
      </c>
      <c r="D1350" t="s">
        <v>937</v>
      </c>
      <c r="E1350" t="s">
        <v>96</v>
      </c>
      <c r="F1350" t="s">
        <v>3663</v>
      </c>
      <c r="G1350" t="s">
        <v>152</v>
      </c>
      <c r="H1350" t="s">
        <v>174</v>
      </c>
      <c r="I1350" t="s">
        <v>154</v>
      </c>
      <c r="J1350">
        <v>20100329</v>
      </c>
    </row>
    <row r="1351" spans="1:10">
      <c r="A1351" t="s">
        <v>4932</v>
      </c>
      <c r="B1351">
        <v>601162</v>
      </c>
      <c r="C1351" t="s">
        <v>4933</v>
      </c>
      <c r="D1351" t="s">
        <v>316</v>
      </c>
      <c r="E1351" t="s">
        <v>87</v>
      </c>
      <c r="F1351" t="s">
        <v>4934</v>
      </c>
      <c r="G1351" t="s">
        <v>152</v>
      </c>
      <c r="H1351" t="s">
        <v>174</v>
      </c>
      <c r="I1351" t="s">
        <v>154</v>
      </c>
      <c r="J1351">
        <v>20181019</v>
      </c>
    </row>
    <row r="1352" spans="1:10">
      <c r="A1352" t="s">
        <v>1984</v>
      </c>
      <c r="B1352">
        <v>601163</v>
      </c>
      <c r="C1352" t="s">
        <v>1985</v>
      </c>
      <c r="D1352" t="s">
        <v>198</v>
      </c>
      <c r="E1352" t="s">
        <v>28</v>
      </c>
      <c r="F1352" t="s">
        <v>1986</v>
      </c>
      <c r="G1352" t="s">
        <v>152</v>
      </c>
      <c r="H1352" t="s">
        <v>174</v>
      </c>
      <c r="I1352" t="s">
        <v>154</v>
      </c>
      <c r="J1352">
        <v>20160909</v>
      </c>
    </row>
    <row r="1353" spans="1:10">
      <c r="A1353" t="s">
        <v>4716</v>
      </c>
      <c r="B1353">
        <v>601166</v>
      </c>
      <c r="C1353" t="s">
        <v>4717</v>
      </c>
      <c r="D1353" t="s">
        <v>150</v>
      </c>
      <c r="E1353" t="s">
        <v>62</v>
      </c>
      <c r="F1353" t="s">
        <v>4718</v>
      </c>
      <c r="G1353" t="s">
        <v>152</v>
      </c>
      <c r="H1353" t="s">
        <v>174</v>
      </c>
      <c r="I1353" t="s">
        <v>154</v>
      </c>
      <c r="J1353">
        <v>20070205</v>
      </c>
    </row>
    <row r="1354" spans="1:10">
      <c r="A1354" t="s">
        <v>1147</v>
      </c>
      <c r="B1354">
        <v>601168</v>
      </c>
      <c r="C1354" t="s">
        <v>1148</v>
      </c>
      <c r="D1354" t="s">
        <v>308</v>
      </c>
      <c r="E1354" t="s">
        <v>26</v>
      </c>
      <c r="F1354" t="s">
        <v>1149</v>
      </c>
      <c r="G1354" t="s">
        <v>152</v>
      </c>
      <c r="H1354" t="s">
        <v>174</v>
      </c>
      <c r="I1354" t="s">
        <v>154</v>
      </c>
      <c r="J1354">
        <v>20070712</v>
      </c>
    </row>
    <row r="1355" spans="1:10">
      <c r="A1355" t="s">
        <v>4719</v>
      </c>
      <c r="B1355">
        <v>601169</v>
      </c>
      <c r="C1355" t="s">
        <v>4720</v>
      </c>
      <c r="D1355" t="s">
        <v>164</v>
      </c>
      <c r="E1355" t="s">
        <v>62</v>
      </c>
      <c r="F1355" t="s">
        <v>4721</v>
      </c>
      <c r="G1355" t="s">
        <v>152</v>
      </c>
      <c r="H1355" t="s">
        <v>174</v>
      </c>
      <c r="I1355" t="s">
        <v>154</v>
      </c>
      <c r="J1355">
        <v>20070919</v>
      </c>
    </row>
    <row r="1356" spans="1:10">
      <c r="A1356" t="s">
        <v>5610</v>
      </c>
      <c r="B1356">
        <v>601177</v>
      </c>
      <c r="C1356" t="s">
        <v>5611</v>
      </c>
      <c r="D1356" t="s">
        <v>423</v>
      </c>
      <c r="E1356" t="s">
        <v>135</v>
      </c>
      <c r="F1356" t="s">
        <v>5612</v>
      </c>
      <c r="G1356" t="s">
        <v>152</v>
      </c>
      <c r="H1356" t="s">
        <v>174</v>
      </c>
      <c r="I1356" t="s">
        <v>154</v>
      </c>
      <c r="J1356">
        <v>20101011</v>
      </c>
    </row>
    <row r="1357" spans="1:10">
      <c r="A1357" t="s">
        <v>1507</v>
      </c>
      <c r="B1357">
        <v>601179</v>
      </c>
      <c r="C1357" t="s">
        <v>1508</v>
      </c>
      <c r="D1357" t="s">
        <v>419</v>
      </c>
      <c r="E1357" t="s">
        <v>17</v>
      </c>
      <c r="F1357" t="s">
        <v>1509</v>
      </c>
      <c r="G1357" t="s">
        <v>152</v>
      </c>
      <c r="H1357" t="s">
        <v>174</v>
      </c>
      <c r="I1357" t="s">
        <v>154</v>
      </c>
      <c r="J1357">
        <v>20100128</v>
      </c>
    </row>
    <row r="1358" spans="1:10">
      <c r="A1358" t="s">
        <v>5295</v>
      </c>
      <c r="B1358">
        <v>601186</v>
      </c>
      <c r="C1358" t="s">
        <v>5296</v>
      </c>
      <c r="D1358" t="s">
        <v>164</v>
      </c>
      <c r="E1358" t="s">
        <v>121</v>
      </c>
      <c r="F1358" t="s">
        <v>5297</v>
      </c>
      <c r="G1358" t="s">
        <v>152</v>
      </c>
      <c r="H1358" t="s">
        <v>174</v>
      </c>
      <c r="I1358" t="s">
        <v>154</v>
      </c>
      <c r="J1358">
        <v>20080310</v>
      </c>
    </row>
    <row r="1359" spans="1:10">
      <c r="A1359" t="s">
        <v>4722</v>
      </c>
      <c r="B1359">
        <v>601187</v>
      </c>
      <c r="C1359" t="s">
        <v>4723</v>
      </c>
      <c r="D1359" t="s">
        <v>150</v>
      </c>
      <c r="E1359" t="s">
        <v>62</v>
      </c>
      <c r="F1359" t="s">
        <v>4724</v>
      </c>
      <c r="G1359" t="s">
        <v>152</v>
      </c>
      <c r="H1359" t="s">
        <v>174</v>
      </c>
      <c r="I1359" t="s">
        <v>154</v>
      </c>
      <c r="J1359">
        <v>20201027</v>
      </c>
    </row>
    <row r="1360" spans="1:10">
      <c r="A1360" t="s">
        <v>4009</v>
      </c>
      <c r="B1360">
        <v>601188</v>
      </c>
      <c r="C1360" t="s">
        <v>4010</v>
      </c>
      <c r="D1360" t="s">
        <v>194</v>
      </c>
      <c r="E1360" t="s">
        <v>98</v>
      </c>
      <c r="F1360" t="s">
        <v>4011</v>
      </c>
      <c r="G1360" t="s">
        <v>152</v>
      </c>
      <c r="H1360" t="s">
        <v>174</v>
      </c>
      <c r="I1360" t="s">
        <v>154</v>
      </c>
      <c r="J1360">
        <v>20100319</v>
      </c>
    </row>
    <row r="1361" spans="1:10">
      <c r="A1361" t="s">
        <v>4935</v>
      </c>
      <c r="B1361">
        <v>601198</v>
      </c>
      <c r="C1361" t="s">
        <v>4936</v>
      </c>
      <c r="D1361" t="s">
        <v>164</v>
      </c>
      <c r="E1361" t="s">
        <v>87</v>
      </c>
      <c r="F1361" t="s">
        <v>4937</v>
      </c>
      <c r="G1361" t="s">
        <v>152</v>
      </c>
      <c r="H1361" t="s">
        <v>174</v>
      </c>
      <c r="I1361" t="s">
        <v>154</v>
      </c>
      <c r="J1361">
        <v>20150226</v>
      </c>
    </row>
    <row r="1362" spans="1:10">
      <c r="A1362" t="s">
        <v>3664</v>
      </c>
      <c r="B1362">
        <v>601199</v>
      </c>
      <c r="C1362" t="s">
        <v>3665</v>
      </c>
      <c r="D1362" t="s">
        <v>212</v>
      </c>
      <c r="E1362" t="s">
        <v>96</v>
      </c>
      <c r="F1362" t="s">
        <v>3666</v>
      </c>
      <c r="G1362" t="s">
        <v>152</v>
      </c>
      <c r="H1362" t="s">
        <v>174</v>
      </c>
      <c r="I1362" t="s">
        <v>154</v>
      </c>
      <c r="J1362">
        <v>20110317</v>
      </c>
    </row>
    <row r="1363" spans="1:10">
      <c r="A1363" t="s">
        <v>6600</v>
      </c>
      <c r="B1363">
        <v>601200</v>
      </c>
      <c r="C1363" t="s">
        <v>6601</v>
      </c>
      <c r="D1363" t="s">
        <v>172</v>
      </c>
      <c r="E1363" t="s">
        <v>119</v>
      </c>
      <c r="F1363" t="s">
        <v>6602</v>
      </c>
      <c r="G1363" t="s">
        <v>152</v>
      </c>
      <c r="H1363" t="s">
        <v>174</v>
      </c>
      <c r="I1363" t="s">
        <v>154</v>
      </c>
      <c r="J1363">
        <v>20170331</v>
      </c>
    </row>
    <row r="1364" spans="1:10">
      <c r="A1364" t="s">
        <v>599</v>
      </c>
      <c r="B1364">
        <v>601208</v>
      </c>
      <c r="C1364" t="s">
        <v>600</v>
      </c>
      <c r="D1364" t="s">
        <v>219</v>
      </c>
      <c r="E1364" t="s">
        <v>14</v>
      </c>
      <c r="F1364" t="s">
        <v>601</v>
      </c>
      <c r="G1364" t="s">
        <v>152</v>
      </c>
      <c r="H1364" t="s">
        <v>174</v>
      </c>
      <c r="I1364" t="s">
        <v>154</v>
      </c>
      <c r="J1364">
        <v>20110520</v>
      </c>
    </row>
    <row r="1365" spans="1:10">
      <c r="A1365" t="s">
        <v>4938</v>
      </c>
      <c r="B1365">
        <v>601211</v>
      </c>
      <c r="C1365" t="s">
        <v>4939</v>
      </c>
      <c r="D1365" t="s">
        <v>172</v>
      </c>
      <c r="E1365" t="s">
        <v>87</v>
      </c>
      <c r="F1365" t="s">
        <v>4940</v>
      </c>
      <c r="G1365" t="s">
        <v>152</v>
      </c>
      <c r="H1365" t="s">
        <v>174</v>
      </c>
      <c r="I1365" t="s">
        <v>154</v>
      </c>
      <c r="J1365">
        <v>20150626</v>
      </c>
    </row>
    <row r="1366" spans="1:10">
      <c r="A1366" t="s">
        <v>1150</v>
      </c>
      <c r="B1366">
        <v>601212</v>
      </c>
      <c r="C1366" t="s">
        <v>1151</v>
      </c>
      <c r="D1366" t="s">
        <v>177</v>
      </c>
      <c r="E1366" t="s">
        <v>26</v>
      </c>
      <c r="F1366" t="s">
        <v>1152</v>
      </c>
      <c r="G1366" t="s">
        <v>152</v>
      </c>
      <c r="H1366" t="s">
        <v>174</v>
      </c>
      <c r="I1366" t="s">
        <v>154</v>
      </c>
      <c r="J1366">
        <v>20170215</v>
      </c>
    </row>
    <row r="1367" spans="1:10">
      <c r="A1367" t="s">
        <v>602</v>
      </c>
      <c r="B1367">
        <v>601216</v>
      </c>
      <c r="C1367" t="s">
        <v>603</v>
      </c>
      <c r="D1367" t="s">
        <v>266</v>
      </c>
      <c r="E1367" t="s">
        <v>14</v>
      </c>
      <c r="F1367" t="s">
        <v>604</v>
      </c>
      <c r="G1367" t="s">
        <v>152</v>
      </c>
      <c r="H1367" t="s">
        <v>174</v>
      </c>
      <c r="I1367" t="s">
        <v>154</v>
      </c>
      <c r="J1367">
        <v>20110222</v>
      </c>
    </row>
    <row r="1368" spans="1:10">
      <c r="A1368" t="s">
        <v>1510</v>
      </c>
      <c r="B1368">
        <v>601218</v>
      </c>
      <c r="C1368" t="s">
        <v>1511</v>
      </c>
      <c r="D1368" t="s">
        <v>212</v>
      </c>
      <c r="E1368" t="s">
        <v>17</v>
      </c>
      <c r="F1368" t="s">
        <v>1512</v>
      </c>
      <c r="G1368" t="s">
        <v>152</v>
      </c>
      <c r="H1368" t="s">
        <v>174</v>
      </c>
      <c r="I1368" t="s">
        <v>154</v>
      </c>
      <c r="J1368">
        <v>20110506</v>
      </c>
    </row>
    <row r="1369" spans="1:10">
      <c r="A1369" t="s">
        <v>1513</v>
      </c>
      <c r="B1369">
        <v>601222</v>
      </c>
      <c r="C1369" t="s">
        <v>1514</v>
      </c>
      <c r="D1369" t="s">
        <v>212</v>
      </c>
      <c r="E1369" t="s">
        <v>27</v>
      </c>
      <c r="F1369" t="s">
        <v>1515</v>
      </c>
      <c r="G1369" t="s">
        <v>152</v>
      </c>
      <c r="H1369" t="s">
        <v>174</v>
      </c>
      <c r="I1369" t="s">
        <v>154</v>
      </c>
      <c r="J1369">
        <v>20110808</v>
      </c>
    </row>
    <row r="1370" spans="1:10">
      <c r="A1370" t="s">
        <v>6435</v>
      </c>
      <c r="B1370">
        <v>601225</v>
      </c>
      <c r="C1370" t="s">
        <v>6436</v>
      </c>
      <c r="D1370" t="s">
        <v>419</v>
      </c>
      <c r="E1370" t="s">
        <v>126</v>
      </c>
      <c r="F1370" t="s">
        <v>6437</v>
      </c>
      <c r="G1370" t="s">
        <v>152</v>
      </c>
      <c r="H1370" t="s">
        <v>174</v>
      </c>
      <c r="I1370" t="s">
        <v>154</v>
      </c>
      <c r="J1370">
        <v>20140128</v>
      </c>
    </row>
    <row r="1371" spans="1:10">
      <c r="A1371" t="s">
        <v>5298</v>
      </c>
      <c r="B1371">
        <v>601226</v>
      </c>
      <c r="C1371" t="s">
        <v>5299</v>
      </c>
      <c r="D1371" t="s">
        <v>164</v>
      </c>
      <c r="E1371" t="s">
        <v>121</v>
      </c>
      <c r="F1371" t="s">
        <v>5300</v>
      </c>
      <c r="G1371" t="s">
        <v>152</v>
      </c>
      <c r="H1371" t="s">
        <v>174</v>
      </c>
      <c r="I1371" t="s">
        <v>154</v>
      </c>
      <c r="J1371">
        <v>20141211</v>
      </c>
    </row>
    <row r="1372" spans="1:10">
      <c r="A1372" t="s">
        <v>4012</v>
      </c>
      <c r="B1372">
        <v>601228</v>
      </c>
      <c r="C1372" t="s">
        <v>4013</v>
      </c>
      <c r="D1372" t="s">
        <v>223</v>
      </c>
      <c r="E1372" t="s">
        <v>83</v>
      </c>
      <c r="F1372" t="s">
        <v>4014</v>
      </c>
      <c r="G1372" t="s">
        <v>152</v>
      </c>
      <c r="H1372" t="s">
        <v>174</v>
      </c>
      <c r="I1372" t="s">
        <v>154</v>
      </c>
      <c r="J1372">
        <v>20170329</v>
      </c>
    </row>
    <row r="1373" spans="1:10">
      <c r="A1373" t="s">
        <v>4725</v>
      </c>
      <c r="B1373">
        <v>601229</v>
      </c>
      <c r="C1373" t="s">
        <v>4726</v>
      </c>
      <c r="D1373" t="s">
        <v>172</v>
      </c>
      <c r="E1373" t="s">
        <v>62</v>
      </c>
      <c r="F1373" t="s">
        <v>4727</v>
      </c>
      <c r="G1373" t="s">
        <v>152</v>
      </c>
      <c r="H1373" t="s">
        <v>174</v>
      </c>
      <c r="I1373" t="s">
        <v>154</v>
      </c>
      <c r="J1373">
        <v>20161116</v>
      </c>
    </row>
    <row r="1374" spans="1:10">
      <c r="A1374" t="s">
        <v>1516</v>
      </c>
      <c r="B1374">
        <v>601231</v>
      </c>
      <c r="C1374" t="s">
        <v>1517</v>
      </c>
      <c r="D1374" t="s">
        <v>172</v>
      </c>
      <c r="E1374" t="s">
        <v>42</v>
      </c>
      <c r="F1374" t="s">
        <v>1518</v>
      </c>
      <c r="G1374" t="s">
        <v>152</v>
      </c>
      <c r="H1374" t="s">
        <v>174</v>
      </c>
      <c r="I1374" t="s">
        <v>154</v>
      </c>
      <c r="J1374">
        <v>20120220</v>
      </c>
    </row>
    <row r="1375" spans="1:10">
      <c r="A1375" t="s">
        <v>605</v>
      </c>
      <c r="B1375">
        <v>601233</v>
      </c>
      <c r="C1375" t="s">
        <v>606</v>
      </c>
      <c r="D1375" t="s">
        <v>423</v>
      </c>
      <c r="E1375" t="s">
        <v>24</v>
      </c>
      <c r="F1375" t="s">
        <v>607</v>
      </c>
      <c r="G1375" t="s">
        <v>152</v>
      </c>
      <c r="H1375" t="s">
        <v>174</v>
      </c>
      <c r="I1375" t="s">
        <v>154</v>
      </c>
      <c r="J1375">
        <v>20110518</v>
      </c>
    </row>
    <row r="1376" spans="1:10">
      <c r="A1376" t="s">
        <v>4941</v>
      </c>
      <c r="B1376">
        <v>601236</v>
      </c>
      <c r="C1376" t="s">
        <v>4942</v>
      </c>
      <c r="D1376" t="s">
        <v>184</v>
      </c>
      <c r="E1376" t="s">
        <v>87</v>
      </c>
      <c r="F1376" t="s">
        <v>4943</v>
      </c>
      <c r="G1376" t="s">
        <v>152</v>
      </c>
      <c r="H1376" t="s">
        <v>174</v>
      </c>
      <c r="I1376" t="s">
        <v>154</v>
      </c>
      <c r="J1376">
        <v>20190705</v>
      </c>
    </row>
    <row r="1377" spans="1:10">
      <c r="A1377" t="s">
        <v>1987</v>
      </c>
      <c r="B1377">
        <v>601238</v>
      </c>
      <c r="C1377" t="s">
        <v>1988</v>
      </c>
      <c r="D1377" t="s">
        <v>223</v>
      </c>
      <c r="E1377" t="s">
        <v>36</v>
      </c>
      <c r="F1377" t="s">
        <v>1989</v>
      </c>
      <c r="G1377" t="s">
        <v>152</v>
      </c>
      <c r="H1377" t="s">
        <v>174</v>
      </c>
      <c r="I1377" t="s">
        <v>154</v>
      </c>
      <c r="J1377">
        <v>20120329</v>
      </c>
    </row>
    <row r="1378" spans="1:10">
      <c r="A1378" t="s">
        <v>1990</v>
      </c>
      <c r="B1378">
        <v>601258</v>
      </c>
      <c r="C1378" t="s">
        <v>1991</v>
      </c>
      <c r="D1378" t="s">
        <v>279</v>
      </c>
      <c r="E1378" t="s">
        <v>18</v>
      </c>
      <c r="F1378" t="s">
        <v>1992</v>
      </c>
      <c r="G1378" t="s">
        <v>152</v>
      </c>
      <c r="H1378" t="s">
        <v>174</v>
      </c>
      <c r="I1378" t="s">
        <v>154</v>
      </c>
      <c r="J1378">
        <v>20110428</v>
      </c>
    </row>
    <row r="1379" spans="1:10">
      <c r="A1379" t="s">
        <v>1993</v>
      </c>
      <c r="B1379">
        <v>601279</v>
      </c>
      <c r="C1379" t="s">
        <v>1994</v>
      </c>
      <c r="D1379" t="s">
        <v>312</v>
      </c>
      <c r="E1379" t="s">
        <v>28</v>
      </c>
      <c r="F1379" t="s">
        <v>1995</v>
      </c>
      <c r="G1379" t="s">
        <v>152</v>
      </c>
      <c r="H1379" t="s">
        <v>174</v>
      </c>
      <c r="I1379" t="s">
        <v>154</v>
      </c>
      <c r="J1379">
        <v>20210415</v>
      </c>
    </row>
    <row r="1380" spans="1:10">
      <c r="A1380" t="s">
        <v>4728</v>
      </c>
      <c r="B1380">
        <v>601288</v>
      </c>
      <c r="C1380" t="s">
        <v>4729</v>
      </c>
      <c r="D1380" t="s">
        <v>164</v>
      </c>
      <c r="E1380" t="s">
        <v>62</v>
      </c>
      <c r="F1380" t="s">
        <v>4730</v>
      </c>
      <c r="G1380" t="s">
        <v>152</v>
      </c>
      <c r="H1380" t="s">
        <v>174</v>
      </c>
      <c r="I1380" t="s">
        <v>154</v>
      </c>
      <c r="J1380">
        <v>20100715</v>
      </c>
    </row>
    <row r="1381" spans="1:10">
      <c r="A1381" t="s">
        <v>4015</v>
      </c>
      <c r="B1381">
        <v>601298</v>
      </c>
      <c r="C1381" t="s">
        <v>4016</v>
      </c>
      <c r="D1381" t="s">
        <v>198</v>
      </c>
      <c r="E1381" t="s">
        <v>83</v>
      </c>
      <c r="F1381" t="s">
        <v>4017</v>
      </c>
      <c r="G1381" t="s">
        <v>152</v>
      </c>
      <c r="H1381" t="s">
        <v>174</v>
      </c>
      <c r="I1381" t="s">
        <v>154</v>
      </c>
      <c r="J1381">
        <v>20190121</v>
      </c>
    </row>
    <row r="1382" spans="1:10">
      <c r="A1382" t="s">
        <v>1519</v>
      </c>
      <c r="B1382">
        <v>601311</v>
      </c>
      <c r="C1382" t="s">
        <v>1520</v>
      </c>
      <c r="D1382" t="s">
        <v>316</v>
      </c>
      <c r="E1382" t="s">
        <v>17</v>
      </c>
      <c r="F1382" t="s">
        <v>1521</v>
      </c>
      <c r="G1382" t="s">
        <v>152</v>
      </c>
      <c r="H1382" t="s">
        <v>174</v>
      </c>
      <c r="I1382" t="s">
        <v>154</v>
      </c>
      <c r="J1382">
        <v>20110602</v>
      </c>
    </row>
    <row r="1383" spans="1:10">
      <c r="A1383" t="s">
        <v>4944</v>
      </c>
      <c r="B1383">
        <v>601318</v>
      </c>
      <c r="C1383" t="s">
        <v>4945</v>
      </c>
      <c r="D1383" t="s">
        <v>243</v>
      </c>
      <c r="E1383" t="s">
        <v>38</v>
      </c>
      <c r="F1383" t="s">
        <v>4946</v>
      </c>
      <c r="G1383" t="s">
        <v>152</v>
      </c>
      <c r="H1383" t="s">
        <v>174</v>
      </c>
      <c r="I1383" t="s">
        <v>154</v>
      </c>
      <c r="J1383">
        <v>20070301</v>
      </c>
    </row>
    <row r="1384" spans="1:10">
      <c r="A1384" t="s">
        <v>4947</v>
      </c>
      <c r="B1384">
        <v>601319</v>
      </c>
      <c r="C1384" t="s">
        <v>4948</v>
      </c>
      <c r="D1384" t="s">
        <v>164</v>
      </c>
      <c r="E1384" t="s">
        <v>38</v>
      </c>
      <c r="F1384" t="s">
        <v>4949</v>
      </c>
      <c r="G1384" t="s">
        <v>152</v>
      </c>
      <c r="H1384" t="s">
        <v>174</v>
      </c>
      <c r="I1384" t="s">
        <v>154</v>
      </c>
      <c r="J1384">
        <v>20181116</v>
      </c>
    </row>
    <row r="1385" spans="1:10">
      <c r="A1385" t="s">
        <v>4018</v>
      </c>
      <c r="B1385">
        <v>601326</v>
      </c>
      <c r="C1385" t="s">
        <v>4019</v>
      </c>
      <c r="D1385" t="s">
        <v>279</v>
      </c>
      <c r="E1385" t="s">
        <v>83</v>
      </c>
      <c r="F1385" t="s">
        <v>4020</v>
      </c>
      <c r="G1385" t="s">
        <v>152</v>
      </c>
      <c r="H1385" t="s">
        <v>174</v>
      </c>
      <c r="I1385" t="s">
        <v>154</v>
      </c>
      <c r="J1385">
        <v>20170816</v>
      </c>
    </row>
    <row r="1386" spans="1:10">
      <c r="A1386" t="s">
        <v>4731</v>
      </c>
      <c r="B1386">
        <v>601328</v>
      </c>
      <c r="C1386" t="s">
        <v>4732</v>
      </c>
      <c r="D1386" t="s">
        <v>172</v>
      </c>
      <c r="E1386" t="s">
        <v>62</v>
      </c>
      <c r="F1386" t="s">
        <v>4733</v>
      </c>
      <c r="G1386" t="s">
        <v>152</v>
      </c>
      <c r="H1386" t="s">
        <v>174</v>
      </c>
      <c r="I1386" t="s">
        <v>154</v>
      </c>
      <c r="J1386">
        <v>20070515</v>
      </c>
    </row>
    <row r="1387" spans="1:10">
      <c r="A1387" t="s">
        <v>6603</v>
      </c>
      <c r="B1387">
        <v>601330</v>
      </c>
      <c r="C1387" t="s">
        <v>6604</v>
      </c>
      <c r="D1387" t="s">
        <v>243</v>
      </c>
      <c r="E1387" t="s">
        <v>119</v>
      </c>
      <c r="F1387" t="s">
        <v>6605</v>
      </c>
      <c r="G1387" t="s">
        <v>152</v>
      </c>
      <c r="H1387" t="s">
        <v>174</v>
      </c>
      <c r="I1387" t="s">
        <v>154</v>
      </c>
      <c r="J1387">
        <v>20180611</v>
      </c>
    </row>
    <row r="1388" spans="1:10">
      <c r="A1388" t="s">
        <v>4021</v>
      </c>
      <c r="B1388">
        <v>601333</v>
      </c>
      <c r="C1388" t="s">
        <v>4022</v>
      </c>
      <c r="D1388" t="s">
        <v>243</v>
      </c>
      <c r="E1388" t="s">
        <v>97</v>
      </c>
      <c r="F1388" t="s">
        <v>4023</v>
      </c>
      <c r="G1388" t="s">
        <v>152</v>
      </c>
      <c r="H1388" t="s">
        <v>174</v>
      </c>
      <c r="I1388" t="s">
        <v>154</v>
      </c>
      <c r="J1388">
        <v>20061222</v>
      </c>
    </row>
    <row r="1389" spans="1:10">
      <c r="A1389" t="s">
        <v>4950</v>
      </c>
      <c r="B1389">
        <v>601336</v>
      </c>
      <c r="C1389" t="s">
        <v>4951</v>
      </c>
      <c r="D1389" t="s">
        <v>164</v>
      </c>
      <c r="E1389" t="s">
        <v>38</v>
      </c>
      <c r="F1389" t="s">
        <v>4952</v>
      </c>
      <c r="G1389" t="s">
        <v>152</v>
      </c>
      <c r="H1389" t="s">
        <v>174</v>
      </c>
      <c r="I1389" t="s">
        <v>154</v>
      </c>
      <c r="J1389">
        <v>20111216</v>
      </c>
    </row>
    <row r="1390" spans="1:10">
      <c r="A1390" t="s">
        <v>608</v>
      </c>
      <c r="B1390">
        <v>601339</v>
      </c>
      <c r="C1390" t="s">
        <v>609</v>
      </c>
      <c r="D1390" t="s">
        <v>423</v>
      </c>
      <c r="E1390" t="s">
        <v>33</v>
      </c>
      <c r="F1390" t="s">
        <v>610</v>
      </c>
      <c r="G1390" t="s">
        <v>152</v>
      </c>
      <c r="H1390" t="s">
        <v>174</v>
      </c>
      <c r="I1390" t="s">
        <v>154</v>
      </c>
      <c r="J1390">
        <v>20120612</v>
      </c>
    </row>
    <row r="1391" spans="1:10">
      <c r="A1391" t="s">
        <v>5952</v>
      </c>
      <c r="B1391">
        <v>601360</v>
      </c>
      <c r="C1391" t="s">
        <v>5953</v>
      </c>
      <c r="D1391" t="s">
        <v>576</v>
      </c>
      <c r="E1391" t="s">
        <v>116</v>
      </c>
      <c r="F1391" t="s">
        <v>5954</v>
      </c>
      <c r="G1391" t="s">
        <v>152</v>
      </c>
      <c r="H1391" t="s">
        <v>174</v>
      </c>
      <c r="I1391" t="s">
        <v>154</v>
      </c>
      <c r="J1391">
        <v>20120116</v>
      </c>
    </row>
    <row r="1392" spans="1:10">
      <c r="A1392" t="s">
        <v>4581</v>
      </c>
      <c r="B1392">
        <v>601366</v>
      </c>
      <c r="C1392" t="s">
        <v>4582</v>
      </c>
      <c r="D1392" t="s">
        <v>198</v>
      </c>
      <c r="E1392" t="s">
        <v>22</v>
      </c>
      <c r="F1392" t="s">
        <v>4583</v>
      </c>
      <c r="G1392" t="s">
        <v>152</v>
      </c>
      <c r="H1392" t="s">
        <v>174</v>
      </c>
      <c r="I1392" t="s">
        <v>154</v>
      </c>
      <c r="J1392">
        <v>20170412</v>
      </c>
    </row>
    <row r="1393" spans="1:10">
      <c r="A1393" t="s">
        <v>3667</v>
      </c>
      <c r="B1393">
        <v>601368</v>
      </c>
      <c r="C1393" t="s">
        <v>3668</v>
      </c>
      <c r="D1393" t="s">
        <v>345</v>
      </c>
      <c r="E1393" t="s">
        <v>96</v>
      </c>
      <c r="F1393" t="s">
        <v>3669</v>
      </c>
      <c r="G1393" t="s">
        <v>152</v>
      </c>
      <c r="H1393" t="s">
        <v>174</v>
      </c>
      <c r="I1393" t="s">
        <v>154</v>
      </c>
      <c r="J1393">
        <v>20150612</v>
      </c>
    </row>
    <row r="1394" spans="1:10">
      <c r="A1394" t="s">
        <v>5613</v>
      </c>
      <c r="B1394">
        <v>601369</v>
      </c>
      <c r="C1394" t="s">
        <v>5614</v>
      </c>
      <c r="D1394" t="s">
        <v>419</v>
      </c>
      <c r="E1394" t="s">
        <v>135</v>
      </c>
      <c r="F1394" t="s">
        <v>5615</v>
      </c>
      <c r="G1394" t="s">
        <v>152</v>
      </c>
      <c r="H1394" t="s">
        <v>174</v>
      </c>
      <c r="I1394" t="s">
        <v>154</v>
      </c>
      <c r="J1394">
        <v>20100428</v>
      </c>
    </row>
    <row r="1395" spans="1:10">
      <c r="A1395" t="s">
        <v>4953</v>
      </c>
      <c r="B1395">
        <v>601375</v>
      </c>
      <c r="C1395" t="s">
        <v>4954</v>
      </c>
      <c r="D1395" t="s">
        <v>292</v>
      </c>
      <c r="E1395" t="s">
        <v>87</v>
      </c>
      <c r="F1395" t="s">
        <v>4955</v>
      </c>
      <c r="G1395" t="s">
        <v>152</v>
      </c>
      <c r="H1395" t="s">
        <v>174</v>
      </c>
      <c r="I1395" t="s">
        <v>154</v>
      </c>
      <c r="J1395">
        <v>20170103</v>
      </c>
    </row>
    <row r="1396" spans="1:10">
      <c r="A1396" t="s">
        <v>4956</v>
      </c>
      <c r="B1396">
        <v>601377</v>
      </c>
      <c r="C1396" t="s">
        <v>4957</v>
      </c>
      <c r="D1396" t="s">
        <v>150</v>
      </c>
      <c r="E1396" t="s">
        <v>87</v>
      </c>
      <c r="F1396" t="s">
        <v>4958</v>
      </c>
      <c r="G1396" t="s">
        <v>152</v>
      </c>
      <c r="H1396" t="s">
        <v>174</v>
      </c>
      <c r="I1396" t="s">
        <v>154</v>
      </c>
      <c r="J1396">
        <v>20101013</v>
      </c>
    </row>
    <row r="1397" spans="1:10">
      <c r="A1397" t="s">
        <v>1153</v>
      </c>
      <c r="B1397">
        <v>601388</v>
      </c>
      <c r="C1397" t="s">
        <v>1154</v>
      </c>
      <c r="D1397" t="s">
        <v>212</v>
      </c>
      <c r="E1397" t="s">
        <v>16</v>
      </c>
      <c r="F1397" t="s">
        <v>1155</v>
      </c>
      <c r="G1397" t="s">
        <v>152</v>
      </c>
      <c r="H1397" t="s">
        <v>174</v>
      </c>
      <c r="I1397" t="s">
        <v>154</v>
      </c>
      <c r="J1397">
        <v>20120423</v>
      </c>
    </row>
    <row r="1398" spans="1:10">
      <c r="A1398" t="s">
        <v>5301</v>
      </c>
      <c r="B1398">
        <v>601390</v>
      </c>
      <c r="C1398" t="s">
        <v>5302</v>
      </c>
      <c r="D1398" t="s">
        <v>164</v>
      </c>
      <c r="E1398" t="s">
        <v>121</v>
      </c>
      <c r="F1398" t="s">
        <v>5303</v>
      </c>
      <c r="G1398" t="s">
        <v>152</v>
      </c>
      <c r="H1398" t="s">
        <v>174</v>
      </c>
      <c r="I1398" t="s">
        <v>154</v>
      </c>
      <c r="J1398">
        <v>20071203</v>
      </c>
    </row>
    <row r="1399" spans="1:10">
      <c r="A1399" t="s">
        <v>4734</v>
      </c>
      <c r="B1399">
        <v>601398</v>
      </c>
      <c r="C1399" t="s">
        <v>4735</v>
      </c>
      <c r="D1399" t="s">
        <v>164</v>
      </c>
      <c r="E1399" t="s">
        <v>62</v>
      </c>
      <c r="F1399" t="s">
        <v>4736</v>
      </c>
      <c r="G1399" t="s">
        <v>152</v>
      </c>
      <c r="H1399" t="s">
        <v>174</v>
      </c>
      <c r="I1399" t="s">
        <v>154</v>
      </c>
      <c r="J1399">
        <v>20061027</v>
      </c>
    </row>
    <row r="1400" spans="1:10">
      <c r="A1400" t="s">
        <v>5616</v>
      </c>
      <c r="B1400">
        <v>601399</v>
      </c>
      <c r="C1400" t="s">
        <v>5617</v>
      </c>
      <c r="D1400" t="s">
        <v>219</v>
      </c>
      <c r="E1400" t="s">
        <v>104</v>
      </c>
      <c r="F1400" t="s">
        <v>5618</v>
      </c>
      <c r="G1400" t="s">
        <v>152</v>
      </c>
      <c r="H1400" t="s">
        <v>174</v>
      </c>
      <c r="I1400" t="s">
        <v>154</v>
      </c>
      <c r="J1400">
        <v>20200608</v>
      </c>
    </row>
    <row r="1401" spans="1:10">
      <c r="A1401" t="s">
        <v>4959</v>
      </c>
      <c r="B1401">
        <v>601456</v>
      </c>
      <c r="C1401" t="s">
        <v>4960</v>
      </c>
      <c r="D1401" t="s">
        <v>212</v>
      </c>
      <c r="E1401" t="s">
        <v>87</v>
      </c>
      <c r="F1401" t="s">
        <v>4961</v>
      </c>
      <c r="G1401" t="s">
        <v>152</v>
      </c>
      <c r="H1401" t="s">
        <v>174</v>
      </c>
      <c r="I1401" t="s">
        <v>154</v>
      </c>
      <c r="J1401">
        <v>20200731</v>
      </c>
    </row>
    <row r="1402" spans="1:10">
      <c r="A1402" t="s">
        <v>1996</v>
      </c>
      <c r="B1402">
        <v>601500</v>
      </c>
      <c r="C1402" t="s">
        <v>1997</v>
      </c>
      <c r="D1402" t="s">
        <v>212</v>
      </c>
      <c r="E1402" t="s">
        <v>28</v>
      </c>
      <c r="F1402" t="s">
        <v>1998</v>
      </c>
      <c r="G1402" t="s">
        <v>152</v>
      </c>
      <c r="H1402" t="s">
        <v>174</v>
      </c>
      <c r="I1402" t="s">
        <v>154</v>
      </c>
      <c r="J1402">
        <v>20160919</v>
      </c>
    </row>
    <row r="1403" spans="1:10">
      <c r="A1403" t="s">
        <v>4407</v>
      </c>
      <c r="B1403">
        <v>601512</v>
      </c>
      <c r="C1403" t="s">
        <v>4408</v>
      </c>
      <c r="D1403" t="s">
        <v>212</v>
      </c>
      <c r="E1403" t="s">
        <v>93</v>
      </c>
      <c r="F1403" t="s">
        <v>4409</v>
      </c>
      <c r="G1403" t="s">
        <v>152</v>
      </c>
      <c r="H1403" t="s">
        <v>174</v>
      </c>
      <c r="I1403" t="s">
        <v>154</v>
      </c>
      <c r="J1403">
        <v>20191220</v>
      </c>
    </row>
    <row r="1404" spans="1:10">
      <c r="A1404" t="s">
        <v>2794</v>
      </c>
      <c r="B1404">
        <v>601515</v>
      </c>
      <c r="C1404" t="s">
        <v>2795</v>
      </c>
      <c r="D1404" t="s">
        <v>223</v>
      </c>
      <c r="E1404" t="s">
        <v>37</v>
      </c>
      <c r="F1404" t="s">
        <v>2796</v>
      </c>
      <c r="G1404" t="s">
        <v>152</v>
      </c>
      <c r="H1404" t="s">
        <v>174</v>
      </c>
      <c r="I1404" t="s">
        <v>154</v>
      </c>
      <c r="J1404">
        <v>20120216</v>
      </c>
    </row>
    <row r="1405" spans="1:10">
      <c r="A1405" t="s">
        <v>4024</v>
      </c>
      <c r="B1405">
        <v>601518</v>
      </c>
      <c r="C1405" t="s">
        <v>4025</v>
      </c>
      <c r="D1405" t="s">
        <v>312</v>
      </c>
      <c r="E1405" t="s">
        <v>98</v>
      </c>
      <c r="F1405" t="s">
        <v>4026</v>
      </c>
      <c r="G1405" t="s">
        <v>152</v>
      </c>
      <c r="H1405" t="s">
        <v>174</v>
      </c>
      <c r="I1405" t="s">
        <v>154</v>
      </c>
      <c r="J1405">
        <v>20100319</v>
      </c>
    </row>
    <row r="1406" spans="1:10">
      <c r="A1406" t="s">
        <v>5955</v>
      </c>
      <c r="B1406">
        <v>601519</v>
      </c>
      <c r="C1406" t="s">
        <v>5956</v>
      </c>
      <c r="D1406" t="s">
        <v>172</v>
      </c>
      <c r="E1406" t="s">
        <v>123</v>
      </c>
      <c r="F1406" t="s">
        <v>5957</v>
      </c>
      <c r="G1406" t="s">
        <v>152</v>
      </c>
      <c r="H1406" t="s">
        <v>174</v>
      </c>
      <c r="I1406" t="s">
        <v>154</v>
      </c>
      <c r="J1406">
        <v>20110128</v>
      </c>
    </row>
    <row r="1407" spans="1:10">
      <c r="A1407" t="s">
        <v>4737</v>
      </c>
      <c r="B1407">
        <v>601528</v>
      </c>
      <c r="C1407" t="s">
        <v>4738</v>
      </c>
      <c r="D1407" t="s">
        <v>423</v>
      </c>
      <c r="E1407" t="s">
        <v>62</v>
      </c>
      <c r="F1407" t="s">
        <v>4739</v>
      </c>
      <c r="G1407" t="s">
        <v>152</v>
      </c>
      <c r="H1407" t="s">
        <v>174</v>
      </c>
      <c r="I1407" t="s">
        <v>154</v>
      </c>
      <c r="J1407">
        <v>20210625</v>
      </c>
    </row>
    <row r="1408" spans="1:10">
      <c r="A1408" t="s">
        <v>4962</v>
      </c>
      <c r="B1408">
        <v>601555</v>
      </c>
      <c r="C1408" t="s">
        <v>4963</v>
      </c>
      <c r="D1408" t="s">
        <v>212</v>
      </c>
      <c r="E1408" t="s">
        <v>87</v>
      </c>
      <c r="F1408" t="s">
        <v>4964</v>
      </c>
      <c r="G1408" t="s">
        <v>152</v>
      </c>
      <c r="H1408" t="s">
        <v>174</v>
      </c>
      <c r="I1408" t="s">
        <v>154</v>
      </c>
      <c r="J1408">
        <v>20111212</v>
      </c>
    </row>
    <row r="1409" spans="1:10">
      <c r="A1409" t="s">
        <v>2662</v>
      </c>
      <c r="B1409">
        <v>601566</v>
      </c>
      <c r="C1409" t="s">
        <v>2663</v>
      </c>
      <c r="D1409" t="s">
        <v>150</v>
      </c>
      <c r="E1409" t="s">
        <v>20</v>
      </c>
      <c r="F1409" t="s">
        <v>2664</v>
      </c>
      <c r="G1409" t="s">
        <v>152</v>
      </c>
      <c r="H1409" t="s">
        <v>174</v>
      </c>
      <c r="I1409" t="s">
        <v>154</v>
      </c>
      <c r="J1409">
        <v>20110530</v>
      </c>
    </row>
    <row r="1410" spans="1:10">
      <c r="A1410" t="s">
        <v>1522</v>
      </c>
      <c r="B1410">
        <v>601567</v>
      </c>
      <c r="C1410" t="s">
        <v>1523</v>
      </c>
      <c r="D1410" t="s">
        <v>423</v>
      </c>
      <c r="E1410" t="s">
        <v>27</v>
      </c>
      <c r="F1410" t="s">
        <v>1524</v>
      </c>
      <c r="G1410" t="s">
        <v>152</v>
      </c>
      <c r="H1410" t="s">
        <v>174</v>
      </c>
      <c r="I1410" t="s">
        <v>154</v>
      </c>
      <c r="J1410">
        <v>20110615</v>
      </c>
    </row>
    <row r="1411" spans="1:10">
      <c r="A1411" t="s">
        <v>611</v>
      </c>
      <c r="B1411">
        <v>601568</v>
      </c>
      <c r="C1411" t="s">
        <v>612</v>
      </c>
      <c r="D1411" t="s">
        <v>419</v>
      </c>
      <c r="E1411" t="s">
        <v>14</v>
      </c>
      <c r="F1411" t="s">
        <v>613</v>
      </c>
      <c r="G1411" t="s">
        <v>152</v>
      </c>
      <c r="H1411" t="s">
        <v>174</v>
      </c>
      <c r="I1411" t="s">
        <v>154</v>
      </c>
      <c r="J1411">
        <v>20201020</v>
      </c>
    </row>
    <row r="1412" spans="1:10">
      <c r="A1412" t="s">
        <v>4740</v>
      </c>
      <c r="B1412">
        <v>601577</v>
      </c>
      <c r="C1412" t="s">
        <v>4741</v>
      </c>
      <c r="D1412" t="s">
        <v>168</v>
      </c>
      <c r="E1412" t="s">
        <v>62</v>
      </c>
      <c r="F1412" t="s">
        <v>4742</v>
      </c>
      <c r="G1412" t="s">
        <v>152</v>
      </c>
      <c r="H1412" t="s">
        <v>174</v>
      </c>
      <c r="I1412" t="s">
        <v>154</v>
      </c>
      <c r="J1412">
        <v>20180926</v>
      </c>
    </row>
    <row r="1413" spans="1:10">
      <c r="A1413" t="s">
        <v>2500</v>
      </c>
      <c r="B1413">
        <v>601579</v>
      </c>
      <c r="C1413" t="s">
        <v>2501</v>
      </c>
      <c r="D1413" t="s">
        <v>423</v>
      </c>
      <c r="E1413" t="s">
        <v>44</v>
      </c>
      <c r="F1413" t="s">
        <v>2502</v>
      </c>
      <c r="G1413" t="s">
        <v>152</v>
      </c>
      <c r="H1413" t="s">
        <v>174</v>
      </c>
      <c r="I1413" t="s">
        <v>154</v>
      </c>
      <c r="J1413">
        <v>20140825</v>
      </c>
    </row>
    <row r="1414" spans="1:10">
      <c r="A1414" t="s">
        <v>4410</v>
      </c>
      <c r="B1414">
        <v>601588</v>
      </c>
      <c r="C1414" t="s">
        <v>4411</v>
      </c>
      <c r="D1414" t="s">
        <v>164</v>
      </c>
      <c r="E1414" t="s">
        <v>79</v>
      </c>
      <c r="F1414" t="s">
        <v>4412</v>
      </c>
      <c r="G1414" t="s">
        <v>152</v>
      </c>
      <c r="H1414" t="s">
        <v>174</v>
      </c>
      <c r="I1414" t="s">
        <v>154</v>
      </c>
      <c r="J1414">
        <v>20061016</v>
      </c>
    </row>
    <row r="1415" spans="1:10">
      <c r="A1415" t="s">
        <v>6090</v>
      </c>
      <c r="B1415">
        <v>601595</v>
      </c>
      <c r="C1415" t="s">
        <v>6091</v>
      </c>
      <c r="D1415" t="s">
        <v>172</v>
      </c>
      <c r="E1415" t="s">
        <v>124</v>
      </c>
      <c r="F1415" t="s">
        <v>6092</v>
      </c>
      <c r="G1415" t="s">
        <v>152</v>
      </c>
      <c r="H1415" t="s">
        <v>174</v>
      </c>
      <c r="I1415" t="s">
        <v>154</v>
      </c>
      <c r="J1415">
        <v>20160817</v>
      </c>
    </row>
    <row r="1416" spans="1:10">
      <c r="A1416" t="s">
        <v>4027</v>
      </c>
      <c r="B1416">
        <v>601598</v>
      </c>
      <c r="C1416" t="s">
        <v>4028</v>
      </c>
      <c r="D1416" t="s">
        <v>164</v>
      </c>
      <c r="E1416" t="s">
        <v>50</v>
      </c>
      <c r="F1416" t="s">
        <v>4029</v>
      </c>
      <c r="G1416" t="s">
        <v>152</v>
      </c>
      <c r="H1416" t="s">
        <v>174</v>
      </c>
      <c r="I1416" t="s">
        <v>154</v>
      </c>
      <c r="J1416">
        <v>20190118</v>
      </c>
    </row>
    <row r="1417" spans="1:10">
      <c r="A1417" t="s">
        <v>614</v>
      </c>
      <c r="B1417">
        <v>601599</v>
      </c>
      <c r="C1417" t="s">
        <v>615</v>
      </c>
      <c r="D1417" t="s">
        <v>423</v>
      </c>
      <c r="E1417" t="s">
        <v>33</v>
      </c>
      <c r="F1417" t="s">
        <v>616</v>
      </c>
      <c r="G1417" t="s">
        <v>152</v>
      </c>
      <c r="H1417" t="s">
        <v>174</v>
      </c>
      <c r="I1417" t="s">
        <v>154</v>
      </c>
      <c r="J1417">
        <v>20110527</v>
      </c>
    </row>
    <row r="1418" spans="1:10">
      <c r="A1418" t="s">
        <v>1156</v>
      </c>
      <c r="B1418">
        <v>601600</v>
      </c>
      <c r="C1418" t="s">
        <v>1157</v>
      </c>
      <c r="D1418" t="s">
        <v>164</v>
      </c>
      <c r="E1418" t="s">
        <v>16</v>
      </c>
      <c r="F1418" t="s">
        <v>1158</v>
      </c>
      <c r="G1418" t="s">
        <v>152</v>
      </c>
      <c r="H1418" t="s">
        <v>174</v>
      </c>
      <c r="I1418" t="s">
        <v>154</v>
      </c>
      <c r="J1418">
        <v>20070430</v>
      </c>
    </row>
    <row r="1419" spans="1:10">
      <c r="A1419" t="s">
        <v>4965</v>
      </c>
      <c r="B1419">
        <v>601601</v>
      </c>
      <c r="C1419" t="s">
        <v>4966</v>
      </c>
      <c r="D1419" t="s">
        <v>172</v>
      </c>
      <c r="E1419" t="s">
        <v>38</v>
      </c>
      <c r="F1419" t="s">
        <v>4967</v>
      </c>
      <c r="G1419" t="s">
        <v>152</v>
      </c>
      <c r="H1419" t="s">
        <v>174</v>
      </c>
      <c r="I1419" t="s">
        <v>154</v>
      </c>
      <c r="J1419">
        <v>20071225</v>
      </c>
    </row>
    <row r="1420" spans="1:10">
      <c r="A1420" t="s">
        <v>5619</v>
      </c>
      <c r="B1420">
        <v>601606</v>
      </c>
      <c r="C1420" t="s">
        <v>5620</v>
      </c>
      <c r="D1420" t="s">
        <v>160</v>
      </c>
      <c r="E1420" t="s">
        <v>122</v>
      </c>
      <c r="F1420" t="s">
        <v>5621</v>
      </c>
      <c r="G1420" t="s">
        <v>152</v>
      </c>
      <c r="H1420" t="s">
        <v>174</v>
      </c>
      <c r="I1420" t="s">
        <v>154</v>
      </c>
      <c r="J1420">
        <v>20180806</v>
      </c>
    </row>
    <row r="1421" spans="1:10">
      <c r="A1421" t="s">
        <v>3262</v>
      </c>
      <c r="B1421">
        <v>601607</v>
      </c>
      <c r="C1421" t="s">
        <v>3263</v>
      </c>
      <c r="D1421" t="s">
        <v>172</v>
      </c>
      <c r="E1421" t="s">
        <v>95</v>
      </c>
      <c r="F1421" t="s">
        <v>3264</v>
      </c>
      <c r="G1421" t="s">
        <v>152</v>
      </c>
      <c r="H1421" t="s">
        <v>174</v>
      </c>
      <c r="I1421" t="s">
        <v>154</v>
      </c>
      <c r="J1421">
        <v>19940324</v>
      </c>
    </row>
    <row r="1422" spans="1:10">
      <c r="A1422" t="s">
        <v>5622</v>
      </c>
      <c r="B1422">
        <v>601608</v>
      </c>
      <c r="C1422" t="s">
        <v>5623</v>
      </c>
      <c r="D1422" t="s">
        <v>292</v>
      </c>
      <c r="E1422" t="s">
        <v>122</v>
      </c>
      <c r="F1422" t="s">
        <v>5624</v>
      </c>
      <c r="G1422" t="s">
        <v>152</v>
      </c>
      <c r="H1422" t="s">
        <v>174</v>
      </c>
      <c r="I1422" t="s">
        <v>154</v>
      </c>
      <c r="J1422">
        <v>20120706</v>
      </c>
    </row>
    <row r="1423" spans="1:10">
      <c r="A1423" t="s">
        <v>1159</v>
      </c>
      <c r="B1423">
        <v>601609</v>
      </c>
      <c r="C1423" t="s">
        <v>1160</v>
      </c>
      <c r="D1423" t="s">
        <v>423</v>
      </c>
      <c r="E1423" t="s">
        <v>26</v>
      </c>
      <c r="F1423" t="s">
        <v>1161</v>
      </c>
      <c r="G1423" t="s">
        <v>152</v>
      </c>
      <c r="H1423" t="s">
        <v>174</v>
      </c>
      <c r="I1423" t="s">
        <v>154</v>
      </c>
      <c r="J1423">
        <v>20200422</v>
      </c>
    </row>
    <row r="1424" spans="1:10">
      <c r="A1424" t="s">
        <v>5304</v>
      </c>
      <c r="B1424">
        <v>601611</v>
      </c>
      <c r="C1424" t="s">
        <v>5305</v>
      </c>
      <c r="D1424" t="s">
        <v>172</v>
      </c>
      <c r="E1424" t="s">
        <v>121</v>
      </c>
      <c r="F1424" t="s">
        <v>5306</v>
      </c>
      <c r="G1424" t="s">
        <v>152</v>
      </c>
      <c r="H1424" t="s">
        <v>174</v>
      </c>
      <c r="I1424" t="s">
        <v>154</v>
      </c>
      <c r="J1424">
        <v>20160606</v>
      </c>
    </row>
    <row r="1425" spans="1:10">
      <c r="A1425" t="s">
        <v>1525</v>
      </c>
      <c r="B1425">
        <v>601615</v>
      </c>
      <c r="C1425" t="s">
        <v>1526</v>
      </c>
      <c r="D1425" t="s">
        <v>223</v>
      </c>
      <c r="E1425" t="s">
        <v>17</v>
      </c>
      <c r="F1425" t="s">
        <v>1527</v>
      </c>
      <c r="G1425" t="s">
        <v>152</v>
      </c>
      <c r="H1425" t="s">
        <v>174</v>
      </c>
      <c r="I1425" t="s">
        <v>154</v>
      </c>
      <c r="J1425">
        <v>20190123</v>
      </c>
    </row>
    <row r="1426" spans="1:10">
      <c r="A1426" t="s">
        <v>1528</v>
      </c>
      <c r="B1426">
        <v>601616</v>
      </c>
      <c r="C1426" t="s">
        <v>1529</v>
      </c>
      <c r="D1426" t="s">
        <v>172</v>
      </c>
      <c r="E1426" t="s">
        <v>17</v>
      </c>
      <c r="F1426" t="s">
        <v>1530</v>
      </c>
      <c r="G1426" t="s">
        <v>152</v>
      </c>
      <c r="H1426" t="s">
        <v>174</v>
      </c>
      <c r="I1426" t="s">
        <v>154</v>
      </c>
      <c r="J1426">
        <v>20110201</v>
      </c>
    </row>
    <row r="1427" spans="1:10">
      <c r="A1427" t="s">
        <v>5307</v>
      </c>
      <c r="B1427">
        <v>601618</v>
      </c>
      <c r="C1427" t="s">
        <v>5308</v>
      </c>
      <c r="D1427" t="s">
        <v>164</v>
      </c>
      <c r="E1427" t="s">
        <v>121</v>
      </c>
      <c r="F1427" t="s">
        <v>5309</v>
      </c>
      <c r="G1427" t="s">
        <v>152</v>
      </c>
      <c r="H1427" t="s">
        <v>174</v>
      </c>
      <c r="I1427" t="s">
        <v>154</v>
      </c>
      <c r="J1427">
        <v>20090921</v>
      </c>
    </row>
    <row r="1428" spans="1:10">
      <c r="A1428" t="s">
        <v>3670</v>
      </c>
      <c r="B1428">
        <v>601619</v>
      </c>
      <c r="C1428" t="s">
        <v>3671</v>
      </c>
      <c r="D1428" t="s">
        <v>332</v>
      </c>
      <c r="E1428" t="s">
        <v>82</v>
      </c>
      <c r="F1428" t="s">
        <v>3672</v>
      </c>
      <c r="G1428" t="s">
        <v>152</v>
      </c>
      <c r="H1428" t="s">
        <v>174</v>
      </c>
      <c r="I1428" t="s">
        <v>154</v>
      </c>
      <c r="J1428">
        <v>20170720</v>
      </c>
    </row>
    <row r="1429" spans="1:10">
      <c r="A1429" t="s">
        <v>4968</v>
      </c>
      <c r="B1429">
        <v>601628</v>
      </c>
      <c r="C1429" t="s">
        <v>4969</v>
      </c>
      <c r="D1429" t="s">
        <v>164</v>
      </c>
      <c r="E1429" t="s">
        <v>38</v>
      </c>
      <c r="F1429" t="s">
        <v>4970</v>
      </c>
      <c r="G1429" t="s">
        <v>152</v>
      </c>
      <c r="H1429" t="s">
        <v>174</v>
      </c>
      <c r="I1429" t="s">
        <v>154</v>
      </c>
      <c r="J1429">
        <v>20070109</v>
      </c>
    </row>
    <row r="1430" spans="1:10">
      <c r="A1430" t="s">
        <v>1999</v>
      </c>
      <c r="B1430">
        <v>601633</v>
      </c>
      <c r="C1430" t="s">
        <v>2000</v>
      </c>
      <c r="D1430" t="s">
        <v>279</v>
      </c>
      <c r="E1430" t="s">
        <v>36</v>
      </c>
      <c r="F1430" t="s">
        <v>2001</v>
      </c>
      <c r="G1430" t="s">
        <v>152</v>
      </c>
      <c r="H1430" t="s">
        <v>174</v>
      </c>
      <c r="I1430" t="s">
        <v>154</v>
      </c>
      <c r="J1430">
        <v>20110928</v>
      </c>
    </row>
    <row r="1431" spans="1:10">
      <c r="A1431" t="s">
        <v>5148</v>
      </c>
      <c r="B1431">
        <v>601636</v>
      </c>
      <c r="C1431" t="s">
        <v>5149</v>
      </c>
      <c r="D1431" t="s">
        <v>168</v>
      </c>
      <c r="E1431" t="s">
        <v>45</v>
      </c>
      <c r="F1431" t="s">
        <v>5150</v>
      </c>
      <c r="G1431" t="s">
        <v>152</v>
      </c>
      <c r="H1431" t="s">
        <v>174</v>
      </c>
      <c r="I1431" t="s">
        <v>154</v>
      </c>
      <c r="J1431">
        <v>20110812</v>
      </c>
    </row>
    <row r="1432" spans="1:10">
      <c r="A1432" t="s">
        <v>4743</v>
      </c>
      <c r="B1432">
        <v>601658</v>
      </c>
      <c r="C1432" t="s">
        <v>4744</v>
      </c>
      <c r="D1432" t="s">
        <v>164</v>
      </c>
      <c r="E1432" t="s">
        <v>62</v>
      </c>
      <c r="F1432" t="s">
        <v>4745</v>
      </c>
      <c r="G1432" t="s">
        <v>152</v>
      </c>
      <c r="H1432" t="s">
        <v>174</v>
      </c>
      <c r="I1432" t="s">
        <v>154</v>
      </c>
      <c r="J1432">
        <v>20191210</v>
      </c>
    </row>
    <row r="1433" spans="1:10">
      <c r="A1433" t="s">
        <v>4746</v>
      </c>
      <c r="B1433">
        <v>601665</v>
      </c>
      <c r="C1433" t="s">
        <v>4747</v>
      </c>
      <c r="D1433" t="s">
        <v>198</v>
      </c>
      <c r="E1433" t="s">
        <v>62</v>
      </c>
      <c r="F1433" t="s">
        <v>4748</v>
      </c>
      <c r="G1433" t="s">
        <v>152</v>
      </c>
      <c r="H1433" t="s">
        <v>174</v>
      </c>
      <c r="I1433" t="s">
        <v>154</v>
      </c>
      <c r="J1433">
        <v>20210618</v>
      </c>
    </row>
    <row r="1434" spans="1:10">
      <c r="A1434" t="s">
        <v>6438</v>
      </c>
      <c r="B1434">
        <v>601666</v>
      </c>
      <c r="C1434" t="s">
        <v>6439</v>
      </c>
      <c r="D1434" t="s">
        <v>292</v>
      </c>
      <c r="E1434" t="s">
        <v>126</v>
      </c>
      <c r="F1434" t="s">
        <v>6440</v>
      </c>
      <c r="G1434" t="s">
        <v>152</v>
      </c>
      <c r="H1434" t="s">
        <v>174</v>
      </c>
      <c r="I1434" t="s">
        <v>154</v>
      </c>
      <c r="J1434">
        <v>20061123</v>
      </c>
    </row>
    <row r="1435" spans="1:10">
      <c r="A1435" t="s">
        <v>5310</v>
      </c>
      <c r="B1435">
        <v>601668</v>
      </c>
      <c r="C1435" t="s">
        <v>5311</v>
      </c>
      <c r="D1435" t="s">
        <v>164</v>
      </c>
      <c r="E1435" t="s">
        <v>121</v>
      </c>
      <c r="F1435" t="s">
        <v>5312</v>
      </c>
      <c r="G1435" t="s">
        <v>152</v>
      </c>
      <c r="H1435" t="s">
        <v>174</v>
      </c>
      <c r="I1435" t="s">
        <v>154</v>
      </c>
      <c r="J1435">
        <v>20090729</v>
      </c>
    </row>
    <row r="1436" spans="1:10">
      <c r="A1436" t="s">
        <v>5313</v>
      </c>
      <c r="B1436">
        <v>601669</v>
      </c>
      <c r="C1436" t="s">
        <v>5314</v>
      </c>
      <c r="D1436" t="s">
        <v>164</v>
      </c>
      <c r="E1436" t="s">
        <v>121</v>
      </c>
      <c r="F1436" t="s">
        <v>5315</v>
      </c>
      <c r="G1436" t="s">
        <v>152</v>
      </c>
      <c r="H1436" t="s">
        <v>174</v>
      </c>
      <c r="I1436" t="s">
        <v>154</v>
      </c>
      <c r="J1436">
        <v>20111018</v>
      </c>
    </row>
    <row r="1437" spans="1:10">
      <c r="A1437" t="s">
        <v>1162</v>
      </c>
      <c r="B1437">
        <v>601677</v>
      </c>
      <c r="C1437" t="s">
        <v>1163</v>
      </c>
      <c r="D1437" t="s">
        <v>292</v>
      </c>
      <c r="E1437" t="s">
        <v>16</v>
      </c>
      <c r="F1437" t="s">
        <v>1164</v>
      </c>
      <c r="G1437" t="s">
        <v>152</v>
      </c>
      <c r="H1437" t="s">
        <v>174</v>
      </c>
      <c r="I1437" t="s">
        <v>154</v>
      </c>
      <c r="J1437">
        <v>20110919</v>
      </c>
    </row>
    <row r="1438" spans="1:10">
      <c r="A1438" t="s">
        <v>617</v>
      </c>
      <c r="B1438">
        <v>601678</v>
      </c>
      <c r="C1438" t="s">
        <v>618</v>
      </c>
      <c r="D1438" t="s">
        <v>198</v>
      </c>
      <c r="E1438" t="s">
        <v>14</v>
      </c>
      <c r="F1438" t="s">
        <v>619</v>
      </c>
      <c r="G1438" t="s">
        <v>152</v>
      </c>
      <c r="H1438" t="s">
        <v>174</v>
      </c>
      <c r="I1438" t="s">
        <v>154</v>
      </c>
      <c r="J1438">
        <v>20100223</v>
      </c>
    </row>
    <row r="1439" spans="1:10">
      <c r="A1439" t="s">
        <v>939</v>
      </c>
      <c r="B1439">
        <v>601686</v>
      </c>
      <c r="C1439" t="s">
        <v>940</v>
      </c>
      <c r="D1439" t="s">
        <v>576</v>
      </c>
      <c r="E1439" t="s">
        <v>34</v>
      </c>
      <c r="F1439" t="s">
        <v>941</v>
      </c>
      <c r="G1439" t="s">
        <v>152</v>
      </c>
      <c r="H1439" t="s">
        <v>174</v>
      </c>
      <c r="I1439" t="s">
        <v>154</v>
      </c>
      <c r="J1439">
        <v>20201204</v>
      </c>
    </row>
    <row r="1440" spans="1:10">
      <c r="A1440" t="s">
        <v>4971</v>
      </c>
      <c r="B1440">
        <v>601688</v>
      </c>
      <c r="C1440" t="s">
        <v>4972</v>
      </c>
      <c r="D1440" t="s">
        <v>212</v>
      </c>
      <c r="E1440" t="s">
        <v>87</v>
      </c>
      <c r="F1440" t="s">
        <v>4973</v>
      </c>
      <c r="G1440" t="s">
        <v>152</v>
      </c>
      <c r="H1440" t="s">
        <v>174</v>
      </c>
      <c r="I1440" t="s">
        <v>154</v>
      </c>
      <c r="J1440">
        <v>20100226</v>
      </c>
    </row>
    <row r="1441" spans="1:10">
      <c r="A1441" t="s">
        <v>2002</v>
      </c>
      <c r="B1441">
        <v>601689</v>
      </c>
      <c r="C1441" t="s">
        <v>2003</v>
      </c>
      <c r="D1441" t="s">
        <v>423</v>
      </c>
      <c r="E1441" t="s">
        <v>28</v>
      </c>
      <c r="F1441" t="s">
        <v>2004</v>
      </c>
      <c r="G1441" t="s">
        <v>152</v>
      </c>
      <c r="H1441" t="s">
        <v>174</v>
      </c>
      <c r="I1441" t="s">
        <v>154</v>
      </c>
      <c r="J1441">
        <v>20150319</v>
      </c>
    </row>
    <row r="1442" spans="1:10">
      <c r="A1442" t="s">
        <v>4974</v>
      </c>
      <c r="B1442">
        <v>601696</v>
      </c>
      <c r="C1442" t="s">
        <v>4975</v>
      </c>
      <c r="D1442" t="s">
        <v>172</v>
      </c>
      <c r="E1442" t="s">
        <v>87</v>
      </c>
      <c r="F1442" t="s">
        <v>4976</v>
      </c>
      <c r="G1442" t="s">
        <v>152</v>
      </c>
      <c r="H1442" t="s">
        <v>174</v>
      </c>
      <c r="I1442" t="s">
        <v>154</v>
      </c>
      <c r="J1442">
        <v>20200226</v>
      </c>
    </row>
    <row r="1443" spans="1:10">
      <c r="A1443" t="s">
        <v>6300</v>
      </c>
      <c r="B1443">
        <v>601698</v>
      </c>
      <c r="C1443" t="s">
        <v>6301</v>
      </c>
      <c r="D1443" t="s">
        <v>164</v>
      </c>
      <c r="E1443" t="s">
        <v>89</v>
      </c>
      <c r="F1443" t="s">
        <v>6302</v>
      </c>
      <c r="G1443" t="s">
        <v>152</v>
      </c>
      <c r="H1443" t="s">
        <v>174</v>
      </c>
      <c r="I1443" t="s">
        <v>154</v>
      </c>
      <c r="J1443">
        <v>20190628</v>
      </c>
    </row>
    <row r="1444" spans="1:10">
      <c r="A1444" t="s">
        <v>6441</v>
      </c>
      <c r="B1444">
        <v>601699</v>
      </c>
      <c r="C1444" t="s">
        <v>6442</v>
      </c>
      <c r="D1444" t="s">
        <v>557</v>
      </c>
      <c r="E1444" t="s">
        <v>126</v>
      </c>
      <c r="F1444" t="s">
        <v>6443</v>
      </c>
      <c r="G1444" t="s">
        <v>152</v>
      </c>
      <c r="H1444" t="s">
        <v>174</v>
      </c>
      <c r="I1444" t="s">
        <v>154</v>
      </c>
      <c r="J1444">
        <v>20060922</v>
      </c>
    </row>
    <row r="1445" spans="1:10">
      <c r="A1445" t="s">
        <v>1531</v>
      </c>
      <c r="B1445">
        <v>601700</v>
      </c>
      <c r="C1445" t="s">
        <v>1532</v>
      </c>
      <c r="D1445" t="s">
        <v>212</v>
      </c>
      <c r="E1445" t="s">
        <v>17</v>
      </c>
      <c r="F1445" t="s">
        <v>1533</v>
      </c>
      <c r="G1445" t="s">
        <v>152</v>
      </c>
      <c r="H1445" t="s">
        <v>174</v>
      </c>
      <c r="I1445" t="s">
        <v>154</v>
      </c>
      <c r="J1445">
        <v>20110118</v>
      </c>
    </row>
    <row r="1446" spans="1:10">
      <c r="A1446" t="s">
        <v>1165</v>
      </c>
      <c r="B1446">
        <v>601702</v>
      </c>
      <c r="C1446" t="s">
        <v>1166</v>
      </c>
      <c r="D1446" t="s">
        <v>172</v>
      </c>
      <c r="E1446" t="s">
        <v>16</v>
      </c>
      <c r="F1446" t="s">
        <v>1167</v>
      </c>
      <c r="G1446" t="s">
        <v>152</v>
      </c>
      <c r="H1446" t="s">
        <v>174</v>
      </c>
      <c r="I1446" t="s">
        <v>154</v>
      </c>
      <c r="J1446">
        <v>20200907</v>
      </c>
    </row>
    <row r="1447" spans="1:10">
      <c r="A1447" t="s">
        <v>2005</v>
      </c>
      <c r="B1447">
        <v>601717</v>
      </c>
      <c r="C1447" t="s">
        <v>2006</v>
      </c>
      <c r="D1447" t="s">
        <v>292</v>
      </c>
      <c r="E1447" t="s">
        <v>28</v>
      </c>
      <c r="F1447" t="s">
        <v>2007</v>
      </c>
      <c r="G1447" t="s">
        <v>152</v>
      </c>
      <c r="H1447" t="s">
        <v>174</v>
      </c>
      <c r="I1447" t="s">
        <v>154</v>
      </c>
      <c r="J1447">
        <v>20100803</v>
      </c>
    </row>
    <row r="1448" spans="1:10">
      <c r="A1448" t="s">
        <v>2665</v>
      </c>
      <c r="B1448">
        <v>601718</v>
      </c>
      <c r="C1448" t="s">
        <v>2666</v>
      </c>
      <c r="D1448" t="s">
        <v>164</v>
      </c>
      <c r="E1448" t="s">
        <v>20</v>
      </c>
      <c r="F1448" t="s">
        <v>2667</v>
      </c>
      <c r="G1448" t="s">
        <v>152</v>
      </c>
      <c r="H1448" t="s">
        <v>174</v>
      </c>
      <c r="I1448" t="s">
        <v>154</v>
      </c>
      <c r="J1448">
        <v>20100816</v>
      </c>
    </row>
    <row r="1449" spans="1:10">
      <c r="A1449" t="s">
        <v>1534</v>
      </c>
      <c r="B1449">
        <v>601727</v>
      </c>
      <c r="C1449" t="s">
        <v>1535</v>
      </c>
      <c r="D1449" t="s">
        <v>172</v>
      </c>
      <c r="E1449" t="s">
        <v>17</v>
      </c>
      <c r="F1449" t="s">
        <v>1536</v>
      </c>
      <c r="G1449" t="s">
        <v>152</v>
      </c>
      <c r="H1449" t="s">
        <v>174</v>
      </c>
      <c r="I1449" t="s">
        <v>154</v>
      </c>
      <c r="J1449">
        <v>20081205</v>
      </c>
    </row>
    <row r="1450" spans="1:10">
      <c r="A1450" t="s">
        <v>6303</v>
      </c>
      <c r="B1450">
        <v>601728</v>
      </c>
      <c r="C1450" t="s">
        <v>6304</v>
      </c>
      <c r="D1450" t="s">
        <v>164</v>
      </c>
      <c r="E1450" t="s">
        <v>89</v>
      </c>
      <c r="F1450" t="s">
        <v>6305</v>
      </c>
      <c r="G1450" t="s">
        <v>152</v>
      </c>
      <c r="H1450" t="s">
        <v>174</v>
      </c>
      <c r="I1450" t="s">
        <v>154</v>
      </c>
      <c r="J1450">
        <v>20210820</v>
      </c>
    </row>
    <row r="1451" spans="1:10">
      <c r="A1451" t="s">
        <v>5625</v>
      </c>
      <c r="B1451">
        <v>601766</v>
      </c>
      <c r="C1451" t="s">
        <v>5626</v>
      </c>
      <c r="D1451" t="s">
        <v>164</v>
      </c>
      <c r="E1451" t="s">
        <v>128</v>
      </c>
      <c r="F1451" t="s">
        <v>5627</v>
      </c>
      <c r="G1451" t="s">
        <v>152</v>
      </c>
      <c r="H1451" t="s">
        <v>174</v>
      </c>
      <c r="I1451" t="s">
        <v>154</v>
      </c>
      <c r="J1451">
        <v>20080818</v>
      </c>
    </row>
    <row r="1452" spans="1:10">
      <c r="A1452" t="s">
        <v>2008</v>
      </c>
      <c r="B1452">
        <v>601777</v>
      </c>
      <c r="C1452" t="s">
        <v>2009</v>
      </c>
      <c r="D1452" t="s">
        <v>937</v>
      </c>
      <c r="E1452" t="s">
        <v>43</v>
      </c>
      <c r="F1452" t="s">
        <v>2010</v>
      </c>
      <c r="G1452" t="s">
        <v>152</v>
      </c>
      <c r="H1452" t="s">
        <v>174</v>
      </c>
      <c r="I1452" t="s">
        <v>154</v>
      </c>
      <c r="J1452">
        <v>20101125</v>
      </c>
    </row>
    <row r="1453" spans="1:10">
      <c r="A1453" t="s">
        <v>3673</v>
      </c>
      <c r="B1453">
        <v>601778</v>
      </c>
      <c r="C1453" t="s">
        <v>3674</v>
      </c>
      <c r="D1453" t="s">
        <v>406</v>
      </c>
      <c r="E1453" t="s">
        <v>82</v>
      </c>
      <c r="F1453" t="s">
        <v>3675</v>
      </c>
      <c r="G1453" t="s">
        <v>152</v>
      </c>
      <c r="H1453" t="s">
        <v>174</v>
      </c>
      <c r="I1453" t="s">
        <v>154</v>
      </c>
      <c r="J1453">
        <v>20200519</v>
      </c>
    </row>
    <row r="1454" spans="1:10">
      <c r="A1454" t="s">
        <v>4977</v>
      </c>
      <c r="B1454">
        <v>601788</v>
      </c>
      <c r="C1454" t="s">
        <v>4978</v>
      </c>
      <c r="D1454" t="s">
        <v>172</v>
      </c>
      <c r="E1454" t="s">
        <v>87</v>
      </c>
      <c r="F1454" t="s">
        <v>4979</v>
      </c>
      <c r="G1454" t="s">
        <v>152</v>
      </c>
      <c r="H1454" t="s">
        <v>174</v>
      </c>
      <c r="I1454" t="s">
        <v>154</v>
      </c>
      <c r="J1454">
        <v>20090818</v>
      </c>
    </row>
    <row r="1455" spans="1:10">
      <c r="A1455" t="s">
        <v>5316</v>
      </c>
      <c r="B1455">
        <v>601789</v>
      </c>
      <c r="C1455" t="s">
        <v>5317</v>
      </c>
      <c r="D1455" t="s">
        <v>423</v>
      </c>
      <c r="E1455" t="s">
        <v>121</v>
      </c>
      <c r="F1455" t="s">
        <v>5318</v>
      </c>
      <c r="G1455" t="s">
        <v>152</v>
      </c>
      <c r="H1455" t="s">
        <v>174</v>
      </c>
      <c r="I1455" t="s">
        <v>154</v>
      </c>
      <c r="J1455">
        <v>20110816</v>
      </c>
    </row>
    <row r="1456" spans="1:10">
      <c r="A1456" t="s">
        <v>5628</v>
      </c>
      <c r="B1456">
        <v>601798</v>
      </c>
      <c r="C1456" t="s">
        <v>5629</v>
      </c>
      <c r="D1456" t="s">
        <v>177</v>
      </c>
      <c r="E1456" t="s">
        <v>131</v>
      </c>
      <c r="F1456" t="s">
        <v>5630</v>
      </c>
      <c r="G1456" t="s">
        <v>152</v>
      </c>
      <c r="H1456" t="s">
        <v>174</v>
      </c>
      <c r="I1456" t="s">
        <v>154</v>
      </c>
      <c r="J1456">
        <v>20110622</v>
      </c>
    </row>
    <row r="1457" spans="1:10">
      <c r="A1457" t="s">
        <v>2011</v>
      </c>
      <c r="B1457">
        <v>601799</v>
      </c>
      <c r="C1457" t="s">
        <v>2012</v>
      </c>
      <c r="D1457" t="s">
        <v>212</v>
      </c>
      <c r="E1457" t="s">
        <v>28</v>
      </c>
      <c r="F1457" t="s">
        <v>2013</v>
      </c>
      <c r="G1457" t="s">
        <v>152</v>
      </c>
      <c r="H1457" t="s">
        <v>174</v>
      </c>
      <c r="I1457" t="s">
        <v>154</v>
      </c>
      <c r="J1457">
        <v>20110201</v>
      </c>
    </row>
    <row r="1458" spans="1:10">
      <c r="A1458" t="s">
        <v>5319</v>
      </c>
      <c r="B1458">
        <v>601800</v>
      </c>
      <c r="C1458" t="s">
        <v>5320</v>
      </c>
      <c r="D1458" t="s">
        <v>164</v>
      </c>
      <c r="E1458" t="s">
        <v>121</v>
      </c>
      <c r="F1458" t="s">
        <v>5321</v>
      </c>
      <c r="G1458" t="s">
        <v>152</v>
      </c>
      <c r="H1458" t="s">
        <v>174</v>
      </c>
      <c r="I1458" t="s">
        <v>154</v>
      </c>
      <c r="J1458">
        <v>20120309</v>
      </c>
    </row>
    <row r="1459" spans="1:10">
      <c r="A1459" t="s">
        <v>6186</v>
      </c>
      <c r="B1459">
        <v>601801</v>
      </c>
      <c r="C1459" t="s">
        <v>6187</v>
      </c>
      <c r="D1459" t="s">
        <v>160</v>
      </c>
      <c r="E1459" t="s">
        <v>55</v>
      </c>
      <c r="F1459" t="s">
        <v>6188</v>
      </c>
      <c r="G1459" t="s">
        <v>152</v>
      </c>
      <c r="H1459" t="s">
        <v>174</v>
      </c>
      <c r="I1459" t="s">
        <v>154</v>
      </c>
      <c r="J1459">
        <v>20100118</v>
      </c>
    </row>
    <row r="1460" spans="1:10">
      <c r="A1460" t="s">
        <v>6513</v>
      </c>
      <c r="B1460">
        <v>601808</v>
      </c>
      <c r="C1460" t="s">
        <v>6514</v>
      </c>
      <c r="D1460" t="s">
        <v>576</v>
      </c>
      <c r="E1460" t="s">
        <v>118</v>
      </c>
      <c r="F1460" t="s">
        <v>6515</v>
      </c>
      <c r="G1460" t="s">
        <v>152</v>
      </c>
      <c r="H1460" t="s">
        <v>174</v>
      </c>
      <c r="I1460" t="s">
        <v>154</v>
      </c>
      <c r="J1460">
        <v>20070928</v>
      </c>
    </row>
    <row r="1461" spans="1:10">
      <c r="A1461" t="s">
        <v>6189</v>
      </c>
      <c r="B1461">
        <v>601811</v>
      </c>
      <c r="C1461" t="s">
        <v>6190</v>
      </c>
      <c r="D1461" t="s">
        <v>219</v>
      </c>
      <c r="E1461" t="s">
        <v>55</v>
      </c>
      <c r="F1461" t="s">
        <v>6191</v>
      </c>
      <c r="G1461" t="s">
        <v>152</v>
      </c>
      <c r="H1461" t="s">
        <v>174</v>
      </c>
      <c r="I1461" t="s">
        <v>154</v>
      </c>
      <c r="J1461">
        <v>20160808</v>
      </c>
    </row>
    <row r="1462" spans="1:10">
      <c r="A1462" t="s">
        <v>4030</v>
      </c>
      <c r="B1462">
        <v>601816</v>
      </c>
      <c r="C1462" t="s">
        <v>4031</v>
      </c>
      <c r="D1462" t="s">
        <v>164</v>
      </c>
      <c r="E1462" t="s">
        <v>97</v>
      </c>
      <c r="F1462" t="s">
        <v>4032</v>
      </c>
      <c r="G1462" t="s">
        <v>152</v>
      </c>
      <c r="H1462" t="s">
        <v>174</v>
      </c>
      <c r="I1462" t="s">
        <v>154</v>
      </c>
      <c r="J1462">
        <v>20200116</v>
      </c>
    </row>
    <row r="1463" spans="1:10">
      <c r="A1463" t="s">
        <v>4749</v>
      </c>
      <c r="B1463">
        <v>601818</v>
      </c>
      <c r="C1463" t="s">
        <v>4750</v>
      </c>
      <c r="D1463" t="s">
        <v>164</v>
      </c>
      <c r="E1463" t="s">
        <v>62</v>
      </c>
      <c r="F1463" t="s">
        <v>4751</v>
      </c>
      <c r="G1463" t="s">
        <v>152</v>
      </c>
      <c r="H1463" t="s">
        <v>174</v>
      </c>
      <c r="I1463" t="s">
        <v>154</v>
      </c>
      <c r="J1463">
        <v>20100818</v>
      </c>
    </row>
    <row r="1464" spans="1:10">
      <c r="A1464" t="s">
        <v>4752</v>
      </c>
      <c r="B1464">
        <v>601825</v>
      </c>
      <c r="C1464" t="s">
        <v>4753</v>
      </c>
      <c r="D1464" t="s">
        <v>172</v>
      </c>
      <c r="E1464" t="s">
        <v>62</v>
      </c>
      <c r="F1464" t="s">
        <v>4754</v>
      </c>
      <c r="G1464" t="s">
        <v>152</v>
      </c>
      <c r="H1464" t="s">
        <v>174</v>
      </c>
      <c r="I1464" t="s">
        <v>154</v>
      </c>
      <c r="J1464">
        <v>20210819</v>
      </c>
    </row>
    <row r="1465" spans="1:10">
      <c r="A1465" t="s">
        <v>6606</v>
      </c>
      <c r="B1465">
        <v>601827</v>
      </c>
      <c r="C1465" t="s">
        <v>6607</v>
      </c>
      <c r="D1465" t="s">
        <v>937</v>
      </c>
      <c r="E1465" t="s">
        <v>119</v>
      </c>
      <c r="F1465" t="s">
        <v>6608</v>
      </c>
      <c r="G1465" t="s">
        <v>152</v>
      </c>
      <c r="H1465" t="s">
        <v>174</v>
      </c>
      <c r="I1465" t="s">
        <v>154</v>
      </c>
      <c r="J1465">
        <v>20200605</v>
      </c>
    </row>
    <row r="1466" spans="1:10">
      <c r="A1466" t="s">
        <v>6696</v>
      </c>
      <c r="B1466">
        <v>601828</v>
      </c>
      <c r="C1466" t="s">
        <v>6697</v>
      </c>
      <c r="D1466" t="s">
        <v>172</v>
      </c>
      <c r="E1466" t="s">
        <v>114</v>
      </c>
      <c r="F1466" t="s">
        <v>6698</v>
      </c>
      <c r="G1466" t="s">
        <v>152</v>
      </c>
      <c r="H1466" t="s">
        <v>174</v>
      </c>
      <c r="I1466" t="s">
        <v>154</v>
      </c>
      <c r="J1466">
        <v>20180117</v>
      </c>
    </row>
    <row r="1467" spans="1:10">
      <c r="A1467" t="s">
        <v>4755</v>
      </c>
      <c r="B1467">
        <v>601838</v>
      </c>
      <c r="C1467" t="s">
        <v>4756</v>
      </c>
      <c r="D1467" t="s">
        <v>219</v>
      </c>
      <c r="E1467" t="s">
        <v>62</v>
      </c>
      <c r="F1467" t="s">
        <v>4757</v>
      </c>
      <c r="G1467" t="s">
        <v>152</v>
      </c>
      <c r="H1467" t="s">
        <v>174</v>
      </c>
      <c r="I1467" t="s">
        <v>154</v>
      </c>
      <c r="J1467">
        <v>20180131</v>
      </c>
    </row>
    <row r="1468" spans="1:10">
      <c r="A1468" t="s">
        <v>6516</v>
      </c>
      <c r="B1468">
        <v>601857</v>
      </c>
      <c r="C1468" t="s">
        <v>6517</v>
      </c>
      <c r="D1468" t="s">
        <v>164</v>
      </c>
      <c r="E1468" t="s">
        <v>118</v>
      </c>
      <c r="F1468" t="s">
        <v>6518</v>
      </c>
      <c r="G1468" t="s">
        <v>152</v>
      </c>
      <c r="H1468" t="s">
        <v>174</v>
      </c>
      <c r="I1468" t="s">
        <v>154</v>
      </c>
      <c r="J1468">
        <v>20071105</v>
      </c>
    </row>
    <row r="1469" spans="1:10">
      <c r="A1469" t="s">
        <v>6192</v>
      </c>
      <c r="B1469">
        <v>601858</v>
      </c>
      <c r="C1469" t="s">
        <v>6193</v>
      </c>
      <c r="D1469" t="s">
        <v>164</v>
      </c>
      <c r="E1469" t="s">
        <v>55</v>
      </c>
      <c r="F1469" t="s">
        <v>6194</v>
      </c>
      <c r="G1469" t="s">
        <v>152</v>
      </c>
      <c r="H1469" t="s">
        <v>174</v>
      </c>
      <c r="I1469" t="s">
        <v>154</v>
      </c>
      <c r="J1469">
        <v>20170118</v>
      </c>
    </row>
    <row r="1470" spans="1:10">
      <c r="A1470" t="s">
        <v>4758</v>
      </c>
      <c r="B1470">
        <v>601860</v>
      </c>
      <c r="C1470" t="s">
        <v>4759</v>
      </c>
      <c r="D1470" t="s">
        <v>212</v>
      </c>
      <c r="E1470" t="s">
        <v>62</v>
      </c>
      <c r="F1470" t="s">
        <v>4760</v>
      </c>
      <c r="G1470" t="s">
        <v>152</v>
      </c>
      <c r="H1470" t="s">
        <v>174</v>
      </c>
      <c r="I1470" t="s">
        <v>154</v>
      </c>
      <c r="J1470">
        <v>20190103</v>
      </c>
    </row>
    <row r="1471" spans="1:10">
      <c r="A1471" t="s">
        <v>5151</v>
      </c>
      <c r="B1471">
        <v>601865</v>
      </c>
      <c r="C1471" t="s">
        <v>5152</v>
      </c>
      <c r="D1471" t="s">
        <v>423</v>
      </c>
      <c r="E1471" t="s">
        <v>45</v>
      </c>
      <c r="F1471" t="s">
        <v>5153</v>
      </c>
      <c r="G1471" t="s">
        <v>152</v>
      </c>
      <c r="H1471" t="s">
        <v>174</v>
      </c>
      <c r="I1471" t="s">
        <v>154</v>
      </c>
      <c r="J1471">
        <v>20190215</v>
      </c>
    </row>
    <row r="1472" spans="1:10">
      <c r="A1472" t="s">
        <v>4033</v>
      </c>
      <c r="B1472">
        <v>601866</v>
      </c>
      <c r="C1472" t="s">
        <v>4034</v>
      </c>
      <c r="D1472" t="s">
        <v>172</v>
      </c>
      <c r="E1472" t="s">
        <v>92</v>
      </c>
      <c r="F1472" t="s">
        <v>4035</v>
      </c>
      <c r="G1472" t="s">
        <v>152</v>
      </c>
      <c r="H1472" t="s">
        <v>174</v>
      </c>
      <c r="I1472" t="s">
        <v>154</v>
      </c>
      <c r="J1472">
        <v>20071212</v>
      </c>
    </row>
    <row r="1473" spans="1:10">
      <c r="A1473" t="s">
        <v>5322</v>
      </c>
      <c r="B1473">
        <v>601868</v>
      </c>
      <c r="C1473" t="s">
        <v>5323</v>
      </c>
      <c r="D1473" t="s">
        <v>164</v>
      </c>
      <c r="E1473" t="s">
        <v>121</v>
      </c>
      <c r="F1473" t="s">
        <v>5324</v>
      </c>
      <c r="G1473" t="s">
        <v>152</v>
      </c>
      <c r="H1473" t="s">
        <v>174</v>
      </c>
      <c r="I1473" t="s">
        <v>154</v>
      </c>
      <c r="J1473">
        <v>20210928</v>
      </c>
    </row>
    <row r="1474" spans="1:10">
      <c r="A1474" t="s">
        <v>6306</v>
      </c>
      <c r="B1474">
        <v>601869</v>
      </c>
      <c r="C1474" t="s">
        <v>6307</v>
      </c>
      <c r="D1474" t="s">
        <v>316</v>
      </c>
      <c r="E1474" t="s">
        <v>125</v>
      </c>
      <c r="F1474" t="s">
        <v>6308</v>
      </c>
      <c r="G1474" t="s">
        <v>152</v>
      </c>
      <c r="H1474" t="s">
        <v>174</v>
      </c>
      <c r="I1474" t="s">
        <v>154</v>
      </c>
      <c r="J1474">
        <v>20180720</v>
      </c>
    </row>
    <row r="1475" spans="1:10">
      <c r="A1475" t="s">
        <v>4036</v>
      </c>
      <c r="B1475">
        <v>601872</v>
      </c>
      <c r="C1475" t="s">
        <v>4037</v>
      </c>
      <c r="D1475" t="s">
        <v>172</v>
      </c>
      <c r="E1475" t="s">
        <v>92</v>
      </c>
      <c r="F1475" t="s">
        <v>4038</v>
      </c>
      <c r="G1475" t="s">
        <v>152</v>
      </c>
      <c r="H1475" t="s">
        <v>174</v>
      </c>
      <c r="I1475" t="s">
        <v>154</v>
      </c>
      <c r="J1475">
        <v>20061201</v>
      </c>
    </row>
    <row r="1476" spans="1:10">
      <c r="A1476" t="s">
        <v>1537</v>
      </c>
      <c r="B1476">
        <v>601877</v>
      </c>
      <c r="C1476" t="s">
        <v>1538</v>
      </c>
      <c r="D1476" t="s">
        <v>423</v>
      </c>
      <c r="E1476" t="s">
        <v>17</v>
      </c>
      <c r="F1476" t="s">
        <v>1539</v>
      </c>
      <c r="G1476" t="s">
        <v>152</v>
      </c>
      <c r="H1476" t="s">
        <v>174</v>
      </c>
      <c r="I1476" t="s">
        <v>154</v>
      </c>
      <c r="J1476">
        <v>20100121</v>
      </c>
    </row>
    <row r="1477" spans="1:10">
      <c r="A1477" t="s">
        <v>4980</v>
      </c>
      <c r="B1477">
        <v>601878</v>
      </c>
      <c r="C1477" t="s">
        <v>4981</v>
      </c>
      <c r="D1477" t="s">
        <v>423</v>
      </c>
      <c r="E1477" t="s">
        <v>87</v>
      </c>
      <c r="F1477" t="s">
        <v>4982</v>
      </c>
      <c r="G1477" t="s">
        <v>152</v>
      </c>
      <c r="H1477" t="s">
        <v>174</v>
      </c>
      <c r="I1477" t="s">
        <v>154</v>
      </c>
      <c r="J1477">
        <v>20170626</v>
      </c>
    </row>
    <row r="1478" spans="1:10">
      <c r="A1478" t="s">
        <v>4039</v>
      </c>
      <c r="B1478">
        <v>601880</v>
      </c>
      <c r="C1478" t="s">
        <v>4040</v>
      </c>
      <c r="D1478" t="s">
        <v>236</v>
      </c>
      <c r="E1478" t="s">
        <v>83</v>
      </c>
      <c r="F1478" t="s">
        <v>4041</v>
      </c>
      <c r="G1478" t="s">
        <v>152</v>
      </c>
      <c r="H1478" t="s">
        <v>174</v>
      </c>
      <c r="I1478" t="s">
        <v>154</v>
      </c>
      <c r="J1478">
        <v>20101206</v>
      </c>
    </row>
    <row r="1479" spans="1:10">
      <c r="A1479" t="s">
        <v>4983</v>
      </c>
      <c r="B1479">
        <v>601881</v>
      </c>
      <c r="C1479" t="s">
        <v>4984</v>
      </c>
      <c r="D1479" t="s">
        <v>164</v>
      </c>
      <c r="E1479" t="s">
        <v>87</v>
      </c>
      <c r="F1479" t="s">
        <v>4985</v>
      </c>
      <c r="G1479" t="s">
        <v>152</v>
      </c>
      <c r="H1479" t="s">
        <v>174</v>
      </c>
      <c r="I1479" t="s">
        <v>154</v>
      </c>
      <c r="J1479">
        <v>20170123</v>
      </c>
    </row>
    <row r="1480" spans="1:10">
      <c r="A1480" t="s">
        <v>5631</v>
      </c>
      <c r="B1480">
        <v>601882</v>
      </c>
      <c r="C1480" t="s">
        <v>5632</v>
      </c>
      <c r="D1480" t="s">
        <v>423</v>
      </c>
      <c r="E1480" t="s">
        <v>134</v>
      </c>
      <c r="F1480" t="s">
        <v>5633</v>
      </c>
      <c r="G1480" t="s">
        <v>152</v>
      </c>
      <c r="H1480" t="s">
        <v>174</v>
      </c>
      <c r="I1480" t="s">
        <v>154</v>
      </c>
      <c r="J1480">
        <v>20161107</v>
      </c>
    </row>
    <row r="1481" spans="1:10">
      <c r="A1481" t="s">
        <v>5325</v>
      </c>
      <c r="B1481">
        <v>601886</v>
      </c>
      <c r="C1481" t="s">
        <v>5326</v>
      </c>
      <c r="D1481" t="s">
        <v>164</v>
      </c>
      <c r="E1481" t="s">
        <v>115</v>
      </c>
      <c r="F1481" t="s">
        <v>5327</v>
      </c>
      <c r="G1481" t="s">
        <v>152</v>
      </c>
      <c r="H1481" t="s">
        <v>174</v>
      </c>
      <c r="I1481" t="s">
        <v>154</v>
      </c>
      <c r="J1481">
        <v>20110818</v>
      </c>
    </row>
    <row r="1482" spans="1:10">
      <c r="A1482" t="s">
        <v>4662</v>
      </c>
      <c r="B1482">
        <v>601888</v>
      </c>
      <c r="C1482" t="s">
        <v>4663</v>
      </c>
      <c r="D1482" t="s">
        <v>164</v>
      </c>
      <c r="E1482" t="s">
        <v>72</v>
      </c>
      <c r="F1482" t="s">
        <v>4664</v>
      </c>
      <c r="G1482" t="s">
        <v>152</v>
      </c>
      <c r="H1482" t="s">
        <v>174</v>
      </c>
      <c r="I1482" t="s">
        <v>154</v>
      </c>
      <c r="J1482">
        <v>20091015</v>
      </c>
    </row>
    <row r="1483" spans="1:10">
      <c r="A1483" t="s">
        <v>4042</v>
      </c>
      <c r="B1483">
        <v>601890</v>
      </c>
      <c r="C1483" t="s">
        <v>4043</v>
      </c>
      <c r="D1483" t="s">
        <v>212</v>
      </c>
      <c r="E1483" t="s">
        <v>66</v>
      </c>
      <c r="F1483" t="s">
        <v>4044</v>
      </c>
      <c r="G1483" t="s">
        <v>152</v>
      </c>
      <c r="H1483" t="s">
        <v>174</v>
      </c>
      <c r="I1483" t="s">
        <v>154</v>
      </c>
      <c r="J1483">
        <v>20101228</v>
      </c>
    </row>
    <row r="1484" spans="1:10">
      <c r="A1484" t="s">
        <v>6444</v>
      </c>
      <c r="B1484">
        <v>601898</v>
      </c>
      <c r="C1484" t="s">
        <v>6445</v>
      </c>
      <c r="D1484" t="s">
        <v>164</v>
      </c>
      <c r="E1484" t="s">
        <v>126</v>
      </c>
      <c r="F1484" t="s">
        <v>6446</v>
      </c>
      <c r="G1484" t="s">
        <v>152</v>
      </c>
      <c r="H1484" t="s">
        <v>174</v>
      </c>
      <c r="I1484" t="s">
        <v>154</v>
      </c>
      <c r="J1484">
        <v>20080201</v>
      </c>
    </row>
    <row r="1485" spans="1:10">
      <c r="A1485" t="s">
        <v>1168</v>
      </c>
      <c r="B1485">
        <v>601899</v>
      </c>
      <c r="C1485" t="s">
        <v>1169</v>
      </c>
      <c r="D1485" t="s">
        <v>150</v>
      </c>
      <c r="E1485" t="s">
        <v>26</v>
      </c>
      <c r="F1485" t="s">
        <v>1170</v>
      </c>
      <c r="G1485" t="s">
        <v>152</v>
      </c>
      <c r="H1485" t="s">
        <v>174</v>
      </c>
      <c r="I1485" t="s">
        <v>154</v>
      </c>
      <c r="J1485">
        <v>20080425</v>
      </c>
    </row>
    <row r="1486" spans="1:10">
      <c r="A1486" t="s">
        <v>6195</v>
      </c>
      <c r="B1486">
        <v>601900</v>
      </c>
      <c r="C1486" t="s">
        <v>6196</v>
      </c>
      <c r="D1486" t="s">
        <v>223</v>
      </c>
      <c r="E1486" t="s">
        <v>55</v>
      </c>
      <c r="F1486" t="s">
        <v>6197</v>
      </c>
      <c r="G1486" t="s">
        <v>152</v>
      </c>
      <c r="H1486" t="s">
        <v>174</v>
      </c>
      <c r="I1486" t="s">
        <v>154</v>
      </c>
      <c r="J1486">
        <v>20160215</v>
      </c>
    </row>
    <row r="1487" spans="1:10">
      <c r="A1487" t="s">
        <v>4986</v>
      </c>
      <c r="B1487">
        <v>601901</v>
      </c>
      <c r="C1487" t="s">
        <v>4987</v>
      </c>
      <c r="D1487" t="s">
        <v>168</v>
      </c>
      <c r="E1487" t="s">
        <v>87</v>
      </c>
      <c r="F1487" t="s">
        <v>4988</v>
      </c>
      <c r="G1487" t="s">
        <v>152</v>
      </c>
      <c r="H1487" t="s">
        <v>174</v>
      </c>
      <c r="I1487" t="s">
        <v>154</v>
      </c>
      <c r="J1487">
        <v>20110810</v>
      </c>
    </row>
    <row r="1488" spans="1:10">
      <c r="A1488" t="s">
        <v>3676</v>
      </c>
      <c r="B1488">
        <v>601908</v>
      </c>
      <c r="C1488" t="s">
        <v>3677</v>
      </c>
      <c r="D1488" t="s">
        <v>164</v>
      </c>
      <c r="E1488" t="s">
        <v>82</v>
      </c>
      <c r="F1488" t="s">
        <v>3678</v>
      </c>
      <c r="G1488" t="s">
        <v>152</v>
      </c>
      <c r="H1488" t="s">
        <v>174</v>
      </c>
      <c r="I1488" t="s">
        <v>154</v>
      </c>
      <c r="J1488">
        <v>20110908</v>
      </c>
    </row>
    <row r="1489" spans="1:10">
      <c r="A1489" t="s">
        <v>4761</v>
      </c>
      <c r="B1489">
        <v>601916</v>
      </c>
      <c r="C1489" t="s">
        <v>4762</v>
      </c>
      <c r="D1489" t="s">
        <v>423</v>
      </c>
      <c r="E1489" t="s">
        <v>62</v>
      </c>
      <c r="F1489" t="s">
        <v>4763</v>
      </c>
      <c r="G1489" t="s">
        <v>152</v>
      </c>
      <c r="H1489" t="s">
        <v>174</v>
      </c>
      <c r="I1489" t="s">
        <v>154</v>
      </c>
      <c r="J1489">
        <v>20191126</v>
      </c>
    </row>
    <row r="1490" spans="1:10">
      <c r="A1490" t="s">
        <v>6447</v>
      </c>
      <c r="B1490">
        <v>601918</v>
      </c>
      <c r="C1490" t="s">
        <v>6448</v>
      </c>
      <c r="D1490" t="s">
        <v>160</v>
      </c>
      <c r="E1490" t="s">
        <v>126</v>
      </c>
      <c r="F1490" t="s">
        <v>6449</v>
      </c>
      <c r="G1490" t="s">
        <v>152</v>
      </c>
      <c r="H1490" t="s">
        <v>174</v>
      </c>
      <c r="I1490" t="s">
        <v>154</v>
      </c>
      <c r="J1490">
        <v>20071219</v>
      </c>
    </row>
    <row r="1491" spans="1:10">
      <c r="A1491" t="s">
        <v>4045</v>
      </c>
      <c r="B1491">
        <v>601919</v>
      </c>
      <c r="C1491" t="s">
        <v>4046</v>
      </c>
      <c r="D1491" t="s">
        <v>576</v>
      </c>
      <c r="E1491" t="s">
        <v>92</v>
      </c>
      <c r="F1491" t="s">
        <v>4047</v>
      </c>
      <c r="G1491" t="s">
        <v>152</v>
      </c>
      <c r="H1491" t="s">
        <v>174</v>
      </c>
      <c r="I1491" t="s">
        <v>154</v>
      </c>
      <c r="J1491">
        <v>20070626</v>
      </c>
    </row>
    <row r="1492" spans="1:10">
      <c r="A1492" t="s">
        <v>6198</v>
      </c>
      <c r="B1492">
        <v>601921</v>
      </c>
      <c r="C1492" t="s">
        <v>6199</v>
      </c>
      <c r="D1492" t="s">
        <v>423</v>
      </c>
      <c r="E1492" t="s">
        <v>55</v>
      </c>
      <c r="F1492" t="s">
        <v>6200</v>
      </c>
      <c r="G1492" t="s">
        <v>152</v>
      </c>
      <c r="H1492" t="s">
        <v>174</v>
      </c>
      <c r="I1492" t="s">
        <v>154</v>
      </c>
      <c r="J1492">
        <v>20210723</v>
      </c>
    </row>
    <row r="1493" spans="1:10">
      <c r="A1493" t="s">
        <v>6201</v>
      </c>
      <c r="B1493">
        <v>601928</v>
      </c>
      <c r="C1493" t="s">
        <v>6202</v>
      </c>
      <c r="D1493" t="s">
        <v>212</v>
      </c>
      <c r="E1493" t="s">
        <v>55</v>
      </c>
      <c r="F1493" t="s">
        <v>6203</v>
      </c>
      <c r="G1493" t="s">
        <v>152</v>
      </c>
      <c r="H1493" t="s">
        <v>174</v>
      </c>
      <c r="I1493" t="s">
        <v>154</v>
      </c>
      <c r="J1493">
        <v>20111130</v>
      </c>
    </row>
    <row r="1494" spans="1:10">
      <c r="A1494" t="s">
        <v>6093</v>
      </c>
      <c r="B1494">
        <v>601929</v>
      </c>
      <c r="C1494" t="s">
        <v>6094</v>
      </c>
      <c r="D1494" t="s">
        <v>312</v>
      </c>
      <c r="E1494" t="s">
        <v>124</v>
      </c>
      <c r="F1494" t="s">
        <v>6095</v>
      </c>
      <c r="G1494" t="s">
        <v>152</v>
      </c>
      <c r="H1494" t="s">
        <v>174</v>
      </c>
      <c r="I1494" t="s">
        <v>154</v>
      </c>
      <c r="J1494">
        <v>20120223</v>
      </c>
    </row>
    <row r="1495" spans="1:10">
      <c r="A1495" t="s">
        <v>4584</v>
      </c>
      <c r="B1495">
        <v>601933</v>
      </c>
      <c r="C1495" t="s">
        <v>4585</v>
      </c>
      <c r="D1495" t="s">
        <v>150</v>
      </c>
      <c r="E1495" t="s">
        <v>54</v>
      </c>
      <c r="F1495" t="s">
        <v>4586</v>
      </c>
      <c r="G1495" t="s">
        <v>152</v>
      </c>
      <c r="H1495" t="s">
        <v>174</v>
      </c>
      <c r="I1495" t="s">
        <v>154</v>
      </c>
      <c r="J1495">
        <v>20101215</v>
      </c>
    </row>
    <row r="1496" spans="1:10">
      <c r="A1496" t="s">
        <v>4764</v>
      </c>
      <c r="B1496">
        <v>601939</v>
      </c>
      <c r="C1496" t="s">
        <v>4765</v>
      </c>
      <c r="D1496" t="s">
        <v>164</v>
      </c>
      <c r="E1496" t="s">
        <v>62</v>
      </c>
      <c r="F1496" t="s">
        <v>4766</v>
      </c>
      <c r="G1496" t="s">
        <v>152</v>
      </c>
      <c r="H1496" t="s">
        <v>174</v>
      </c>
      <c r="I1496" t="s">
        <v>154</v>
      </c>
      <c r="J1496">
        <v>20070925</v>
      </c>
    </row>
    <row r="1497" spans="1:10">
      <c r="A1497" t="s">
        <v>6204</v>
      </c>
      <c r="B1497">
        <v>601949</v>
      </c>
      <c r="C1497" t="s">
        <v>6205</v>
      </c>
      <c r="D1497" t="s">
        <v>164</v>
      </c>
      <c r="E1497" t="s">
        <v>55</v>
      </c>
      <c r="F1497" t="s">
        <v>6206</v>
      </c>
      <c r="G1497" t="s">
        <v>152</v>
      </c>
      <c r="H1497" t="s">
        <v>174</v>
      </c>
      <c r="I1497" t="s">
        <v>154</v>
      </c>
      <c r="J1497">
        <v>20170821</v>
      </c>
    </row>
    <row r="1498" spans="1:10">
      <c r="A1498" t="s">
        <v>210</v>
      </c>
      <c r="B1498">
        <v>601952</v>
      </c>
      <c r="C1498" t="s">
        <v>211</v>
      </c>
      <c r="D1498" t="s">
        <v>212</v>
      </c>
      <c r="E1498" t="s">
        <v>13</v>
      </c>
      <c r="F1498" t="s">
        <v>213</v>
      </c>
      <c r="G1498" t="s">
        <v>152</v>
      </c>
      <c r="H1498" t="s">
        <v>174</v>
      </c>
      <c r="I1498" t="s">
        <v>154</v>
      </c>
      <c r="J1498">
        <v>20170515</v>
      </c>
    </row>
    <row r="1499" spans="1:10">
      <c r="A1499" t="s">
        <v>2266</v>
      </c>
      <c r="B1499">
        <v>601956</v>
      </c>
      <c r="C1499" t="s">
        <v>2267</v>
      </c>
      <c r="D1499" t="s">
        <v>316</v>
      </c>
      <c r="E1499" t="s">
        <v>8</v>
      </c>
      <c r="F1499" t="s">
        <v>2268</v>
      </c>
      <c r="G1499" t="s">
        <v>152</v>
      </c>
      <c r="H1499" t="s">
        <v>174</v>
      </c>
      <c r="I1499" t="s">
        <v>154</v>
      </c>
      <c r="J1499">
        <v>20201225</v>
      </c>
    </row>
    <row r="1500" spans="1:10">
      <c r="A1500" t="s">
        <v>1171</v>
      </c>
      <c r="B1500">
        <v>601958</v>
      </c>
      <c r="C1500" t="s">
        <v>1172</v>
      </c>
      <c r="D1500" t="s">
        <v>419</v>
      </c>
      <c r="E1500" t="s">
        <v>41</v>
      </c>
      <c r="F1500" t="s">
        <v>1173</v>
      </c>
      <c r="G1500" t="s">
        <v>152</v>
      </c>
      <c r="H1500" t="s">
        <v>174</v>
      </c>
      <c r="I1500" t="s">
        <v>154</v>
      </c>
      <c r="J1500">
        <v>20080417</v>
      </c>
    </row>
    <row r="1501" spans="1:10">
      <c r="A1501" t="s">
        <v>4767</v>
      </c>
      <c r="B1501">
        <v>601963</v>
      </c>
      <c r="C1501" t="s">
        <v>4768</v>
      </c>
      <c r="D1501" t="s">
        <v>937</v>
      </c>
      <c r="E1501" t="s">
        <v>62</v>
      </c>
      <c r="F1501" t="s">
        <v>4769</v>
      </c>
      <c r="G1501" t="s">
        <v>152</v>
      </c>
      <c r="H1501" t="s">
        <v>174</v>
      </c>
      <c r="I1501" t="s">
        <v>154</v>
      </c>
      <c r="J1501">
        <v>20210205</v>
      </c>
    </row>
    <row r="1502" spans="1:10">
      <c r="A1502" t="s">
        <v>2014</v>
      </c>
      <c r="B1502">
        <v>601965</v>
      </c>
      <c r="C1502" t="s">
        <v>2015</v>
      </c>
      <c r="D1502" t="s">
        <v>937</v>
      </c>
      <c r="E1502" t="s">
        <v>18</v>
      </c>
      <c r="F1502" t="s">
        <v>2016</v>
      </c>
      <c r="G1502" t="s">
        <v>152</v>
      </c>
      <c r="H1502" t="s">
        <v>174</v>
      </c>
      <c r="I1502" t="s">
        <v>154</v>
      </c>
      <c r="J1502">
        <v>20120611</v>
      </c>
    </row>
    <row r="1503" spans="1:10">
      <c r="A1503" t="s">
        <v>2017</v>
      </c>
      <c r="B1503">
        <v>601966</v>
      </c>
      <c r="C1503" t="s">
        <v>2018</v>
      </c>
      <c r="D1503" t="s">
        <v>198</v>
      </c>
      <c r="E1503" t="s">
        <v>28</v>
      </c>
      <c r="F1503" t="s">
        <v>2019</v>
      </c>
      <c r="G1503" t="s">
        <v>152</v>
      </c>
      <c r="H1503" t="s">
        <v>174</v>
      </c>
      <c r="I1503" t="s">
        <v>154</v>
      </c>
      <c r="J1503">
        <v>20160706</v>
      </c>
    </row>
    <row r="1504" spans="1:10">
      <c r="A1504" t="s">
        <v>2797</v>
      </c>
      <c r="B1504">
        <v>601968</v>
      </c>
      <c r="C1504" t="s">
        <v>2798</v>
      </c>
      <c r="D1504" t="s">
        <v>172</v>
      </c>
      <c r="E1504" t="s">
        <v>37</v>
      </c>
      <c r="F1504" t="s">
        <v>2799</v>
      </c>
      <c r="G1504" t="s">
        <v>152</v>
      </c>
      <c r="H1504" t="s">
        <v>174</v>
      </c>
      <c r="I1504" t="s">
        <v>154</v>
      </c>
      <c r="J1504">
        <v>20150611</v>
      </c>
    </row>
    <row r="1505" spans="1:10">
      <c r="A1505" t="s">
        <v>942</v>
      </c>
      <c r="B1505">
        <v>601969</v>
      </c>
      <c r="C1505" t="s">
        <v>943</v>
      </c>
      <c r="D1505" t="s">
        <v>250</v>
      </c>
      <c r="E1505" t="s">
        <v>25</v>
      </c>
      <c r="F1505" t="s">
        <v>944</v>
      </c>
      <c r="G1505" t="s">
        <v>152</v>
      </c>
      <c r="H1505" t="s">
        <v>174</v>
      </c>
      <c r="I1505" t="s">
        <v>154</v>
      </c>
      <c r="J1505">
        <v>20141209</v>
      </c>
    </row>
    <row r="1506" spans="1:10">
      <c r="A1506" t="s">
        <v>4048</v>
      </c>
      <c r="B1506">
        <v>601975</v>
      </c>
      <c r="C1506" t="s">
        <v>4049</v>
      </c>
      <c r="D1506" t="s">
        <v>212</v>
      </c>
      <c r="E1506" t="s">
        <v>92</v>
      </c>
      <c r="F1506" t="s">
        <v>4050</v>
      </c>
      <c r="G1506" t="s">
        <v>152</v>
      </c>
      <c r="H1506" t="s">
        <v>174</v>
      </c>
      <c r="I1506" t="s">
        <v>154</v>
      </c>
      <c r="J1506">
        <v>20190108</v>
      </c>
    </row>
    <row r="1507" spans="1:10">
      <c r="A1507" t="s">
        <v>3679</v>
      </c>
      <c r="B1507">
        <v>601985</v>
      </c>
      <c r="C1507" t="s">
        <v>3680</v>
      </c>
      <c r="D1507" t="s">
        <v>164</v>
      </c>
      <c r="E1507" t="s">
        <v>82</v>
      </c>
      <c r="F1507" t="s">
        <v>3681</v>
      </c>
      <c r="G1507" t="s">
        <v>152</v>
      </c>
      <c r="H1507" t="s">
        <v>174</v>
      </c>
      <c r="I1507" t="s">
        <v>154</v>
      </c>
      <c r="J1507">
        <v>20150610</v>
      </c>
    </row>
    <row r="1508" spans="1:10">
      <c r="A1508" t="s">
        <v>4770</v>
      </c>
      <c r="B1508">
        <v>601988</v>
      </c>
      <c r="C1508" t="s">
        <v>4771</v>
      </c>
      <c r="D1508" t="s">
        <v>164</v>
      </c>
      <c r="E1508" t="s">
        <v>62</v>
      </c>
      <c r="F1508" t="s">
        <v>4772</v>
      </c>
      <c r="G1508" t="s">
        <v>152</v>
      </c>
      <c r="H1508" t="s">
        <v>174</v>
      </c>
      <c r="I1508" t="s">
        <v>154</v>
      </c>
      <c r="J1508">
        <v>20060705</v>
      </c>
    </row>
    <row r="1509" spans="1:10">
      <c r="A1509" t="s">
        <v>4051</v>
      </c>
      <c r="B1509">
        <v>601989</v>
      </c>
      <c r="C1509" t="s">
        <v>4052</v>
      </c>
      <c r="D1509" t="s">
        <v>164</v>
      </c>
      <c r="E1509" t="s">
        <v>66</v>
      </c>
      <c r="F1509" t="s">
        <v>4053</v>
      </c>
      <c r="G1509" t="s">
        <v>152</v>
      </c>
      <c r="H1509" t="s">
        <v>174</v>
      </c>
      <c r="I1509" t="s">
        <v>154</v>
      </c>
      <c r="J1509">
        <v>20091216</v>
      </c>
    </row>
    <row r="1510" spans="1:10">
      <c r="A1510" t="s">
        <v>4989</v>
      </c>
      <c r="B1510">
        <v>601990</v>
      </c>
      <c r="C1510" t="s">
        <v>4990</v>
      </c>
      <c r="D1510" t="s">
        <v>212</v>
      </c>
      <c r="E1510" t="s">
        <v>87</v>
      </c>
      <c r="F1510" t="s">
        <v>4991</v>
      </c>
      <c r="G1510" t="s">
        <v>152</v>
      </c>
      <c r="H1510" t="s">
        <v>174</v>
      </c>
      <c r="I1510" t="s">
        <v>154</v>
      </c>
      <c r="J1510">
        <v>20180613</v>
      </c>
    </row>
    <row r="1511" spans="1:10">
      <c r="A1511" t="s">
        <v>3682</v>
      </c>
      <c r="B1511">
        <v>601991</v>
      </c>
      <c r="C1511" t="s">
        <v>3683</v>
      </c>
      <c r="D1511" t="s">
        <v>164</v>
      </c>
      <c r="E1511" t="s">
        <v>77</v>
      </c>
      <c r="F1511" t="s">
        <v>3684</v>
      </c>
      <c r="G1511" t="s">
        <v>152</v>
      </c>
      <c r="H1511" t="s">
        <v>174</v>
      </c>
      <c r="I1511" t="s">
        <v>154</v>
      </c>
      <c r="J1511">
        <v>20061220</v>
      </c>
    </row>
    <row r="1512" spans="1:10">
      <c r="A1512" t="s">
        <v>5154</v>
      </c>
      <c r="B1512">
        <v>601992</v>
      </c>
      <c r="C1512" t="s">
        <v>5155</v>
      </c>
      <c r="D1512" t="s">
        <v>164</v>
      </c>
      <c r="E1512" t="s">
        <v>75</v>
      </c>
      <c r="F1512" t="s">
        <v>5156</v>
      </c>
      <c r="G1512" t="s">
        <v>152</v>
      </c>
      <c r="H1512" t="s">
        <v>174</v>
      </c>
      <c r="I1512" t="s">
        <v>154</v>
      </c>
      <c r="J1512">
        <v>20110301</v>
      </c>
    </row>
    <row r="1513" spans="1:10">
      <c r="A1513" t="s">
        <v>4992</v>
      </c>
      <c r="B1513">
        <v>601995</v>
      </c>
      <c r="C1513" t="s">
        <v>4993</v>
      </c>
      <c r="D1513" t="s">
        <v>164</v>
      </c>
      <c r="E1513" t="s">
        <v>87</v>
      </c>
      <c r="F1513" t="s">
        <v>4994</v>
      </c>
      <c r="G1513" t="s">
        <v>152</v>
      </c>
      <c r="H1513" t="s">
        <v>174</v>
      </c>
      <c r="I1513" t="s">
        <v>154</v>
      </c>
      <c r="J1513">
        <v>20201102</v>
      </c>
    </row>
    <row r="1514" spans="1:10">
      <c r="A1514" t="s">
        <v>2800</v>
      </c>
      <c r="B1514">
        <v>601996</v>
      </c>
      <c r="C1514" t="s">
        <v>2801</v>
      </c>
      <c r="D1514" t="s">
        <v>345</v>
      </c>
      <c r="E1514" t="s">
        <v>21</v>
      </c>
      <c r="F1514" t="s">
        <v>2802</v>
      </c>
      <c r="G1514" t="s">
        <v>152</v>
      </c>
      <c r="H1514" t="s">
        <v>174</v>
      </c>
      <c r="I1514" t="s">
        <v>154</v>
      </c>
      <c r="J1514">
        <v>20110929</v>
      </c>
    </row>
    <row r="1515" spans="1:10">
      <c r="A1515" t="s">
        <v>4773</v>
      </c>
      <c r="B1515">
        <v>601997</v>
      </c>
      <c r="C1515" t="s">
        <v>4774</v>
      </c>
      <c r="D1515" t="s">
        <v>463</v>
      </c>
      <c r="E1515" t="s">
        <v>62</v>
      </c>
      <c r="F1515" t="s">
        <v>4775</v>
      </c>
      <c r="G1515" t="s">
        <v>152</v>
      </c>
      <c r="H1515" t="s">
        <v>174</v>
      </c>
      <c r="I1515" t="s">
        <v>154</v>
      </c>
      <c r="J1515">
        <v>20160816</v>
      </c>
    </row>
    <row r="1516" spans="1:10">
      <c r="A1516" t="s">
        <v>4776</v>
      </c>
      <c r="B1516">
        <v>601998</v>
      </c>
      <c r="C1516" t="s">
        <v>4777</v>
      </c>
      <c r="D1516" t="s">
        <v>164</v>
      </c>
      <c r="E1516" t="s">
        <v>62</v>
      </c>
      <c r="F1516" t="s">
        <v>4778</v>
      </c>
      <c r="G1516" t="s">
        <v>152</v>
      </c>
      <c r="H1516" t="s">
        <v>174</v>
      </c>
      <c r="I1516" t="s">
        <v>154</v>
      </c>
      <c r="J1516">
        <v>20070427</v>
      </c>
    </row>
    <row r="1517" spans="1:10">
      <c r="A1517" t="s">
        <v>6207</v>
      </c>
      <c r="B1517">
        <v>601999</v>
      </c>
      <c r="C1517" t="s">
        <v>6208</v>
      </c>
      <c r="D1517" t="s">
        <v>236</v>
      </c>
      <c r="E1517" t="s">
        <v>55</v>
      </c>
      <c r="F1517" t="s">
        <v>6209</v>
      </c>
      <c r="G1517" t="s">
        <v>152</v>
      </c>
      <c r="H1517" t="s">
        <v>174</v>
      </c>
      <c r="I1517" t="s">
        <v>154</v>
      </c>
      <c r="J1517">
        <v>20071221</v>
      </c>
    </row>
    <row r="1518" spans="1:10">
      <c r="A1518" t="s">
        <v>5958</v>
      </c>
      <c r="B1518">
        <v>603000</v>
      </c>
      <c r="C1518" t="s">
        <v>5959</v>
      </c>
      <c r="D1518" t="s">
        <v>164</v>
      </c>
      <c r="E1518" t="s">
        <v>116</v>
      </c>
      <c r="F1518" t="s">
        <v>5960</v>
      </c>
      <c r="G1518" t="s">
        <v>152</v>
      </c>
      <c r="H1518" t="s">
        <v>174</v>
      </c>
      <c r="I1518" t="s">
        <v>154</v>
      </c>
      <c r="J1518">
        <v>20120427</v>
      </c>
    </row>
    <row r="1519" spans="1:10">
      <c r="A1519" t="s">
        <v>2668</v>
      </c>
      <c r="B1519">
        <v>603001</v>
      </c>
      <c r="C1519" t="s">
        <v>2669</v>
      </c>
      <c r="D1519" t="s">
        <v>423</v>
      </c>
      <c r="E1519" t="s">
        <v>20</v>
      </c>
      <c r="F1519" t="s">
        <v>2670</v>
      </c>
      <c r="G1519" t="s">
        <v>152</v>
      </c>
      <c r="H1519" t="s">
        <v>174</v>
      </c>
      <c r="I1519" t="s">
        <v>154</v>
      </c>
      <c r="J1519">
        <v>20120426</v>
      </c>
    </row>
    <row r="1520" spans="1:10">
      <c r="A1520" t="s">
        <v>620</v>
      </c>
      <c r="B1520">
        <v>603002</v>
      </c>
      <c r="C1520" t="s">
        <v>621</v>
      </c>
      <c r="D1520" t="s">
        <v>223</v>
      </c>
      <c r="E1520" t="s">
        <v>14</v>
      </c>
      <c r="F1520" t="s">
        <v>622</v>
      </c>
      <c r="G1520" t="s">
        <v>152</v>
      </c>
      <c r="H1520" t="s">
        <v>174</v>
      </c>
      <c r="I1520" t="s">
        <v>154</v>
      </c>
      <c r="J1520">
        <v>20120518</v>
      </c>
    </row>
    <row r="1521" spans="1:10">
      <c r="A1521" t="s">
        <v>6519</v>
      </c>
      <c r="B1521">
        <v>603003</v>
      </c>
      <c r="C1521" t="s">
        <v>6520</v>
      </c>
      <c r="D1521" t="s">
        <v>172</v>
      </c>
      <c r="E1521" t="s">
        <v>127</v>
      </c>
      <c r="F1521" t="s">
        <v>6521</v>
      </c>
      <c r="G1521" t="s">
        <v>152</v>
      </c>
      <c r="H1521" t="s">
        <v>174</v>
      </c>
      <c r="I1521" t="s">
        <v>154</v>
      </c>
      <c r="J1521">
        <v>20120817</v>
      </c>
    </row>
    <row r="1522" spans="1:10">
      <c r="A1522" t="s">
        <v>1540</v>
      </c>
      <c r="B1522">
        <v>603005</v>
      </c>
      <c r="C1522" t="s">
        <v>1541</v>
      </c>
      <c r="D1522" t="s">
        <v>212</v>
      </c>
      <c r="E1522" t="s">
        <v>31</v>
      </c>
      <c r="F1522" t="s">
        <v>1542</v>
      </c>
      <c r="G1522" t="s">
        <v>152</v>
      </c>
      <c r="H1522" t="s">
        <v>174</v>
      </c>
      <c r="I1522" t="s">
        <v>154</v>
      </c>
      <c r="J1522">
        <v>20140210</v>
      </c>
    </row>
    <row r="1523" spans="1:10">
      <c r="A1523" t="s">
        <v>2020</v>
      </c>
      <c r="B1523">
        <v>603006</v>
      </c>
      <c r="C1523" t="s">
        <v>2021</v>
      </c>
      <c r="D1523" t="s">
        <v>172</v>
      </c>
      <c r="E1523" t="s">
        <v>28</v>
      </c>
      <c r="F1523" t="s">
        <v>2022</v>
      </c>
      <c r="G1523" t="s">
        <v>152</v>
      </c>
      <c r="H1523" t="s">
        <v>174</v>
      </c>
      <c r="I1523" t="s">
        <v>154</v>
      </c>
      <c r="J1523">
        <v>20140630</v>
      </c>
    </row>
    <row r="1524" spans="1:10">
      <c r="A1524" t="s">
        <v>5328</v>
      </c>
      <c r="B1524">
        <v>603007</v>
      </c>
      <c r="C1524" t="s">
        <v>5329</v>
      </c>
      <c r="D1524" t="s">
        <v>212</v>
      </c>
      <c r="E1524" t="s">
        <v>121</v>
      </c>
      <c r="F1524" t="s">
        <v>5330</v>
      </c>
      <c r="G1524" t="s">
        <v>152</v>
      </c>
      <c r="H1524" t="s">
        <v>174</v>
      </c>
      <c r="I1524" t="s">
        <v>154</v>
      </c>
      <c r="J1524">
        <v>20160826</v>
      </c>
    </row>
    <row r="1525" spans="1:10">
      <c r="A1525" t="s">
        <v>2803</v>
      </c>
      <c r="B1525">
        <v>603008</v>
      </c>
      <c r="C1525" t="s">
        <v>2804</v>
      </c>
      <c r="D1525" t="s">
        <v>423</v>
      </c>
      <c r="E1525" t="s">
        <v>21</v>
      </c>
      <c r="F1525" t="s">
        <v>2805</v>
      </c>
      <c r="G1525" t="s">
        <v>152</v>
      </c>
      <c r="H1525" t="s">
        <v>174</v>
      </c>
      <c r="I1525" t="s">
        <v>154</v>
      </c>
      <c r="J1525">
        <v>20120717</v>
      </c>
    </row>
    <row r="1526" spans="1:10">
      <c r="A1526" t="s">
        <v>2023</v>
      </c>
      <c r="B1526">
        <v>603009</v>
      </c>
      <c r="C1526" t="s">
        <v>2024</v>
      </c>
      <c r="D1526" t="s">
        <v>172</v>
      </c>
      <c r="E1526" t="s">
        <v>28</v>
      </c>
      <c r="F1526" t="s">
        <v>2025</v>
      </c>
      <c r="G1526" t="s">
        <v>152</v>
      </c>
      <c r="H1526" t="s">
        <v>174</v>
      </c>
      <c r="I1526" t="s">
        <v>154</v>
      </c>
      <c r="J1526">
        <v>20140718</v>
      </c>
    </row>
    <row r="1527" spans="1:10">
      <c r="A1527" t="s">
        <v>623</v>
      </c>
      <c r="B1527">
        <v>603010</v>
      </c>
      <c r="C1527" t="s">
        <v>624</v>
      </c>
      <c r="D1527" t="s">
        <v>423</v>
      </c>
      <c r="E1527" t="s">
        <v>14</v>
      </c>
      <c r="F1527" t="s">
        <v>625</v>
      </c>
      <c r="G1527" t="s">
        <v>152</v>
      </c>
      <c r="H1527" t="s">
        <v>174</v>
      </c>
      <c r="I1527" t="s">
        <v>154</v>
      </c>
      <c r="J1527">
        <v>20141010</v>
      </c>
    </row>
    <row r="1528" spans="1:10">
      <c r="A1528" t="s">
        <v>5634</v>
      </c>
      <c r="B1528">
        <v>603011</v>
      </c>
      <c r="C1528" t="s">
        <v>5635</v>
      </c>
      <c r="D1528" t="s">
        <v>160</v>
      </c>
      <c r="E1528" t="s">
        <v>134</v>
      </c>
      <c r="F1528" t="s">
        <v>5636</v>
      </c>
      <c r="G1528" t="s">
        <v>152</v>
      </c>
      <c r="H1528" t="s">
        <v>174</v>
      </c>
      <c r="I1528" t="s">
        <v>154</v>
      </c>
      <c r="J1528">
        <v>20141107</v>
      </c>
    </row>
    <row r="1529" spans="1:10">
      <c r="A1529" t="s">
        <v>5637</v>
      </c>
      <c r="B1529">
        <v>603012</v>
      </c>
      <c r="C1529" t="s">
        <v>5638</v>
      </c>
      <c r="D1529" t="s">
        <v>172</v>
      </c>
      <c r="E1529" t="s">
        <v>122</v>
      </c>
      <c r="F1529" t="s">
        <v>5639</v>
      </c>
      <c r="G1529" t="s">
        <v>152</v>
      </c>
      <c r="H1529" t="s">
        <v>174</v>
      </c>
      <c r="I1529" t="s">
        <v>154</v>
      </c>
      <c r="J1529">
        <v>20150320</v>
      </c>
    </row>
    <row r="1530" spans="1:10">
      <c r="A1530" t="s">
        <v>2026</v>
      </c>
      <c r="B1530">
        <v>603013</v>
      </c>
      <c r="C1530" t="s">
        <v>2027</v>
      </c>
      <c r="D1530" t="s">
        <v>212</v>
      </c>
      <c r="E1530" t="s">
        <v>28</v>
      </c>
      <c r="F1530" t="s">
        <v>2028</v>
      </c>
      <c r="G1530" t="s">
        <v>152</v>
      </c>
      <c r="H1530" t="s">
        <v>174</v>
      </c>
      <c r="I1530" t="s">
        <v>154</v>
      </c>
      <c r="J1530">
        <v>20180509</v>
      </c>
    </row>
    <row r="1531" spans="1:10">
      <c r="A1531" t="s">
        <v>1543</v>
      </c>
      <c r="B1531">
        <v>603015</v>
      </c>
      <c r="C1531" t="s">
        <v>1544</v>
      </c>
      <c r="D1531" t="s">
        <v>423</v>
      </c>
      <c r="E1531" t="s">
        <v>17</v>
      </c>
      <c r="F1531" t="s">
        <v>1545</v>
      </c>
      <c r="G1531" t="s">
        <v>152</v>
      </c>
      <c r="H1531" t="s">
        <v>174</v>
      </c>
      <c r="I1531" t="s">
        <v>154</v>
      </c>
      <c r="J1531">
        <v>20150303</v>
      </c>
    </row>
    <row r="1532" spans="1:10">
      <c r="A1532" t="s">
        <v>1546</v>
      </c>
      <c r="B1532">
        <v>603016</v>
      </c>
      <c r="C1532" t="s">
        <v>1547</v>
      </c>
      <c r="D1532" t="s">
        <v>212</v>
      </c>
      <c r="E1532" t="s">
        <v>17</v>
      </c>
      <c r="F1532" t="s">
        <v>1548</v>
      </c>
      <c r="G1532" t="s">
        <v>152</v>
      </c>
      <c r="H1532" t="s">
        <v>174</v>
      </c>
      <c r="I1532" t="s">
        <v>154</v>
      </c>
      <c r="J1532">
        <v>20160701</v>
      </c>
    </row>
    <row r="1533" spans="1:10">
      <c r="A1533" t="s">
        <v>5331</v>
      </c>
      <c r="B1533">
        <v>603017</v>
      </c>
      <c r="C1533" t="s">
        <v>5332</v>
      </c>
      <c r="D1533" t="s">
        <v>212</v>
      </c>
      <c r="E1533" t="s">
        <v>121</v>
      </c>
      <c r="F1533" t="s">
        <v>5333</v>
      </c>
      <c r="G1533" t="s">
        <v>152</v>
      </c>
      <c r="H1533" t="s">
        <v>174</v>
      </c>
      <c r="I1533" t="s">
        <v>154</v>
      </c>
      <c r="J1533">
        <v>20141231</v>
      </c>
    </row>
    <row r="1534" spans="1:10">
      <c r="A1534" t="s">
        <v>5334</v>
      </c>
      <c r="B1534">
        <v>603018</v>
      </c>
      <c r="C1534" t="s">
        <v>5335</v>
      </c>
      <c r="D1534" t="s">
        <v>212</v>
      </c>
      <c r="E1534" t="s">
        <v>121</v>
      </c>
      <c r="F1534" t="s">
        <v>5336</v>
      </c>
      <c r="G1534" t="s">
        <v>152</v>
      </c>
      <c r="H1534" t="s">
        <v>174</v>
      </c>
      <c r="I1534" t="s">
        <v>154</v>
      </c>
      <c r="J1534">
        <v>20141013</v>
      </c>
    </row>
    <row r="1535" spans="1:10">
      <c r="A1535" t="s">
        <v>1549</v>
      </c>
      <c r="B1535">
        <v>603019</v>
      </c>
      <c r="C1535" t="s">
        <v>1550</v>
      </c>
      <c r="D1535" t="s">
        <v>576</v>
      </c>
      <c r="E1535" t="s">
        <v>1</v>
      </c>
      <c r="F1535" t="s">
        <v>1551</v>
      </c>
      <c r="G1535" t="s">
        <v>152</v>
      </c>
      <c r="H1535" t="s">
        <v>174</v>
      </c>
      <c r="I1535" t="s">
        <v>154</v>
      </c>
      <c r="J1535">
        <v>20141106</v>
      </c>
    </row>
    <row r="1536" spans="1:10">
      <c r="A1536" t="s">
        <v>2503</v>
      </c>
      <c r="B1536">
        <v>603020</v>
      </c>
      <c r="C1536" t="s">
        <v>2504</v>
      </c>
      <c r="D1536" t="s">
        <v>172</v>
      </c>
      <c r="E1536" t="s">
        <v>19</v>
      </c>
      <c r="F1536" t="s">
        <v>2505</v>
      </c>
      <c r="G1536" t="s">
        <v>152</v>
      </c>
      <c r="H1536" t="s">
        <v>174</v>
      </c>
      <c r="I1536" t="s">
        <v>154</v>
      </c>
      <c r="J1536">
        <v>20150325</v>
      </c>
    </row>
    <row r="1537" spans="1:10">
      <c r="A1537" t="s">
        <v>2806</v>
      </c>
      <c r="B1537">
        <v>603021</v>
      </c>
      <c r="C1537" t="s">
        <v>2807</v>
      </c>
      <c r="D1537" t="s">
        <v>198</v>
      </c>
      <c r="E1537" t="s">
        <v>21</v>
      </c>
      <c r="F1537" t="s">
        <v>2808</v>
      </c>
      <c r="G1537" t="s">
        <v>152</v>
      </c>
      <c r="H1537" t="s">
        <v>174</v>
      </c>
      <c r="I1537" t="s">
        <v>154</v>
      </c>
      <c r="J1537">
        <v>20150423</v>
      </c>
    </row>
    <row r="1538" spans="1:10">
      <c r="A1538" t="s">
        <v>2809</v>
      </c>
      <c r="B1538">
        <v>603022</v>
      </c>
      <c r="C1538" t="s">
        <v>2810</v>
      </c>
      <c r="D1538" t="s">
        <v>172</v>
      </c>
      <c r="E1538" t="s">
        <v>37</v>
      </c>
      <c r="F1538" t="s">
        <v>2811</v>
      </c>
      <c r="G1538" t="s">
        <v>152</v>
      </c>
      <c r="H1538" t="s">
        <v>174</v>
      </c>
      <c r="I1538" t="s">
        <v>154</v>
      </c>
      <c r="J1538">
        <v>20150518</v>
      </c>
    </row>
    <row r="1539" spans="1:10">
      <c r="A1539" t="s">
        <v>2029</v>
      </c>
      <c r="B1539">
        <v>603023</v>
      </c>
      <c r="C1539" t="s">
        <v>2030</v>
      </c>
      <c r="D1539" t="s">
        <v>194</v>
      </c>
      <c r="E1539" t="s">
        <v>28</v>
      </c>
      <c r="F1539" t="s">
        <v>2031</v>
      </c>
      <c r="G1539" t="s">
        <v>152</v>
      </c>
      <c r="H1539" t="s">
        <v>174</v>
      </c>
      <c r="I1539" t="s">
        <v>154</v>
      </c>
      <c r="J1539">
        <v>20150527</v>
      </c>
    </row>
    <row r="1540" spans="1:10">
      <c r="A1540" t="s">
        <v>5640</v>
      </c>
      <c r="B1540">
        <v>603025</v>
      </c>
      <c r="C1540" t="s">
        <v>5641</v>
      </c>
      <c r="D1540" t="s">
        <v>164</v>
      </c>
      <c r="E1540" t="s">
        <v>100</v>
      </c>
      <c r="F1540" t="s">
        <v>5642</v>
      </c>
      <c r="G1540" t="s">
        <v>152</v>
      </c>
      <c r="H1540" t="s">
        <v>174</v>
      </c>
      <c r="I1540" t="s">
        <v>154</v>
      </c>
      <c r="J1540">
        <v>20150422</v>
      </c>
    </row>
    <row r="1541" spans="1:10">
      <c r="A1541" t="s">
        <v>626</v>
      </c>
      <c r="B1541">
        <v>603026</v>
      </c>
      <c r="C1541" t="s">
        <v>627</v>
      </c>
      <c r="D1541" t="s">
        <v>198</v>
      </c>
      <c r="E1541" t="s">
        <v>14</v>
      </c>
      <c r="F1541" t="s">
        <v>628</v>
      </c>
      <c r="G1541" t="s">
        <v>152</v>
      </c>
      <c r="H1541" t="s">
        <v>174</v>
      </c>
      <c r="I1541" t="s">
        <v>154</v>
      </c>
      <c r="J1541">
        <v>20150529</v>
      </c>
    </row>
    <row r="1542" spans="1:10">
      <c r="A1542" t="s">
        <v>2506</v>
      </c>
      <c r="B1542">
        <v>603027</v>
      </c>
      <c r="C1542" t="s">
        <v>2507</v>
      </c>
      <c r="D1542" t="s">
        <v>219</v>
      </c>
      <c r="E1542" t="s">
        <v>19</v>
      </c>
      <c r="F1542" t="s">
        <v>2508</v>
      </c>
      <c r="G1542" t="s">
        <v>152</v>
      </c>
      <c r="H1542" t="s">
        <v>174</v>
      </c>
      <c r="I1542" t="s">
        <v>154</v>
      </c>
      <c r="J1542">
        <v>20160307</v>
      </c>
    </row>
    <row r="1543" spans="1:10">
      <c r="A1543" t="s">
        <v>945</v>
      </c>
      <c r="B1543">
        <v>603028</v>
      </c>
      <c r="C1543" t="s">
        <v>946</v>
      </c>
      <c r="D1543" t="s">
        <v>212</v>
      </c>
      <c r="E1543" t="s">
        <v>34</v>
      </c>
      <c r="F1543" t="s">
        <v>947</v>
      </c>
      <c r="G1543" t="s">
        <v>152</v>
      </c>
      <c r="H1543" t="s">
        <v>174</v>
      </c>
      <c r="I1543" t="s">
        <v>154</v>
      </c>
      <c r="J1543">
        <v>20160331</v>
      </c>
    </row>
    <row r="1544" spans="1:10">
      <c r="A1544" t="s">
        <v>5643</v>
      </c>
      <c r="B1544">
        <v>603029</v>
      </c>
      <c r="C1544" t="s">
        <v>5644</v>
      </c>
      <c r="D1544" t="s">
        <v>198</v>
      </c>
      <c r="E1544" t="s">
        <v>133</v>
      </c>
      <c r="F1544" t="s">
        <v>5645</v>
      </c>
      <c r="G1544" t="s">
        <v>152</v>
      </c>
      <c r="H1544" t="s">
        <v>174</v>
      </c>
      <c r="I1544" t="s">
        <v>154</v>
      </c>
      <c r="J1544">
        <v>20160427</v>
      </c>
    </row>
    <row r="1545" spans="1:10">
      <c r="A1545" t="s">
        <v>5337</v>
      </c>
      <c r="B1545">
        <v>603030</v>
      </c>
      <c r="C1545" t="s">
        <v>5338</v>
      </c>
      <c r="D1545" t="s">
        <v>172</v>
      </c>
      <c r="E1545" t="s">
        <v>115</v>
      </c>
      <c r="F1545" t="s">
        <v>5339</v>
      </c>
      <c r="G1545" t="s">
        <v>152</v>
      </c>
      <c r="H1545" t="s">
        <v>174</v>
      </c>
      <c r="I1545" t="s">
        <v>154</v>
      </c>
      <c r="J1545">
        <v>20150320</v>
      </c>
    </row>
    <row r="1546" spans="1:10">
      <c r="A1546" t="s">
        <v>4587</v>
      </c>
      <c r="B1546">
        <v>603031</v>
      </c>
      <c r="C1546" t="s">
        <v>4588</v>
      </c>
      <c r="D1546" t="s">
        <v>160</v>
      </c>
      <c r="E1546" t="s">
        <v>54</v>
      </c>
      <c r="F1546" t="s">
        <v>4589</v>
      </c>
      <c r="G1546" t="s">
        <v>152</v>
      </c>
      <c r="H1546" t="s">
        <v>174</v>
      </c>
      <c r="I1546" t="s">
        <v>154</v>
      </c>
      <c r="J1546">
        <v>20160822</v>
      </c>
    </row>
    <row r="1547" spans="1:10">
      <c r="A1547" t="s">
        <v>5646</v>
      </c>
      <c r="B1547">
        <v>603032</v>
      </c>
      <c r="C1547" t="s">
        <v>5647</v>
      </c>
      <c r="D1547" t="s">
        <v>202</v>
      </c>
      <c r="E1547" t="s">
        <v>122</v>
      </c>
      <c r="F1547" t="s">
        <v>5648</v>
      </c>
      <c r="G1547" t="s">
        <v>152</v>
      </c>
      <c r="H1547" t="s">
        <v>174</v>
      </c>
      <c r="I1547" t="s">
        <v>154</v>
      </c>
      <c r="J1547">
        <v>20170105</v>
      </c>
    </row>
    <row r="1548" spans="1:10">
      <c r="A1548" t="s">
        <v>6715</v>
      </c>
      <c r="B1548">
        <v>603033</v>
      </c>
      <c r="C1548" t="s">
        <v>6716</v>
      </c>
      <c r="D1548" t="s">
        <v>423</v>
      </c>
      <c r="E1548" t="s">
        <v>51</v>
      </c>
      <c r="F1548" t="s">
        <v>6717</v>
      </c>
      <c r="G1548" t="s">
        <v>152</v>
      </c>
      <c r="H1548" t="s">
        <v>174</v>
      </c>
      <c r="I1548" t="s">
        <v>154</v>
      </c>
      <c r="J1548">
        <v>20161207</v>
      </c>
    </row>
    <row r="1549" spans="1:10">
      <c r="A1549" t="s">
        <v>2032</v>
      </c>
      <c r="B1549">
        <v>603035</v>
      </c>
      <c r="C1549" t="s">
        <v>2033</v>
      </c>
      <c r="D1549" t="s">
        <v>212</v>
      </c>
      <c r="E1549" t="s">
        <v>28</v>
      </c>
      <c r="F1549" t="s">
        <v>2034</v>
      </c>
      <c r="G1549" t="s">
        <v>152</v>
      </c>
      <c r="H1549" t="s">
        <v>174</v>
      </c>
      <c r="I1549" t="s">
        <v>154</v>
      </c>
      <c r="J1549">
        <v>20170105</v>
      </c>
    </row>
    <row r="1550" spans="1:10">
      <c r="A1550" t="s">
        <v>5649</v>
      </c>
      <c r="B1550">
        <v>603036</v>
      </c>
      <c r="C1550" t="s">
        <v>5650</v>
      </c>
      <c r="D1550" t="s">
        <v>212</v>
      </c>
      <c r="E1550" t="s">
        <v>122</v>
      </c>
      <c r="F1550" t="s">
        <v>5651</v>
      </c>
      <c r="G1550" t="s">
        <v>152</v>
      </c>
      <c r="H1550" t="s">
        <v>174</v>
      </c>
      <c r="I1550" t="s">
        <v>154</v>
      </c>
      <c r="J1550">
        <v>20161209</v>
      </c>
    </row>
    <row r="1551" spans="1:10">
      <c r="A1551" t="s">
        <v>2035</v>
      </c>
      <c r="B1551">
        <v>603037</v>
      </c>
      <c r="C1551" t="s">
        <v>2036</v>
      </c>
      <c r="D1551" t="s">
        <v>172</v>
      </c>
      <c r="E1551" t="s">
        <v>28</v>
      </c>
      <c r="F1551" t="s">
        <v>2037</v>
      </c>
      <c r="G1551" t="s">
        <v>152</v>
      </c>
      <c r="H1551" t="s">
        <v>174</v>
      </c>
      <c r="I1551" t="s">
        <v>154</v>
      </c>
      <c r="J1551">
        <v>20170120</v>
      </c>
    </row>
    <row r="1552" spans="1:10">
      <c r="A1552" t="s">
        <v>2812</v>
      </c>
      <c r="B1552">
        <v>603038</v>
      </c>
      <c r="C1552" t="s">
        <v>2813</v>
      </c>
      <c r="D1552" t="s">
        <v>223</v>
      </c>
      <c r="E1552" t="s">
        <v>21</v>
      </c>
      <c r="F1552" t="s">
        <v>2814</v>
      </c>
      <c r="G1552" t="s">
        <v>152</v>
      </c>
      <c r="H1552" t="s">
        <v>174</v>
      </c>
      <c r="I1552" t="s">
        <v>154</v>
      </c>
      <c r="J1552">
        <v>20170116</v>
      </c>
    </row>
    <row r="1553" spans="1:10">
      <c r="A1553" t="s">
        <v>5961</v>
      </c>
      <c r="B1553">
        <v>603039</v>
      </c>
      <c r="C1553" t="s">
        <v>5962</v>
      </c>
      <c r="D1553" t="s">
        <v>172</v>
      </c>
      <c r="E1553" t="s">
        <v>123</v>
      </c>
      <c r="F1553" t="s">
        <v>5963</v>
      </c>
      <c r="G1553" t="s">
        <v>152</v>
      </c>
      <c r="H1553" t="s">
        <v>174</v>
      </c>
      <c r="I1553" t="s">
        <v>154</v>
      </c>
      <c r="J1553">
        <v>20170113</v>
      </c>
    </row>
    <row r="1554" spans="1:10">
      <c r="A1554" t="s">
        <v>2038</v>
      </c>
      <c r="B1554">
        <v>603040</v>
      </c>
      <c r="C1554" t="s">
        <v>2039</v>
      </c>
      <c r="D1554" t="s">
        <v>423</v>
      </c>
      <c r="E1554" t="s">
        <v>28</v>
      </c>
      <c r="F1554" t="s">
        <v>2040</v>
      </c>
      <c r="G1554" t="s">
        <v>152</v>
      </c>
      <c r="H1554" t="s">
        <v>174</v>
      </c>
      <c r="I1554" t="s">
        <v>154</v>
      </c>
      <c r="J1554">
        <v>20170209</v>
      </c>
    </row>
    <row r="1555" spans="1:10">
      <c r="A1555" t="s">
        <v>629</v>
      </c>
      <c r="B1555">
        <v>603041</v>
      </c>
      <c r="C1555" t="s">
        <v>630</v>
      </c>
      <c r="D1555" t="s">
        <v>212</v>
      </c>
      <c r="E1555" t="s">
        <v>14</v>
      </c>
      <c r="F1555" t="s">
        <v>631</v>
      </c>
      <c r="G1555" t="s">
        <v>152</v>
      </c>
      <c r="H1555" t="s">
        <v>174</v>
      </c>
      <c r="I1555" t="s">
        <v>154</v>
      </c>
      <c r="J1555">
        <v>20170330</v>
      </c>
    </row>
    <row r="1556" spans="1:10">
      <c r="A1556" t="s">
        <v>6309</v>
      </c>
      <c r="B1556">
        <v>603042</v>
      </c>
      <c r="C1556" t="s">
        <v>6310</v>
      </c>
      <c r="D1556" t="s">
        <v>212</v>
      </c>
      <c r="E1556" t="s">
        <v>125</v>
      </c>
      <c r="F1556" t="s">
        <v>6311</v>
      </c>
      <c r="G1556" t="s">
        <v>152</v>
      </c>
      <c r="H1556" t="s">
        <v>174</v>
      </c>
      <c r="I1556" t="s">
        <v>154</v>
      </c>
      <c r="J1556">
        <v>20170602</v>
      </c>
    </row>
    <row r="1557" spans="1:10">
      <c r="A1557" t="s">
        <v>2509</v>
      </c>
      <c r="B1557">
        <v>603043</v>
      </c>
      <c r="C1557" t="s">
        <v>2510</v>
      </c>
      <c r="D1557" t="s">
        <v>223</v>
      </c>
      <c r="E1557" t="s">
        <v>19</v>
      </c>
      <c r="F1557" t="s">
        <v>2511</v>
      </c>
      <c r="G1557" t="s">
        <v>152</v>
      </c>
      <c r="H1557" t="s">
        <v>174</v>
      </c>
      <c r="I1557" t="s">
        <v>154</v>
      </c>
      <c r="J1557">
        <v>20170627</v>
      </c>
    </row>
    <row r="1558" spans="1:10">
      <c r="A1558" t="s">
        <v>1552</v>
      </c>
      <c r="B1558">
        <v>603045</v>
      </c>
      <c r="C1558" t="s">
        <v>1553</v>
      </c>
      <c r="D1558" t="s">
        <v>423</v>
      </c>
      <c r="E1558" t="s">
        <v>17</v>
      </c>
      <c r="F1558" t="s">
        <v>1554</v>
      </c>
      <c r="G1558" t="s">
        <v>152</v>
      </c>
      <c r="H1558" t="s">
        <v>174</v>
      </c>
      <c r="I1558" t="s">
        <v>154</v>
      </c>
      <c r="J1558">
        <v>20180517</v>
      </c>
    </row>
    <row r="1559" spans="1:10">
      <c r="A1559" t="s">
        <v>2041</v>
      </c>
      <c r="B1559">
        <v>603048</v>
      </c>
      <c r="C1559" t="s">
        <v>2042</v>
      </c>
      <c r="D1559" t="s">
        <v>423</v>
      </c>
      <c r="E1559" t="s">
        <v>28</v>
      </c>
      <c r="F1559" t="s">
        <v>2043</v>
      </c>
      <c r="G1559" t="s">
        <v>152</v>
      </c>
      <c r="H1559" t="s">
        <v>174</v>
      </c>
      <c r="I1559" t="s">
        <v>154</v>
      </c>
      <c r="J1559">
        <v>20211116</v>
      </c>
    </row>
    <row r="1560" spans="1:10">
      <c r="A1560" t="s">
        <v>1555</v>
      </c>
      <c r="B1560">
        <v>603050</v>
      </c>
      <c r="C1560" t="s">
        <v>1556</v>
      </c>
      <c r="D1560" t="s">
        <v>279</v>
      </c>
      <c r="E1560" t="s">
        <v>17</v>
      </c>
      <c r="F1560" t="s">
        <v>1557</v>
      </c>
      <c r="G1560" t="s">
        <v>152</v>
      </c>
      <c r="H1560" t="s">
        <v>174</v>
      </c>
      <c r="I1560" t="s">
        <v>154</v>
      </c>
      <c r="J1560">
        <v>20170414</v>
      </c>
    </row>
    <row r="1561" spans="1:10">
      <c r="A1561" t="s">
        <v>632</v>
      </c>
      <c r="B1561">
        <v>603051</v>
      </c>
      <c r="C1561" t="s">
        <v>633</v>
      </c>
      <c r="D1561" t="s">
        <v>223</v>
      </c>
      <c r="E1561" t="s">
        <v>40</v>
      </c>
      <c r="F1561" t="s">
        <v>634</v>
      </c>
      <c r="G1561" t="s">
        <v>152</v>
      </c>
      <c r="H1561" t="s">
        <v>174</v>
      </c>
      <c r="I1561" t="s">
        <v>154</v>
      </c>
      <c r="J1561">
        <v>20220325</v>
      </c>
    </row>
    <row r="1562" spans="1:10">
      <c r="A1562" t="s">
        <v>1558</v>
      </c>
      <c r="B1562">
        <v>603052</v>
      </c>
      <c r="C1562" t="s">
        <v>1559</v>
      </c>
      <c r="D1562" t="s">
        <v>212</v>
      </c>
      <c r="E1562" t="s">
        <v>42</v>
      </c>
      <c r="F1562" t="s">
        <v>1560</v>
      </c>
      <c r="G1562" t="s">
        <v>152</v>
      </c>
      <c r="H1562" t="s">
        <v>174</v>
      </c>
      <c r="I1562" t="s">
        <v>154</v>
      </c>
      <c r="J1562">
        <v>20221011</v>
      </c>
    </row>
    <row r="1563" spans="1:10">
      <c r="A1563" t="s">
        <v>3685</v>
      </c>
      <c r="B1563">
        <v>603053</v>
      </c>
      <c r="C1563" t="s">
        <v>3686</v>
      </c>
      <c r="D1563" t="s">
        <v>219</v>
      </c>
      <c r="E1563" t="s">
        <v>91</v>
      </c>
      <c r="F1563" t="s">
        <v>3687</v>
      </c>
      <c r="G1563" t="s">
        <v>152</v>
      </c>
      <c r="H1563" t="s">
        <v>174</v>
      </c>
      <c r="I1563" t="s">
        <v>154</v>
      </c>
      <c r="J1563">
        <v>20191217</v>
      </c>
    </row>
    <row r="1564" spans="1:10">
      <c r="A1564" t="s">
        <v>635</v>
      </c>
      <c r="B1564">
        <v>603055</v>
      </c>
      <c r="C1564" t="s">
        <v>636</v>
      </c>
      <c r="D1564" t="s">
        <v>423</v>
      </c>
      <c r="E1564" t="s">
        <v>33</v>
      </c>
      <c r="F1564" t="s">
        <v>637</v>
      </c>
      <c r="G1564" t="s">
        <v>152</v>
      </c>
      <c r="H1564" t="s">
        <v>174</v>
      </c>
      <c r="I1564" t="s">
        <v>154</v>
      </c>
      <c r="J1564">
        <v>20170921</v>
      </c>
    </row>
    <row r="1565" spans="1:10">
      <c r="A1565" t="s">
        <v>4054</v>
      </c>
      <c r="B1565">
        <v>603056</v>
      </c>
      <c r="C1565" t="s">
        <v>4055</v>
      </c>
      <c r="D1565" t="s">
        <v>172</v>
      </c>
      <c r="E1565" t="s">
        <v>50</v>
      </c>
      <c r="F1565" t="s">
        <v>4056</v>
      </c>
      <c r="G1565" t="s">
        <v>152</v>
      </c>
      <c r="H1565" t="s">
        <v>174</v>
      </c>
      <c r="I1565" t="s">
        <v>154</v>
      </c>
      <c r="J1565">
        <v>20180116</v>
      </c>
    </row>
    <row r="1566" spans="1:10">
      <c r="A1566" t="s">
        <v>2512</v>
      </c>
      <c r="B1566">
        <v>603057</v>
      </c>
      <c r="C1566" t="s">
        <v>2513</v>
      </c>
      <c r="D1566" t="s">
        <v>172</v>
      </c>
      <c r="E1566" t="s">
        <v>19</v>
      </c>
      <c r="F1566" t="s">
        <v>2514</v>
      </c>
      <c r="G1566" t="s">
        <v>152</v>
      </c>
      <c r="H1566" t="s">
        <v>174</v>
      </c>
      <c r="I1566" t="s">
        <v>154</v>
      </c>
      <c r="J1566">
        <v>20220926</v>
      </c>
    </row>
    <row r="1567" spans="1:10">
      <c r="A1567" t="s">
        <v>2815</v>
      </c>
      <c r="B1567">
        <v>603058</v>
      </c>
      <c r="C1567" t="s">
        <v>2816</v>
      </c>
      <c r="D1567" t="s">
        <v>463</v>
      </c>
      <c r="E1567" t="s">
        <v>37</v>
      </c>
      <c r="F1567" t="s">
        <v>2817</v>
      </c>
      <c r="G1567" t="s">
        <v>152</v>
      </c>
      <c r="H1567" t="s">
        <v>174</v>
      </c>
      <c r="I1567" t="s">
        <v>154</v>
      </c>
      <c r="J1567">
        <v>20161223</v>
      </c>
    </row>
    <row r="1568" spans="1:10">
      <c r="A1568" t="s">
        <v>6669</v>
      </c>
      <c r="B1568">
        <v>603059</v>
      </c>
      <c r="C1568" t="s">
        <v>6670</v>
      </c>
      <c r="D1568" t="s">
        <v>212</v>
      </c>
      <c r="E1568" t="s">
        <v>120</v>
      </c>
      <c r="F1568" t="s">
        <v>6671</v>
      </c>
      <c r="G1568" t="s">
        <v>152</v>
      </c>
      <c r="H1568" t="s">
        <v>174</v>
      </c>
      <c r="I1568" t="s">
        <v>154</v>
      </c>
      <c r="J1568">
        <v>20180302</v>
      </c>
    </row>
    <row r="1569" spans="1:10">
      <c r="A1569" t="s">
        <v>5340</v>
      </c>
      <c r="B1569">
        <v>603060</v>
      </c>
      <c r="C1569" t="s">
        <v>5341</v>
      </c>
      <c r="D1569" t="s">
        <v>164</v>
      </c>
      <c r="E1569" t="s">
        <v>121</v>
      </c>
      <c r="F1569" t="s">
        <v>5342</v>
      </c>
      <c r="G1569" t="s">
        <v>152</v>
      </c>
      <c r="H1569" t="s">
        <v>174</v>
      </c>
      <c r="I1569" t="s">
        <v>154</v>
      </c>
      <c r="J1569">
        <v>20161109</v>
      </c>
    </row>
    <row r="1570" spans="1:10">
      <c r="A1570" t="s">
        <v>1561</v>
      </c>
      <c r="B1570">
        <v>603063</v>
      </c>
      <c r="C1570" t="s">
        <v>1562</v>
      </c>
      <c r="D1570" t="s">
        <v>243</v>
      </c>
      <c r="E1570" t="s">
        <v>17</v>
      </c>
      <c r="F1570" t="s">
        <v>1563</v>
      </c>
      <c r="G1570" t="s">
        <v>152</v>
      </c>
      <c r="H1570" t="s">
        <v>174</v>
      </c>
      <c r="I1570" t="s">
        <v>154</v>
      </c>
      <c r="J1570">
        <v>20170728</v>
      </c>
    </row>
    <row r="1571" spans="1:10">
      <c r="A1571" t="s">
        <v>4057</v>
      </c>
      <c r="B1571">
        <v>603066</v>
      </c>
      <c r="C1571" t="s">
        <v>4058</v>
      </c>
      <c r="D1571" t="s">
        <v>212</v>
      </c>
      <c r="E1571" t="s">
        <v>50</v>
      </c>
      <c r="F1571" t="s">
        <v>4059</v>
      </c>
      <c r="G1571" t="s">
        <v>152</v>
      </c>
      <c r="H1571" t="s">
        <v>174</v>
      </c>
      <c r="I1571" t="s">
        <v>154</v>
      </c>
      <c r="J1571">
        <v>20150611</v>
      </c>
    </row>
    <row r="1572" spans="1:10">
      <c r="A1572" t="s">
        <v>638</v>
      </c>
      <c r="B1572">
        <v>603067</v>
      </c>
      <c r="C1572" t="s">
        <v>639</v>
      </c>
      <c r="D1572" t="s">
        <v>316</v>
      </c>
      <c r="E1572" t="s">
        <v>14</v>
      </c>
      <c r="F1572" t="s">
        <v>640</v>
      </c>
      <c r="G1572" t="s">
        <v>152</v>
      </c>
      <c r="H1572" t="s">
        <v>174</v>
      </c>
      <c r="I1572" t="s">
        <v>154</v>
      </c>
      <c r="J1572">
        <v>20160913</v>
      </c>
    </row>
    <row r="1573" spans="1:10">
      <c r="A1573" t="s">
        <v>1564</v>
      </c>
      <c r="B1573">
        <v>603068</v>
      </c>
      <c r="C1573" t="s">
        <v>1565</v>
      </c>
      <c r="D1573" t="s">
        <v>172</v>
      </c>
      <c r="E1573" t="s">
        <v>31</v>
      </c>
      <c r="F1573" t="s">
        <v>1566</v>
      </c>
      <c r="G1573" t="s">
        <v>152</v>
      </c>
      <c r="H1573" t="s">
        <v>174</v>
      </c>
      <c r="I1573" t="s">
        <v>154</v>
      </c>
      <c r="J1573">
        <v>20190415</v>
      </c>
    </row>
    <row r="1574" spans="1:10">
      <c r="A1574" t="s">
        <v>4060</v>
      </c>
      <c r="B1574">
        <v>603069</v>
      </c>
      <c r="C1574" t="s">
        <v>4061</v>
      </c>
      <c r="D1574" t="s">
        <v>250</v>
      </c>
      <c r="E1574" t="s">
        <v>78</v>
      </c>
      <c r="F1574" t="s">
        <v>4062</v>
      </c>
      <c r="G1574" t="s">
        <v>152</v>
      </c>
      <c r="H1574" t="s">
        <v>174</v>
      </c>
      <c r="I1574" t="s">
        <v>154</v>
      </c>
      <c r="J1574">
        <v>20160712</v>
      </c>
    </row>
    <row r="1575" spans="1:10">
      <c r="A1575" t="s">
        <v>1567</v>
      </c>
      <c r="B1575">
        <v>603070</v>
      </c>
      <c r="C1575" t="s">
        <v>1568</v>
      </c>
      <c r="D1575" t="s">
        <v>423</v>
      </c>
      <c r="E1575" t="s">
        <v>17</v>
      </c>
      <c r="F1575" t="s">
        <v>1569</v>
      </c>
      <c r="G1575" t="s">
        <v>152</v>
      </c>
      <c r="H1575" t="s">
        <v>174</v>
      </c>
      <c r="I1575" t="s">
        <v>154</v>
      </c>
      <c r="J1575">
        <v>20220310</v>
      </c>
    </row>
    <row r="1576" spans="1:10">
      <c r="A1576" t="s">
        <v>4590</v>
      </c>
      <c r="B1576">
        <v>603071</v>
      </c>
      <c r="C1576" t="s">
        <v>4591</v>
      </c>
      <c r="D1576" t="s">
        <v>423</v>
      </c>
      <c r="E1576" t="s">
        <v>85</v>
      </c>
      <c r="F1576" t="s">
        <v>4592</v>
      </c>
      <c r="G1576" t="s">
        <v>152</v>
      </c>
      <c r="H1576" t="s">
        <v>174</v>
      </c>
      <c r="I1576" t="s">
        <v>154</v>
      </c>
      <c r="J1576">
        <v>20211216</v>
      </c>
    </row>
    <row r="1577" spans="1:10">
      <c r="A1577" t="s">
        <v>5652</v>
      </c>
      <c r="B1577">
        <v>603076</v>
      </c>
      <c r="C1577" t="s">
        <v>5653</v>
      </c>
      <c r="D1577" t="s">
        <v>423</v>
      </c>
      <c r="E1577" t="s">
        <v>122</v>
      </c>
      <c r="F1577" t="s">
        <v>5654</v>
      </c>
      <c r="G1577" t="s">
        <v>152</v>
      </c>
      <c r="H1577" t="s">
        <v>174</v>
      </c>
      <c r="I1577" t="s">
        <v>154</v>
      </c>
      <c r="J1577">
        <v>20171113</v>
      </c>
    </row>
    <row r="1578" spans="1:10">
      <c r="A1578" t="s">
        <v>641</v>
      </c>
      <c r="B1578">
        <v>603077</v>
      </c>
      <c r="C1578" t="s">
        <v>642</v>
      </c>
      <c r="D1578" t="s">
        <v>219</v>
      </c>
      <c r="E1578" t="s">
        <v>14</v>
      </c>
      <c r="F1578" t="s">
        <v>643</v>
      </c>
      <c r="G1578" t="s">
        <v>152</v>
      </c>
      <c r="H1578" t="s">
        <v>174</v>
      </c>
      <c r="I1578" t="s">
        <v>154</v>
      </c>
      <c r="J1578">
        <v>20120731</v>
      </c>
    </row>
    <row r="1579" spans="1:10">
      <c r="A1579" t="s">
        <v>1570</v>
      </c>
      <c r="B1579">
        <v>603078</v>
      </c>
      <c r="C1579" t="s">
        <v>1571</v>
      </c>
      <c r="D1579" t="s">
        <v>212</v>
      </c>
      <c r="E1579" t="s">
        <v>31</v>
      </c>
      <c r="F1579" t="s">
        <v>1572</v>
      </c>
      <c r="G1579" t="s">
        <v>152</v>
      </c>
      <c r="H1579" t="s">
        <v>174</v>
      </c>
      <c r="I1579" t="s">
        <v>154</v>
      </c>
      <c r="J1579">
        <v>20170410</v>
      </c>
    </row>
    <row r="1580" spans="1:10">
      <c r="A1580" t="s">
        <v>2515</v>
      </c>
      <c r="B1580">
        <v>603079</v>
      </c>
      <c r="C1580" t="s">
        <v>2516</v>
      </c>
      <c r="D1580" t="s">
        <v>423</v>
      </c>
      <c r="E1580" t="s">
        <v>19</v>
      </c>
      <c r="F1580" t="s">
        <v>2517</v>
      </c>
      <c r="G1580" t="s">
        <v>152</v>
      </c>
      <c r="H1580" t="s">
        <v>174</v>
      </c>
      <c r="I1580" t="s">
        <v>154</v>
      </c>
      <c r="J1580">
        <v>20170823</v>
      </c>
    </row>
    <row r="1581" spans="1:10">
      <c r="A1581" t="s">
        <v>3688</v>
      </c>
      <c r="B1581">
        <v>603080</v>
      </c>
      <c r="C1581" t="s">
        <v>3689</v>
      </c>
      <c r="D1581" t="s">
        <v>202</v>
      </c>
      <c r="E1581" t="s">
        <v>91</v>
      </c>
      <c r="F1581" t="s">
        <v>3690</v>
      </c>
      <c r="G1581" t="s">
        <v>152</v>
      </c>
      <c r="H1581" t="s">
        <v>174</v>
      </c>
      <c r="I1581" t="s">
        <v>154</v>
      </c>
      <c r="J1581">
        <v>20180103</v>
      </c>
    </row>
    <row r="1582" spans="1:10">
      <c r="A1582" t="s">
        <v>5655</v>
      </c>
      <c r="B1582">
        <v>603081</v>
      </c>
      <c r="C1582" t="s">
        <v>5656</v>
      </c>
      <c r="D1582" t="s">
        <v>423</v>
      </c>
      <c r="E1582" t="s">
        <v>122</v>
      </c>
      <c r="F1582" t="s">
        <v>5657</v>
      </c>
      <c r="G1582" t="s">
        <v>152</v>
      </c>
      <c r="H1582" t="s">
        <v>174</v>
      </c>
      <c r="I1582" t="s">
        <v>154</v>
      </c>
      <c r="J1582">
        <v>20170420</v>
      </c>
    </row>
    <row r="1583" spans="1:10">
      <c r="A1583" t="s">
        <v>6312</v>
      </c>
      <c r="B1583">
        <v>603083</v>
      </c>
      <c r="C1583" t="s">
        <v>6313</v>
      </c>
      <c r="D1583" t="s">
        <v>172</v>
      </c>
      <c r="E1583" t="s">
        <v>125</v>
      </c>
      <c r="F1583" t="s">
        <v>6314</v>
      </c>
      <c r="G1583" t="s">
        <v>152</v>
      </c>
      <c r="H1583" t="s">
        <v>174</v>
      </c>
      <c r="I1583" t="s">
        <v>154</v>
      </c>
      <c r="J1583">
        <v>20171110</v>
      </c>
    </row>
    <row r="1584" spans="1:10">
      <c r="A1584" t="s">
        <v>2044</v>
      </c>
      <c r="B1584">
        <v>603085</v>
      </c>
      <c r="C1584" t="s">
        <v>2045</v>
      </c>
      <c r="D1584" t="s">
        <v>423</v>
      </c>
      <c r="E1584" t="s">
        <v>28</v>
      </c>
      <c r="F1584" t="s">
        <v>2046</v>
      </c>
      <c r="G1584" t="s">
        <v>152</v>
      </c>
      <c r="H1584" t="s">
        <v>174</v>
      </c>
      <c r="I1584" t="s">
        <v>154</v>
      </c>
      <c r="J1584">
        <v>20150630</v>
      </c>
    </row>
    <row r="1585" spans="1:10">
      <c r="A1585" t="s">
        <v>644</v>
      </c>
      <c r="B1585">
        <v>603086</v>
      </c>
      <c r="C1585" t="s">
        <v>645</v>
      </c>
      <c r="D1585" t="s">
        <v>198</v>
      </c>
      <c r="E1585" t="s">
        <v>47</v>
      </c>
      <c r="F1585" t="s">
        <v>646</v>
      </c>
      <c r="G1585" t="s">
        <v>152</v>
      </c>
      <c r="H1585" t="s">
        <v>174</v>
      </c>
      <c r="I1585" t="s">
        <v>154</v>
      </c>
      <c r="J1585">
        <v>20170511</v>
      </c>
    </row>
    <row r="1586" spans="1:10">
      <c r="A1586" t="s">
        <v>3094</v>
      </c>
      <c r="B1586">
        <v>603087</v>
      </c>
      <c r="C1586" t="s">
        <v>3095</v>
      </c>
      <c r="D1586" t="s">
        <v>164</v>
      </c>
      <c r="E1586" t="s">
        <v>76</v>
      </c>
      <c r="F1586" t="s">
        <v>3096</v>
      </c>
      <c r="G1586" t="s">
        <v>152</v>
      </c>
      <c r="H1586" t="s">
        <v>174</v>
      </c>
      <c r="I1586" t="s">
        <v>154</v>
      </c>
      <c r="J1586">
        <v>20200629</v>
      </c>
    </row>
    <row r="1587" spans="1:10">
      <c r="A1587" t="s">
        <v>5658</v>
      </c>
      <c r="B1587">
        <v>603088</v>
      </c>
      <c r="C1587" t="s">
        <v>5659</v>
      </c>
      <c r="D1587" t="s">
        <v>423</v>
      </c>
      <c r="E1587" t="s">
        <v>134</v>
      </c>
      <c r="F1587" t="s">
        <v>5660</v>
      </c>
      <c r="G1587" t="s">
        <v>152</v>
      </c>
      <c r="H1587" t="s">
        <v>174</v>
      </c>
      <c r="I1587" t="s">
        <v>154</v>
      </c>
      <c r="J1587">
        <v>20141111</v>
      </c>
    </row>
    <row r="1588" spans="1:10">
      <c r="A1588" t="s">
        <v>2047</v>
      </c>
      <c r="B1588">
        <v>603089</v>
      </c>
      <c r="C1588" t="s">
        <v>2048</v>
      </c>
      <c r="D1588" t="s">
        <v>423</v>
      </c>
      <c r="E1588" t="s">
        <v>28</v>
      </c>
      <c r="F1588" t="s">
        <v>2049</v>
      </c>
      <c r="G1588" t="s">
        <v>152</v>
      </c>
      <c r="H1588" t="s">
        <v>174</v>
      </c>
      <c r="I1588" t="s">
        <v>154</v>
      </c>
      <c r="J1588">
        <v>20170126</v>
      </c>
    </row>
    <row r="1589" spans="1:10">
      <c r="A1589" t="s">
        <v>5661</v>
      </c>
      <c r="B1589">
        <v>603090</v>
      </c>
      <c r="C1589" t="s">
        <v>5662</v>
      </c>
      <c r="D1589" t="s">
        <v>212</v>
      </c>
      <c r="E1589" t="s">
        <v>122</v>
      </c>
      <c r="F1589" t="s">
        <v>5663</v>
      </c>
      <c r="G1589" t="s">
        <v>152</v>
      </c>
      <c r="H1589" t="s">
        <v>174</v>
      </c>
      <c r="I1589" t="s">
        <v>154</v>
      </c>
      <c r="J1589">
        <v>20160831</v>
      </c>
    </row>
    <row r="1590" spans="1:10">
      <c r="A1590" t="s">
        <v>4995</v>
      </c>
      <c r="B1590">
        <v>603093</v>
      </c>
      <c r="C1590" t="s">
        <v>4996</v>
      </c>
      <c r="D1590" t="s">
        <v>423</v>
      </c>
      <c r="E1590" t="s">
        <v>73</v>
      </c>
      <c r="F1590" t="s">
        <v>4997</v>
      </c>
      <c r="G1590" t="s">
        <v>152</v>
      </c>
      <c r="H1590" t="s">
        <v>174</v>
      </c>
      <c r="I1590" t="s">
        <v>154</v>
      </c>
      <c r="J1590">
        <v>20190830</v>
      </c>
    </row>
    <row r="1591" spans="1:10">
      <c r="A1591" t="s">
        <v>5664</v>
      </c>
      <c r="B1591">
        <v>603095</v>
      </c>
      <c r="C1591" t="s">
        <v>5665</v>
      </c>
      <c r="D1591" t="s">
        <v>423</v>
      </c>
      <c r="E1591" t="s">
        <v>100</v>
      </c>
      <c r="F1591" t="s">
        <v>5666</v>
      </c>
      <c r="G1591" t="s">
        <v>152</v>
      </c>
      <c r="H1591" t="s">
        <v>174</v>
      </c>
      <c r="I1591" t="s">
        <v>154</v>
      </c>
      <c r="J1591">
        <v>20200415</v>
      </c>
    </row>
    <row r="1592" spans="1:10">
      <c r="A1592" t="s">
        <v>6210</v>
      </c>
      <c r="B1592">
        <v>603096</v>
      </c>
      <c r="C1592" t="s">
        <v>6211</v>
      </c>
      <c r="D1592" t="s">
        <v>576</v>
      </c>
      <c r="E1592" t="s">
        <v>55</v>
      </c>
      <c r="F1592" t="s">
        <v>6212</v>
      </c>
      <c r="G1592" t="s">
        <v>152</v>
      </c>
      <c r="H1592" t="s">
        <v>174</v>
      </c>
      <c r="I1592" t="s">
        <v>154</v>
      </c>
      <c r="J1592">
        <v>20170425</v>
      </c>
    </row>
    <row r="1593" spans="1:10">
      <c r="A1593" t="s">
        <v>1573</v>
      </c>
      <c r="B1593">
        <v>603097</v>
      </c>
      <c r="C1593" t="s">
        <v>1574</v>
      </c>
      <c r="D1593" t="s">
        <v>212</v>
      </c>
      <c r="E1593" t="s">
        <v>17</v>
      </c>
      <c r="F1593" t="s">
        <v>1575</v>
      </c>
      <c r="G1593" t="s">
        <v>152</v>
      </c>
      <c r="H1593" t="s">
        <v>174</v>
      </c>
      <c r="I1593" t="s">
        <v>154</v>
      </c>
      <c r="J1593">
        <v>20220512</v>
      </c>
    </row>
    <row r="1594" spans="1:10">
      <c r="A1594" t="s">
        <v>5343</v>
      </c>
      <c r="B1594">
        <v>603098</v>
      </c>
      <c r="C1594" t="s">
        <v>5344</v>
      </c>
      <c r="D1594" t="s">
        <v>164</v>
      </c>
      <c r="E1594" t="s">
        <v>115</v>
      </c>
      <c r="F1594" t="s">
        <v>5345</v>
      </c>
      <c r="G1594" t="s">
        <v>152</v>
      </c>
      <c r="H1594" t="s">
        <v>174</v>
      </c>
      <c r="I1594" t="s">
        <v>154</v>
      </c>
      <c r="J1594">
        <v>20161216</v>
      </c>
    </row>
    <row r="1595" spans="1:10">
      <c r="A1595" t="s">
        <v>4665</v>
      </c>
      <c r="B1595">
        <v>603099</v>
      </c>
      <c r="C1595" t="s">
        <v>4666</v>
      </c>
      <c r="D1595" t="s">
        <v>312</v>
      </c>
      <c r="E1595" t="s">
        <v>80</v>
      </c>
      <c r="F1595" t="s">
        <v>4667</v>
      </c>
      <c r="G1595" t="s">
        <v>152</v>
      </c>
      <c r="H1595" t="s">
        <v>174</v>
      </c>
      <c r="I1595" t="s">
        <v>154</v>
      </c>
      <c r="J1595">
        <v>20140822</v>
      </c>
    </row>
    <row r="1596" spans="1:10">
      <c r="A1596" t="s">
        <v>1576</v>
      </c>
      <c r="B1596">
        <v>603100</v>
      </c>
      <c r="C1596" t="s">
        <v>1577</v>
      </c>
      <c r="D1596" t="s">
        <v>937</v>
      </c>
      <c r="E1596" t="s">
        <v>27</v>
      </c>
      <c r="F1596" t="s">
        <v>1578</v>
      </c>
      <c r="G1596" t="s">
        <v>152</v>
      </c>
      <c r="H1596" t="s">
        <v>174</v>
      </c>
      <c r="I1596" t="s">
        <v>154</v>
      </c>
      <c r="J1596">
        <v>20140805</v>
      </c>
    </row>
    <row r="1597" spans="1:10">
      <c r="A1597" t="s">
        <v>4593</v>
      </c>
      <c r="B1597">
        <v>603101</v>
      </c>
      <c r="C1597" t="s">
        <v>4594</v>
      </c>
      <c r="D1597" t="s">
        <v>202</v>
      </c>
      <c r="E1597" t="s">
        <v>22</v>
      </c>
      <c r="F1597" t="s">
        <v>4595</v>
      </c>
      <c r="G1597" t="s">
        <v>152</v>
      </c>
      <c r="H1597" t="s">
        <v>174</v>
      </c>
      <c r="I1597" t="s">
        <v>154</v>
      </c>
      <c r="J1597">
        <v>20160506</v>
      </c>
    </row>
    <row r="1598" spans="1:10">
      <c r="A1598" t="s">
        <v>3178</v>
      </c>
      <c r="B1598">
        <v>603102</v>
      </c>
      <c r="C1598" t="s">
        <v>3179</v>
      </c>
      <c r="D1598" t="s">
        <v>198</v>
      </c>
      <c r="E1598" t="s">
        <v>90</v>
      </c>
      <c r="F1598" t="s">
        <v>3180</v>
      </c>
      <c r="G1598" t="s">
        <v>152</v>
      </c>
      <c r="H1598" t="s">
        <v>174</v>
      </c>
      <c r="I1598" t="s">
        <v>154</v>
      </c>
      <c r="J1598">
        <v>20220125</v>
      </c>
    </row>
    <row r="1599" spans="1:10">
      <c r="A1599" t="s">
        <v>6096</v>
      </c>
      <c r="B1599">
        <v>603103</v>
      </c>
      <c r="C1599" t="s">
        <v>6097</v>
      </c>
      <c r="D1599" t="s">
        <v>423</v>
      </c>
      <c r="E1599" t="s">
        <v>124</v>
      </c>
      <c r="F1599" t="s">
        <v>6098</v>
      </c>
      <c r="G1599" t="s">
        <v>152</v>
      </c>
      <c r="H1599" t="s">
        <v>174</v>
      </c>
      <c r="I1599" t="s">
        <v>154</v>
      </c>
      <c r="J1599">
        <v>20171012</v>
      </c>
    </row>
    <row r="1600" spans="1:10">
      <c r="A1600" t="s">
        <v>1579</v>
      </c>
      <c r="B1600">
        <v>603105</v>
      </c>
      <c r="C1600" t="s">
        <v>1580</v>
      </c>
      <c r="D1600" t="s">
        <v>423</v>
      </c>
      <c r="E1600" t="s">
        <v>17</v>
      </c>
      <c r="F1600" t="s">
        <v>1581</v>
      </c>
      <c r="G1600" t="s">
        <v>152</v>
      </c>
      <c r="H1600" t="s">
        <v>174</v>
      </c>
      <c r="I1600" t="s">
        <v>154</v>
      </c>
      <c r="J1600">
        <v>20180709</v>
      </c>
    </row>
    <row r="1601" spans="1:10">
      <c r="A1601" t="s">
        <v>1582</v>
      </c>
      <c r="B1601">
        <v>603106</v>
      </c>
      <c r="C1601" t="s">
        <v>1583</v>
      </c>
      <c r="D1601" t="s">
        <v>576</v>
      </c>
      <c r="E1601" t="s">
        <v>1</v>
      </c>
      <c r="F1601" t="s">
        <v>1584</v>
      </c>
      <c r="G1601" t="s">
        <v>152</v>
      </c>
      <c r="H1601" t="s">
        <v>174</v>
      </c>
      <c r="I1601" t="s">
        <v>154</v>
      </c>
      <c r="J1601">
        <v>20170920</v>
      </c>
    </row>
    <row r="1602" spans="1:10">
      <c r="A1602" t="s">
        <v>3265</v>
      </c>
      <c r="B1602">
        <v>603108</v>
      </c>
      <c r="C1602" t="s">
        <v>3266</v>
      </c>
      <c r="D1602" t="s">
        <v>172</v>
      </c>
      <c r="E1602" t="s">
        <v>95</v>
      </c>
      <c r="F1602" t="s">
        <v>3267</v>
      </c>
      <c r="G1602" t="s">
        <v>152</v>
      </c>
      <c r="H1602" t="s">
        <v>174</v>
      </c>
      <c r="I1602" t="s">
        <v>154</v>
      </c>
      <c r="J1602">
        <v>20150527</v>
      </c>
    </row>
    <row r="1603" spans="1:10">
      <c r="A1603" t="s">
        <v>1585</v>
      </c>
      <c r="B1603">
        <v>603109</v>
      </c>
      <c r="C1603" t="s">
        <v>1586</v>
      </c>
      <c r="D1603" t="s">
        <v>937</v>
      </c>
      <c r="E1603" t="s">
        <v>17</v>
      </c>
      <c r="F1603" t="s">
        <v>1587</v>
      </c>
      <c r="G1603" t="s">
        <v>152</v>
      </c>
      <c r="H1603" t="s">
        <v>174</v>
      </c>
      <c r="I1603" t="s">
        <v>154</v>
      </c>
      <c r="J1603">
        <v>20191231</v>
      </c>
    </row>
    <row r="1604" spans="1:10">
      <c r="A1604" t="s">
        <v>5157</v>
      </c>
      <c r="B1604">
        <v>603110</v>
      </c>
      <c r="C1604" t="s">
        <v>5158</v>
      </c>
      <c r="D1604" t="s">
        <v>160</v>
      </c>
      <c r="E1604" t="s">
        <v>88</v>
      </c>
      <c r="F1604" t="s">
        <v>5159</v>
      </c>
      <c r="G1604" t="s">
        <v>152</v>
      </c>
      <c r="H1604" t="s">
        <v>174</v>
      </c>
      <c r="I1604" t="s">
        <v>154</v>
      </c>
      <c r="J1604">
        <v>20171013</v>
      </c>
    </row>
    <row r="1605" spans="1:10">
      <c r="A1605" t="s">
        <v>5667</v>
      </c>
      <c r="B1605">
        <v>603111</v>
      </c>
      <c r="C1605" t="s">
        <v>5668</v>
      </c>
      <c r="D1605" t="s">
        <v>212</v>
      </c>
      <c r="E1605" t="s">
        <v>128</v>
      </c>
      <c r="F1605" t="s">
        <v>5669</v>
      </c>
      <c r="G1605" t="s">
        <v>152</v>
      </c>
      <c r="H1605" t="s">
        <v>174</v>
      </c>
      <c r="I1605" t="s">
        <v>154</v>
      </c>
      <c r="J1605">
        <v>20140801</v>
      </c>
    </row>
    <row r="1606" spans="1:10">
      <c r="A1606" t="s">
        <v>5670</v>
      </c>
      <c r="B1606">
        <v>603112</v>
      </c>
      <c r="C1606" t="s">
        <v>5671</v>
      </c>
      <c r="D1606" t="s">
        <v>557</v>
      </c>
      <c r="E1606" t="s">
        <v>135</v>
      </c>
      <c r="F1606" t="s">
        <v>5672</v>
      </c>
      <c r="G1606" t="s">
        <v>152</v>
      </c>
      <c r="H1606" t="s">
        <v>174</v>
      </c>
      <c r="I1606" t="s">
        <v>154</v>
      </c>
      <c r="J1606">
        <v>20200917</v>
      </c>
    </row>
    <row r="1607" spans="1:10">
      <c r="A1607" t="s">
        <v>6450</v>
      </c>
      <c r="B1607">
        <v>603113</v>
      </c>
      <c r="C1607" t="s">
        <v>6451</v>
      </c>
      <c r="D1607" t="s">
        <v>198</v>
      </c>
      <c r="E1607" t="s">
        <v>117</v>
      </c>
      <c r="F1607" t="s">
        <v>6452</v>
      </c>
      <c r="G1607" t="s">
        <v>152</v>
      </c>
      <c r="H1607" t="s">
        <v>174</v>
      </c>
      <c r="I1607" t="s">
        <v>154</v>
      </c>
      <c r="J1607">
        <v>20170511</v>
      </c>
    </row>
    <row r="1608" spans="1:10">
      <c r="A1608" t="s">
        <v>1174</v>
      </c>
      <c r="B1608">
        <v>603115</v>
      </c>
      <c r="C1608" t="s">
        <v>1175</v>
      </c>
      <c r="D1608" t="s">
        <v>212</v>
      </c>
      <c r="E1608" t="s">
        <v>16</v>
      </c>
      <c r="F1608" t="s">
        <v>1176</v>
      </c>
      <c r="G1608" t="s">
        <v>152</v>
      </c>
      <c r="H1608" t="s">
        <v>174</v>
      </c>
      <c r="I1608" t="s">
        <v>154</v>
      </c>
      <c r="J1608">
        <v>20190809</v>
      </c>
    </row>
    <row r="1609" spans="1:10">
      <c r="A1609" t="s">
        <v>2671</v>
      </c>
      <c r="B1609">
        <v>603116</v>
      </c>
      <c r="C1609" t="s">
        <v>2672</v>
      </c>
      <c r="D1609" t="s">
        <v>423</v>
      </c>
      <c r="E1609" t="s">
        <v>20</v>
      </c>
      <c r="F1609" t="s">
        <v>2673</v>
      </c>
      <c r="G1609" t="s">
        <v>152</v>
      </c>
      <c r="H1609" t="s">
        <v>174</v>
      </c>
      <c r="I1609" t="s">
        <v>154</v>
      </c>
      <c r="J1609">
        <v>20150629</v>
      </c>
    </row>
    <row r="1610" spans="1:10">
      <c r="A1610" t="s">
        <v>4063</v>
      </c>
      <c r="B1610">
        <v>603117</v>
      </c>
      <c r="C1610" t="s">
        <v>4064</v>
      </c>
      <c r="D1610" t="s">
        <v>212</v>
      </c>
      <c r="E1610" t="s">
        <v>50</v>
      </c>
      <c r="F1610" t="s">
        <v>4065</v>
      </c>
      <c r="G1610" t="s">
        <v>152</v>
      </c>
      <c r="H1610" t="s">
        <v>174</v>
      </c>
      <c r="I1610" t="s">
        <v>154</v>
      </c>
      <c r="J1610">
        <v>20150629</v>
      </c>
    </row>
    <row r="1611" spans="1:10">
      <c r="A1611" t="s">
        <v>6315</v>
      </c>
      <c r="B1611">
        <v>603118</v>
      </c>
      <c r="C1611" t="s">
        <v>6316</v>
      </c>
      <c r="D1611" t="s">
        <v>243</v>
      </c>
      <c r="E1611" t="s">
        <v>125</v>
      </c>
      <c r="F1611" t="s">
        <v>6317</v>
      </c>
      <c r="G1611" t="s">
        <v>152</v>
      </c>
      <c r="H1611" t="s">
        <v>174</v>
      </c>
      <c r="I1611" t="s">
        <v>154</v>
      </c>
      <c r="J1611">
        <v>20150225</v>
      </c>
    </row>
    <row r="1612" spans="1:10">
      <c r="A1612" t="s">
        <v>2050</v>
      </c>
      <c r="B1612">
        <v>603121</v>
      </c>
      <c r="C1612" t="s">
        <v>2051</v>
      </c>
      <c r="D1612" t="s">
        <v>172</v>
      </c>
      <c r="E1612" t="s">
        <v>28</v>
      </c>
      <c r="F1612" t="s">
        <v>2052</v>
      </c>
      <c r="G1612" t="s">
        <v>152</v>
      </c>
      <c r="H1612" t="s">
        <v>174</v>
      </c>
      <c r="I1612" t="s">
        <v>154</v>
      </c>
      <c r="J1612">
        <v>20190111</v>
      </c>
    </row>
    <row r="1613" spans="1:10">
      <c r="A1613" t="s">
        <v>3268</v>
      </c>
      <c r="B1613">
        <v>603122</v>
      </c>
      <c r="C1613" t="s">
        <v>3269</v>
      </c>
      <c r="D1613" t="s">
        <v>172</v>
      </c>
      <c r="E1613" t="s">
        <v>95</v>
      </c>
      <c r="F1613" t="s">
        <v>3270</v>
      </c>
      <c r="G1613" t="s">
        <v>152</v>
      </c>
      <c r="H1613" t="s">
        <v>174</v>
      </c>
      <c r="I1613" t="s">
        <v>154</v>
      </c>
      <c r="J1613">
        <v>20220216</v>
      </c>
    </row>
    <row r="1614" spans="1:10">
      <c r="A1614" t="s">
        <v>4596</v>
      </c>
      <c r="B1614">
        <v>603123</v>
      </c>
      <c r="C1614" t="s">
        <v>4597</v>
      </c>
      <c r="D1614" t="s">
        <v>164</v>
      </c>
      <c r="E1614" t="s">
        <v>22</v>
      </c>
      <c r="F1614" t="s">
        <v>4598</v>
      </c>
      <c r="G1614" t="s">
        <v>152</v>
      </c>
      <c r="H1614" t="s">
        <v>174</v>
      </c>
      <c r="I1614" t="s">
        <v>154</v>
      </c>
      <c r="J1614">
        <v>20120503</v>
      </c>
    </row>
    <row r="1615" spans="1:10">
      <c r="A1615" t="s">
        <v>6609</v>
      </c>
      <c r="B1615">
        <v>603126</v>
      </c>
      <c r="C1615" t="s">
        <v>6610</v>
      </c>
      <c r="D1615" t="s">
        <v>576</v>
      </c>
      <c r="E1615" t="s">
        <v>119</v>
      </c>
      <c r="F1615" t="s">
        <v>6611</v>
      </c>
      <c r="G1615" t="s">
        <v>152</v>
      </c>
      <c r="H1615" t="s">
        <v>174</v>
      </c>
      <c r="I1615" t="s">
        <v>154</v>
      </c>
      <c r="J1615">
        <v>20140731</v>
      </c>
    </row>
    <row r="1616" spans="1:10">
      <c r="A1616" t="s">
        <v>3136</v>
      </c>
      <c r="B1616">
        <v>603127</v>
      </c>
      <c r="C1616" t="s">
        <v>3137</v>
      </c>
      <c r="D1616" t="s">
        <v>164</v>
      </c>
      <c r="E1616" t="s">
        <v>90</v>
      </c>
      <c r="F1616" t="s">
        <v>3138</v>
      </c>
      <c r="G1616" t="s">
        <v>152</v>
      </c>
      <c r="H1616" t="s">
        <v>174</v>
      </c>
      <c r="I1616" t="s">
        <v>154</v>
      </c>
      <c r="J1616">
        <v>20170825</v>
      </c>
    </row>
    <row r="1617" spans="1:10">
      <c r="A1617" t="s">
        <v>4066</v>
      </c>
      <c r="B1617">
        <v>603128</v>
      </c>
      <c r="C1617" t="s">
        <v>4067</v>
      </c>
      <c r="D1617" t="s">
        <v>172</v>
      </c>
      <c r="E1617" t="s">
        <v>50</v>
      </c>
      <c r="F1617" t="s">
        <v>4068</v>
      </c>
      <c r="G1617" t="s">
        <v>152</v>
      </c>
      <c r="H1617" t="s">
        <v>174</v>
      </c>
      <c r="I1617" t="s">
        <v>154</v>
      </c>
      <c r="J1617">
        <v>20120529</v>
      </c>
    </row>
    <row r="1618" spans="1:10">
      <c r="A1618" t="s">
        <v>2053</v>
      </c>
      <c r="B1618">
        <v>603129</v>
      </c>
      <c r="C1618" t="s">
        <v>2054</v>
      </c>
      <c r="D1618" t="s">
        <v>423</v>
      </c>
      <c r="E1618" t="s">
        <v>43</v>
      </c>
      <c r="F1618" t="s">
        <v>2055</v>
      </c>
      <c r="G1618" t="s">
        <v>152</v>
      </c>
      <c r="H1618" t="s">
        <v>174</v>
      </c>
      <c r="I1618" t="s">
        <v>154</v>
      </c>
      <c r="J1618">
        <v>20170818</v>
      </c>
    </row>
    <row r="1619" spans="1:10">
      <c r="A1619" t="s">
        <v>647</v>
      </c>
      <c r="B1619">
        <v>603130</v>
      </c>
      <c r="C1619" t="s">
        <v>648</v>
      </c>
      <c r="D1619" t="s">
        <v>423</v>
      </c>
      <c r="E1619" t="s">
        <v>33</v>
      </c>
      <c r="F1619" t="s">
        <v>649</v>
      </c>
      <c r="G1619" t="s">
        <v>152</v>
      </c>
      <c r="H1619" t="s">
        <v>174</v>
      </c>
      <c r="I1619" t="s">
        <v>154</v>
      </c>
      <c r="J1619">
        <v>20221118</v>
      </c>
    </row>
    <row r="1620" spans="1:10">
      <c r="A1620" t="s">
        <v>5673</v>
      </c>
      <c r="B1620">
        <v>603131</v>
      </c>
      <c r="C1620" t="s">
        <v>5674</v>
      </c>
      <c r="D1620" t="s">
        <v>172</v>
      </c>
      <c r="E1620" t="s">
        <v>122</v>
      </c>
      <c r="F1620" t="s">
        <v>5675</v>
      </c>
      <c r="G1620" t="s">
        <v>152</v>
      </c>
      <c r="H1620" t="s">
        <v>174</v>
      </c>
      <c r="I1620" t="s">
        <v>154</v>
      </c>
      <c r="J1620">
        <v>20160607</v>
      </c>
    </row>
    <row r="1621" spans="1:10">
      <c r="A1621" t="s">
        <v>1177</v>
      </c>
      <c r="B1621">
        <v>603132</v>
      </c>
      <c r="C1621" t="s">
        <v>1178</v>
      </c>
      <c r="D1621" t="s">
        <v>177</v>
      </c>
      <c r="E1621" t="s">
        <v>35</v>
      </c>
      <c r="F1621" t="s">
        <v>1179</v>
      </c>
      <c r="G1621" t="s">
        <v>152</v>
      </c>
      <c r="H1621" t="s">
        <v>174</v>
      </c>
      <c r="I1621" t="s">
        <v>154</v>
      </c>
      <c r="J1621">
        <v>20220222</v>
      </c>
    </row>
    <row r="1622" spans="1:10">
      <c r="A1622" t="s">
        <v>1588</v>
      </c>
      <c r="B1622">
        <v>603133</v>
      </c>
      <c r="C1622" t="s">
        <v>1589</v>
      </c>
      <c r="D1622" t="s">
        <v>212</v>
      </c>
      <c r="E1622" t="s">
        <v>42</v>
      </c>
      <c r="F1622" t="s">
        <v>1590</v>
      </c>
      <c r="G1622" t="s">
        <v>152</v>
      </c>
      <c r="H1622" t="s">
        <v>174</v>
      </c>
      <c r="I1622" t="s">
        <v>154</v>
      </c>
      <c r="J1622">
        <v>20170320</v>
      </c>
    </row>
    <row r="1623" spans="1:10">
      <c r="A1623" t="s">
        <v>4668</v>
      </c>
      <c r="B1623">
        <v>603136</v>
      </c>
      <c r="C1623" t="s">
        <v>4669</v>
      </c>
      <c r="D1623" t="s">
        <v>212</v>
      </c>
      <c r="E1623" t="s">
        <v>80</v>
      </c>
      <c r="F1623" t="s">
        <v>4670</v>
      </c>
      <c r="G1623" t="s">
        <v>152</v>
      </c>
      <c r="H1623" t="s">
        <v>174</v>
      </c>
      <c r="I1623" t="s">
        <v>154</v>
      </c>
      <c r="J1623">
        <v>20170927</v>
      </c>
    </row>
    <row r="1624" spans="1:10">
      <c r="A1624" t="s">
        <v>5964</v>
      </c>
      <c r="B1624">
        <v>603138</v>
      </c>
      <c r="C1624" t="s">
        <v>5965</v>
      </c>
      <c r="D1624" t="s">
        <v>164</v>
      </c>
      <c r="E1624" t="s">
        <v>123</v>
      </c>
      <c r="F1624" t="s">
        <v>5966</v>
      </c>
      <c r="G1624" t="s">
        <v>152</v>
      </c>
      <c r="H1624" t="s">
        <v>174</v>
      </c>
      <c r="I1624" t="s">
        <v>154</v>
      </c>
      <c r="J1624">
        <v>20170306</v>
      </c>
    </row>
    <row r="1625" spans="1:10">
      <c r="A1625" t="s">
        <v>3367</v>
      </c>
      <c r="B1625">
        <v>603139</v>
      </c>
      <c r="C1625" t="s">
        <v>3368</v>
      </c>
      <c r="D1625" t="s">
        <v>419</v>
      </c>
      <c r="E1625" t="s">
        <v>67</v>
      </c>
      <c r="F1625" t="s">
        <v>3369</v>
      </c>
      <c r="G1625" t="s">
        <v>152</v>
      </c>
      <c r="H1625" t="s">
        <v>174</v>
      </c>
      <c r="I1625" t="s">
        <v>154</v>
      </c>
      <c r="J1625">
        <v>20170421</v>
      </c>
    </row>
    <row r="1626" spans="1:10">
      <c r="A1626" t="s">
        <v>650</v>
      </c>
      <c r="B1626">
        <v>603150</v>
      </c>
      <c r="C1626" t="s">
        <v>651</v>
      </c>
      <c r="D1626" t="s">
        <v>160</v>
      </c>
      <c r="E1626" t="s">
        <v>40</v>
      </c>
      <c r="F1626" t="s">
        <v>652</v>
      </c>
      <c r="G1626" t="s">
        <v>152</v>
      </c>
      <c r="H1626" t="s">
        <v>174</v>
      </c>
      <c r="I1626" t="s">
        <v>154</v>
      </c>
      <c r="J1626">
        <v>20220124</v>
      </c>
    </row>
    <row r="1627" spans="1:10">
      <c r="A1627" t="s">
        <v>228</v>
      </c>
      <c r="B1627">
        <v>603151</v>
      </c>
      <c r="C1627" t="s">
        <v>229</v>
      </c>
      <c r="D1627" t="s">
        <v>198</v>
      </c>
      <c r="E1627" t="s">
        <v>39</v>
      </c>
      <c r="F1627" t="s">
        <v>230</v>
      </c>
      <c r="G1627" t="s">
        <v>152</v>
      </c>
      <c r="H1627" t="s">
        <v>174</v>
      </c>
      <c r="I1627" t="s">
        <v>154</v>
      </c>
      <c r="J1627">
        <v>20221019</v>
      </c>
    </row>
    <row r="1628" spans="1:10">
      <c r="A1628" t="s">
        <v>653</v>
      </c>
      <c r="B1628">
        <v>603155</v>
      </c>
      <c r="C1628" t="s">
        <v>654</v>
      </c>
      <c r="D1628" t="s">
        <v>212</v>
      </c>
      <c r="E1628" t="s">
        <v>14</v>
      </c>
      <c r="F1628" t="s">
        <v>655</v>
      </c>
      <c r="G1628" t="s">
        <v>152</v>
      </c>
      <c r="H1628" t="s">
        <v>174</v>
      </c>
      <c r="I1628" t="s">
        <v>154</v>
      </c>
      <c r="J1628">
        <v>20200901</v>
      </c>
    </row>
    <row r="1629" spans="1:10">
      <c r="A1629" t="s">
        <v>2518</v>
      </c>
      <c r="B1629">
        <v>603156</v>
      </c>
      <c r="C1629" t="s">
        <v>2519</v>
      </c>
      <c r="D1629" t="s">
        <v>279</v>
      </c>
      <c r="E1629" t="s">
        <v>29</v>
      </c>
      <c r="F1629" t="s">
        <v>2520</v>
      </c>
      <c r="G1629" t="s">
        <v>152</v>
      </c>
      <c r="H1629" t="s">
        <v>174</v>
      </c>
      <c r="I1629" t="s">
        <v>154</v>
      </c>
      <c r="J1629">
        <v>20180212</v>
      </c>
    </row>
    <row r="1630" spans="1:10">
      <c r="A1630" t="s">
        <v>2056</v>
      </c>
      <c r="B1630">
        <v>603158</v>
      </c>
      <c r="C1630" t="s">
        <v>2057</v>
      </c>
      <c r="D1630" t="s">
        <v>212</v>
      </c>
      <c r="E1630" t="s">
        <v>28</v>
      </c>
      <c r="F1630" t="s">
        <v>2058</v>
      </c>
      <c r="G1630" t="s">
        <v>152</v>
      </c>
      <c r="H1630" t="s">
        <v>174</v>
      </c>
      <c r="I1630" t="s">
        <v>154</v>
      </c>
      <c r="J1630">
        <v>20150320</v>
      </c>
    </row>
    <row r="1631" spans="1:10">
      <c r="A1631" t="s">
        <v>5676</v>
      </c>
      <c r="B1631">
        <v>603159</v>
      </c>
      <c r="C1631" t="s">
        <v>5677</v>
      </c>
      <c r="D1631" t="s">
        <v>172</v>
      </c>
      <c r="E1631" t="s">
        <v>122</v>
      </c>
      <c r="F1631" t="s">
        <v>5678</v>
      </c>
      <c r="G1631" t="s">
        <v>152</v>
      </c>
      <c r="H1631" t="s">
        <v>174</v>
      </c>
      <c r="I1631" t="s">
        <v>154</v>
      </c>
      <c r="J1631">
        <v>20160812</v>
      </c>
    </row>
    <row r="1632" spans="1:10">
      <c r="A1632" t="s">
        <v>1591</v>
      </c>
      <c r="B1632">
        <v>603160</v>
      </c>
      <c r="C1632" t="s">
        <v>1592</v>
      </c>
      <c r="D1632" t="s">
        <v>243</v>
      </c>
      <c r="E1632" t="s">
        <v>42</v>
      </c>
      <c r="F1632" t="s">
        <v>1593</v>
      </c>
      <c r="G1632" t="s">
        <v>152</v>
      </c>
      <c r="H1632" t="s">
        <v>174</v>
      </c>
      <c r="I1632" t="s">
        <v>154</v>
      </c>
      <c r="J1632">
        <v>20161017</v>
      </c>
    </row>
    <row r="1633" spans="1:10">
      <c r="A1633" t="s">
        <v>2059</v>
      </c>
      <c r="B1633">
        <v>603161</v>
      </c>
      <c r="C1633" t="s">
        <v>2060</v>
      </c>
      <c r="D1633" t="s">
        <v>212</v>
      </c>
      <c r="E1633" t="s">
        <v>28</v>
      </c>
      <c r="F1633" t="s">
        <v>2061</v>
      </c>
      <c r="G1633" t="s">
        <v>152</v>
      </c>
      <c r="H1633" t="s">
        <v>174</v>
      </c>
      <c r="I1633" t="s">
        <v>154</v>
      </c>
      <c r="J1633">
        <v>20180105</v>
      </c>
    </row>
    <row r="1634" spans="1:10">
      <c r="A1634" t="s">
        <v>5346</v>
      </c>
      <c r="B1634">
        <v>603163</v>
      </c>
      <c r="C1634" t="s">
        <v>5347</v>
      </c>
      <c r="D1634" t="s">
        <v>212</v>
      </c>
      <c r="E1634" t="s">
        <v>121</v>
      </c>
      <c r="F1634" t="s">
        <v>5348</v>
      </c>
      <c r="G1634" t="s">
        <v>152</v>
      </c>
      <c r="H1634" t="s">
        <v>174</v>
      </c>
      <c r="I1634" t="s">
        <v>154</v>
      </c>
      <c r="J1634">
        <v>20221013</v>
      </c>
    </row>
    <row r="1635" spans="1:10">
      <c r="A1635" t="s">
        <v>2818</v>
      </c>
      <c r="B1635">
        <v>603165</v>
      </c>
      <c r="C1635" t="s">
        <v>2819</v>
      </c>
      <c r="D1635" t="s">
        <v>423</v>
      </c>
      <c r="E1635" t="s">
        <v>30</v>
      </c>
      <c r="F1635" t="s">
        <v>2820</v>
      </c>
      <c r="G1635" t="s">
        <v>152</v>
      </c>
      <c r="H1635" t="s">
        <v>174</v>
      </c>
      <c r="I1635" t="s">
        <v>154</v>
      </c>
      <c r="J1635">
        <v>20170117</v>
      </c>
    </row>
    <row r="1636" spans="1:10">
      <c r="A1636" t="s">
        <v>2062</v>
      </c>
      <c r="B1636">
        <v>603166</v>
      </c>
      <c r="C1636" t="s">
        <v>2063</v>
      </c>
      <c r="D1636" t="s">
        <v>345</v>
      </c>
      <c r="E1636" t="s">
        <v>28</v>
      </c>
      <c r="F1636" t="s">
        <v>2064</v>
      </c>
      <c r="G1636" t="s">
        <v>152</v>
      </c>
      <c r="H1636" t="s">
        <v>174</v>
      </c>
      <c r="I1636" t="s">
        <v>154</v>
      </c>
      <c r="J1636">
        <v>20141127</v>
      </c>
    </row>
    <row r="1637" spans="1:10">
      <c r="A1637" t="s">
        <v>4069</v>
      </c>
      <c r="B1637">
        <v>603167</v>
      </c>
      <c r="C1637" t="s">
        <v>4070</v>
      </c>
      <c r="D1637" t="s">
        <v>198</v>
      </c>
      <c r="E1637" t="s">
        <v>92</v>
      </c>
      <c r="F1637" t="s">
        <v>4071</v>
      </c>
      <c r="G1637" t="s">
        <v>152</v>
      </c>
      <c r="H1637" t="s">
        <v>174</v>
      </c>
      <c r="I1637" t="s">
        <v>154</v>
      </c>
      <c r="J1637">
        <v>20120906</v>
      </c>
    </row>
    <row r="1638" spans="1:10">
      <c r="A1638" t="s">
        <v>3064</v>
      </c>
      <c r="B1638">
        <v>603168</v>
      </c>
      <c r="C1638" t="s">
        <v>3065</v>
      </c>
      <c r="D1638" t="s">
        <v>423</v>
      </c>
      <c r="E1638" t="s">
        <v>81</v>
      </c>
      <c r="F1638" t="s">
        <v>3066</v>
      </c>
      <c r="G1638" t="s">
        <v>152</v>
      </c>
      <c r="H1638" t="s">
        <v>174</v>
      </c>
      <c r="I1638" t="s">
        <v>154</v>
      </c>
      <c r="J1638">
        <v>20140702</v>
      </c>
    </row>
    <row r="1639" spans="1:10">
      <c r="A1639" t="s">
        <v>5679</v>
      </c>
      <c r="B1639">
        <v>603169</v>
      </c>
      <c r="C1639" t="s">
        <v>5680</v>
      </c>
      <c r="D1639" t="s">
        <v>177</v>
      </c>
      <c r="E1639" t="s">
        <v>122</v>
      </c>
      <c r="F1639" t="s">
        <v>5681</v>
      </c>
      <c r="G1639" t="s">
        <v>152</v>
      </c>
      <c r="H1639" t="s">
        <v>174</v>
      </c>
      <c r="I1639" t="s">
        <v>154</v>
      </c>
      <c r="J1639">
        <v>20141009</v>
      </c>
    </row>
    <row r="1640" spans="1:10">
      <c r="A1640" t="s">
        <v>2521</v>
      </c>
      <c r="B1640">
        <v>603170</v>
      </c>
      <c r="C1640" t="s">
        <v>2522</v>
      </c>
      <c r="D1640" t="s">
        <v>172</v>
      </c>
      <c r="E1640" t="s">
        <v>19</v>
      </c>
      <c r="F1640" t="s">
        <v>2523</v>
      </c>
      <c r="G1640" t="s">
        <v>152</v>
      </c>
      <c r="H1640" t="s">
        <v>174</v>
      </c>
      <c r="I1640" t="s">
        <v>154</v>
      </c>
      <c r="J1640">
        <v>20220715</v>
      </c>
    </row>
    <row r="1641" spans="1:10">
      <c r="A1641" t="s">
        <v>5967</v>
      </c>
      <c r="B1641">
        <v>603171</v>
      </c>
      <c r="C1641" t="s">
        <v>5968</v>
      </c>
      <c r="D1641" t="s">
        <v>423</v>
      </c>
      <c r="E1641" t="s">
        <v>123</v>
      </c>
      <c r="F1641" t="s">
        <v>5969</v>
      </c>
      <c r="G1641" t="s">
        <v>152</v>
      </c>
      <c r="H1641" t="s">
        <v>174</v>
      </c>
      <c r="I1641" t="s">
        <v>154</v>
      </c>
      <c r="J1641">
        <v>20210630</v>
      </c>
    </row>
    <row r="1642" spans="1:10">
      <c r="A1642" t="s">
        <v>5349</v>
      </c>
      <c r="B1642">
        <v>603176</v>
      </c>
      <c r="C1642" t="s">
        <v>5350</v>
      </c>
      <c r="D1642" t="s">
        <v>279</v>
      </c>
      <c r="E1642" t="s">
        <v>121</v>
      </c>
      <c r="F1642" t="s">
        <v>5351</v>
      </c>
      <c r="G1642" t="s">
        <v>152</v>
      </c>
      <c r="H1642" t="s">
        <v>174</v>
      </c>
      <c r="I1642" t="s">
        <v>154</v>
      </c>
      <c r="J1642">
        <v>20211231</v>
      </c>
    </row>
    <row r="1643" spans="1:10">
      <c r="A1643" t="s">
        <v>6612</v>
      </c>
      <c r="B1643">
        <v>603177</v>
      </c>
      <c r="C1643" t="s">
        <v>6613</v>
      </c>
      <c r="D1643" t="s">
        <v>423</v>
      </c>
      <c r="E1643" t="s">
        <v>119</v>
      </c>
      <c r="F1643" t="s">
        <v>6614</v>
      </c>
      <c r="G1643" t="s">
        <v>152</v>
      </c>
      <c r="H1643" t="s">
        <v>174</v>
      </c>
      <c r="I1643" t="s">
        <v>154</v>
      </c>
      <c r="J1643">
        <v>20170207</v>
      </c>
    </row>
    <row r="1644" spans="1:10">
      <c r="A1644" t="s">
        <v>2065</v>
      </c>
      <c r="B1644">
        <v>603178</v>
      </c>
      <c r="C1644" t="s">
        <v>2066</v>
      </c>
      <c r="D1644" t="s">
        <v>423</v>
      </c>
      <c r="E1644" t="s">
        <v>28</v>
      </c>
      <c r="F1644" t="s">
        <v>2067</v>
      </c>
      <c r="G1644" t="s">
        <v>152</v>
      </c>
      <c r="H1644" t="s">
        <v>174</v>
      </c>
      <c r="I1644" t="s">
        <v>154</v>
      </c>
      <c r="J1644">
        <v>20170328</v>
      </c>
    </row>
    <row r="1645" spans="1:10">
      <c r="A1645" t="s">
        <v>2068</v>
      </c>
      <c r="B1645">
        <v>603179</v>
      </c>
      <c r="C1645" t="s">
        <v>2069</v>
      </c>
      <c r="D1645" t="s">
        <v>212</v>
      </c>
      <c r="E1645" t="s">
        <v>28</v>
      </c>
      <c r="F1645" t="s">
        <v>2070</v>
      </c>
      <c r="G1645" t="s">
        <v>152</v>
      </c>
      <c r="H1645" t="s">
        <v>174</v>
      </c>
      <c r="I1645" t="s">
        <v>154</v>
      </c>
      <c r="J1645">
        <v>20170317</v>
      </c>
    </row>
    <row r="1646" spans="1:10">
      <c r="A1646" t="s">
        <v>2821</v>
      </c>
      <c r="B1646">
        <v>603180</v>
      </c>
      <c r="C1646" t="s">
        <v>2822</v>
      </c>
      <c r="D1646" t="s">
        <v>150</v>
      </c>
      <c r="E1646" t="s">
        <v>21</v>
      </c>
      <c r="F1646" t="s">
        <v>2823</v>
      </c>
      <c r="G1646" t="s">
        <v>152</v>
      </c>
      <c r="H1646" t="s">
        <v>174</v>
      </c>
      <c r="I1646" t="s">
        <v>154</v>
      </c>
      <c r="J1646">
        <v>20170512</v>
      </c>
    </row>
    <row r="1647" spans="1:10">
      <c r="A1647" t="s">
        <v>656</v>
      </c>
      <c r="B1647">
        <v>603181</v>
      </c>
      <c r="C1647" t="s">
        <v>657</v>
      </c>
      <c r="D1647" t="s">
        <v>423</v>
      </c>
      <c r="E1647" t="s">
        <v>14</v>
      </c>
      <c r="F1647" t="s">
        <v>658</v>
      </c>
      <c r="G1647" t="s">
        <v>152</v>
      </c>
      <c r="H1647" t="s">
        <v>174</v>
      </c>
      <c r="I1647" t="s">
        <v>154</v>
      </c>
      <c r="J1647">
        <v>20170824</v>
      </c>
    </row>
    <row r="1648" spans="1:10">
      <c r="A1648" t="s">
        <v>2524</v>
      </c>
      <c r="B1648">
        <v>603182</v>
      </c>
      <c r="C1648" t="s">
        <v>2525</v>
      </c>
      <c r="D1648" t="s">
        <v>198</v>
      </c>
      <c r="E1648" t="s">
        <v>19</v>
      </c>
      <c r="F1648" t="s">
        <v>2526</v>
      </c>
      <c r="G1648" t="s">
        <v>152</v>
      </c>
      <c r="H1648" t="s">
        <v>174</v>
      </c>
      <c r="I1648" t="s">
        <v>154</v>
      </c>
      <c r="J1648">
        <v>20220909</v>
      </c>
    </row>
    <row r="1649" spans="1:10">
      <c r="A1649" t="s">
        <v>5352</v>
      </c>
      <c r="B1649">
        <v>603183</v>
      </c>
      <c r="C1649" t="s">
        <v>5353</v>
      </c>
      <c r="D1649" t="s">
        <v>212</v>
      </c>
      <c r="E1649" t="s">
        <v>121</v>
      </c>
      <c r="F1649" t="s">
        <v>5354</v>
      </c>
      <c r="G1649" t="s">
        <v>152</v>
      </c>
      <c r="H1649" t="s">
        <v>174</v>
      </c>
      <c r="I1649" t="s">
        <v>154</v>
      </c>
      <c r="J1649">
        <v>20170905</v>
      </c>
    </row>
    <row r="1650" spans="1:10">
      <c r="A1650" t="s">
        <v>1594</v>
      </c>
      <c r="B1650">
        <v>603185</v>
      </c>
      <c r="C1650" t="s">
        <v>1595</v>
      </c>
      <c r="D1650" t="s">
        <v>212</v>
      </c>
      <c r="E1650" t="s">
        <v>17</v>
      </c>
      <c r="F1650" t="s">
        <v>1596</v>
      </c>
      <c r="G1650" t="s">
        <v>152</v>
      </c>
      <c r="H1650" t="s">
        <v>174</v>
      </c>
      <c r="I1650" t="s">
        <v>154</v>
      </c>
      <c r="J1650">
        <v>20181228</v>
      </c>
    </row>
    <row r="1651" spans="1:10">
      <c r="A1651" t="s">
        <v>1597</v>
      </c>
      <c r="B1651">
        <v>603186</v>
      </c>
      <c r="C1651" t="s">
        <v>1598</v>
      </c>
      <c r="D1651" t="s">
        <v>423</v>
      </c>
      <c r="E1651" t="s">
        <v>42</v>
      </c>
      <c r="F1651" t="s">
        <v>1599</v>
      </c>
      <c r="G1651" t="s">
        <v>152</v>
      </c>
      <c r="H1651" t="s">
        <v>174</v>
      </c>
      <c r="I1651" t="s">
        <v>154</v>
      </c>
      <c r="J1651">
        <v>20170103</v>
      </c>
    </row>
    <row r="1652" spans="1:10">
      <c r="A1652" t="s">
        <v>5682</v>
      </c>
      <c r="B1652">
        <v>603187</v>
      </c>
      <c r="C1652" t="s">
        <v>5683</v>
      </c>
      <c r="D1652" t="s">
        <v>198</v>
      </c>
      <c r="E1652" t="s">
        <v>135</v>
      </c>
      <c r="F1652" t="s">
        <v>5684</v>
      </c>
      <c r="G1652" t="s">
        <v>152</v>
      </c>
      <c r="H1652" t="s">
        <v>174</v>
      </c>
      <c r="I1652" t="s">
        <v>154</v>
      </c>
      <c r="J1652">
        <v>20181129</v>
      </c>
    </row>
    <row r="1653" spans="1:10">
      <c r="A1653" t="s">
        <v>5160</v>
      </c>
      <c r="B1653">
        <v>603188</v>
      </c>
      <c r="C1653" t="s">
        <v>5161</v>
      </c>
      <c r="D1653" t="s">
        <v>212</v>
      </c>
      <c r="E1653" t="s">
        <v>88</v>
      </c>
      <c r="F1653" t="s">
        <v>5162</v>
      </c>
      <c r="G1653" t="s">
        <v>152</v>
      </c>
      <c r="H1653" t="s">
        <v>174</v>
      </c>
      <c r="I1653" t="s">
        <v>154</v>
      </c>
      <c r="J1653">
        <v>20140909</v>
      </c>
    </row>
    <row r="1654" spans="1:10">
      <c r="A1654" t="s">
        <v>5970</v>
      </c>
      <c r="B1654">
        <v>603189</v>
      </c>
      <c r="C1654" t="s">
        <v>5971</v>
      </c>
      <c r="D1654" t="s">
        <v>172</v>
      </c>
      <c r="E1654" t="s">
        <v>123</v>
      </c>
      <c r="F1654" t="s">
        <v>5972</v>
      </c>
      <c r="G1654" t="s">
        <v>152</v>
      </c>
      <c r="H1654" t="s">
        <v>174</v>
      </c>
      <c r="I1654" t="s">
        <v>154</v>
      </c>
      <c r="J1654">
        <v>20160914</v>
      </c>
    </row>
    <row r="1655" spans="1:10">
      <c r="A1655" t="s">
        <v>1600</v>
      </c>
      <c r="B1655">
        <v>603191</v>
      </c>
      <c r="C1655" t="s">
        <v>1601</v>
      </c>
      <c r="D1655" t="s">
        <v>937</v>
      </c>
      <c r="E1655" t="s">
        <v>17</v>
      </c>
      <c r="F1655" t="s">
        <v>1602</v>
      </c>
      <c r="G1655" t="s">
        <v>152</v>
      </c>
      <c r="H1655" t="s">
        <v>174</v>
      </c>
      <c r="I1655" t="s">
        <v>154</v>
      </c>
      <c r="J1655">
        <v>20220428</v>
      </c>
    </row>
    <row r="1656" spans="1:10">
      <c r="A1656" t="s">
        <v>659</v>
      </c>
      <c r="B1656">
        <v>603192</v>
      </c>
      <c r="C1656" t="s">
        <v>660</v>
      </c>
      <c r="D1656" t="s">
        <v>172</v>
      </c>
      <c r="E1656" t="s">
        <v>14</v>
      </c>
      <c r="F1656" t="s">
        <v>661</v>
      </c>
      <c r="G1656" t="s">
        <v>152</v>
      </c>
      <c r="H1656" t="s">
        <v>174</v>
      </c>
      <c r="I1656" t="s">
        <v>154</v>
      </c>
      <c r="J1656">
        <v>20180828</v>
      </c>
    </row>
    <row r="1657" spans="1:10">
      <c r="A1657" t="s">
        <v>2269</v>
      </c>
      <c r="B1657">
        <v>603195</v>
      </c>
      <c r="C1657" t="s">
        <v>2270</v>
      </c>
      <c r="D1657" t="s">
        <v>423</v>
      </c>
      <c r="E1657" t="s">
        <v>8</v>
      </c>
      <c r="F1657" t="s">
        <v>2271</v>
      </c>
      <c r="G1657" t="s">
        <v>152</v>
      </c>
      <c r="H1657" t="s">
        <v>174</v>
      </c>
      <c r="I1657" t="s">
        <v>154</v>
      </c>
      <c r="J1657">
        <v>20200206</v>
      </c>
    </row>
    <row r="1658" spans="1:10">
      <c r="A1658" t="s">
        <v>2674</v>
      </c>
      <c r="B1658">
        <v>603196</v>
      </c>
      <c r="C1658" t="s">
        <v>2675</v>
      </c>
      <c r="D1658" t="s">
        <v>172</v>
      </c>
      <c r="E1658" t="s">
        <v>20</v>
      </c>
      <c r="F1658" t="s">
        <v>2676</v>
      </c>
      <c r="G1658" t="s">
        <v>152</v>
      </c>
      <c r="H1658" t="s">
        <v>174</v>
      </c>
      <c r="I1658" t="s">
        <v>154</v>
      </c>
      <c r="J1658">
        <v>20170531</v>
      </c>
    </row>
    <row r="1659" spans="1:10">
      <c r="A1659" t="s">
        <v>2071</v>
      </c>
      <c r="B1659">
        <v>603197</v>
      </c>
      <c r="C1659" t="s">
        <v>2072</v>
      </c>
      <c r="D1659" t="s">
        <v>172</v>
      </c>
      <c r="E1659" t="s">
        <v>28</v>
      </c>
      <c r="F1659" t="s">
        <v>2073</v>
      </c>
      <c r="G1659" t="s">
        <v>152</v>
      </c>
      <c r="H1659" t="s">
        <v>174</v>
      </c>
      <c r="I1659" t="s">
        <v>154</v>
      </c>
      <c r="J1659">
        <v>20170519</v>
      </c>
    </row>
    <row r="1660" spans="1:10">
      <c r="A1660" t="s">
        <v>2527</v>
      </c>
      <c r="B1660">
        <v>603198</v>
      </c>
      <c r="C1660" t="s">
        <v>2528</v>
      </c>
      <c r="D1660" t="s">
        <v>160</v>
      </c>
      <c r="E1660" t="s">
        <v>12</v>
      </c>
      <c r="F1660" t="s">
        <v>2529</v>
      </c>
      <c r="G1660" t="s">
        <v>152</v>
      </c>
      <c r="H1660" t="s">
        <v>174</v>
      </c>
      <c r="I1660" t="s">
        <v>154</v>
      </c>
      <c r="J1660">
        <v>20150528</v>
      </c>
    </row>
    <row r="1661" spans="1:10">
      <c r="A1661" t="s">
        <v>4671</v>
      </c>
      <c r="B1661">
        <v>603199</v>
      </c>
      <c r="C1661" t="s">
        <v>4672</v>
      </c>
      <c r="D1661" t="s">
        <v>160</v>
      </c>
      <c r="E1661" t="s">
        <v>80</v>
      </c>
      <c r="F1661" t="s">
        <v>4673</v>
      </c>
      <c r="G1661" t="s">
        <v>152</v>
      </c>
      <c r="H1661" t="s">
        <v>174</v>
      </c>
      <c r="I1661" t="s">
        <v>154</v>
      </c>
      <c r="J1661">
        <v>20150326</v>
      </c>
    </row>
    <row r="1662" spans="1:10">
      <c r="A1662" t="s">
        <v>6615</v>
      </c>
      <c r="B1662">
        <v>603200</v>
      </c>
      <c r="C1662" t="s">
        <v>6616</v>
      </c>
      <c r="D1662" t="s">
        <v>172</v>
      </c>
      <c r="E1662" t="s">
        <v>119</v>
      </c>
      <c r="F1662" t="s">
        <v>6617</v>
      </c>
      <c r="G1662" t="s">
        <v>152</v>
      </c>
      <c r="H1662" t="s">
        <v>174</v>
      </c>
      <c r="I1662" t="s">
        <v>154</v>
      </c>
      <c r="J1662">
        <v>20170601</v>
      </c>
    </row>
    <row r="1663" spans="1:10">
      <c r="A1663" t="s">
        <v>2074</v>
      </c>
      <c r="B1663">
        <v>603201</v>
      </c>
      <c r="C1663" t="s">
        <v>2075</v>
      </c>
      <c r="D1663" t="s">
        <v>212</v>
      </c>
      <c r="E1663" t="s">
        <v>28</v>
      </c>
      <c r="F1663" t="s">
        <v>2076</v>
      </c>
      <c r="G1663" t="s">
        <v>152</v>
      </c>
      <c r="H1663" t="s">
        <v>174</v>
      </c>
      <c r="I1663" t="s">
        <v>154</v>
      </c>
      <c r="J1663">
        <v>20220729</v>
      </c>
    </row>
    <row r="1664" spans="1:10">
      <c r="A1664" t="s">
        <v>5685</v>
      </c>
      <c r="B1664">
        <v>603203</v>
      </c>
      <c r="C1664" t="s">
        <v>5686</v>
      </c>
      <c r="D1664" t="s">
        <v>212</v>
      </c>
      <c r="E1664" t="s">
        <v>122</v>
      </c>
      <c r="F1664" t="s">
        <v>5687</v>
      </c>
      <c r="G1664" t="s">
        <v>152</v>
      </c>
      <c r="H1664" t="s">
        <v>174</v>
      </c>
      <c r="I1664" t="s">
        <v>154</v>
      </c>
      <c r="J1664">
        <v>20161108</v>
      </c>
    </row>
    <row r="1665" spans="1:10">
      <c r="A1665" t="s">
        <v>5973</v>
      </c>
      <c r="B1665">
        <v>603206</v>
      </c>
      <c r="C1665" t="s">
        <v>5974</v>
      </c>
      <c r="D1665" t="s">
        <v>212</v>
      </c>
      <c r="E1665" t="s">
        <v>123</v>
      </c>
      <c r="F1665" t="s">
        <v>5975</v>
      </c>
      <c r="G1665" t="s">
        <v>152</v>
      </c>
      <c r="H1665" t="s">
        <v>174</v>
      </c>
      <c r="I1665" t="s">
        <v>154</v>
      </c>
      <c r="J1665">
        <v>20220506</v>
      </c>
    </row>
    <row r="1666" spans="1:10">
      <c r="A1666" t="s">
        <v>2824</v>
      </c>
      <c r="B1666">
        <v>603208</v>
      </c>
      <c r="C1666" t="s">
        <v>2825</v>
      </c>
      <c r="D1666" t="s">
        <v>423</v>
      </c>
      <c r="E1666" t="s">
        <v>21</v>
      </c>
      <c r="F1666" t="s">
        <v>2826</v>
      </c>
      <c r="G1666" t="s">
        <v>152</v>
      </c>
      <c r="H1666" t="s">
        <v>174</v>
      </c>
      <c r="I1666" t="s">
        <v>154</v>
      </c>
      <c r="J1666">
        <v>20170210</v>
      </c>
    </row>
    <row r="1667" spans="1:10">
      <c r="A1667" t="s">
        <v>4072</v>
      </c>
      <c r="B1667">
        <v>603209</v>
      </c>
      <c r="C1667" t="s">
        <v>4073</v>
      </c>
      <c r="D1667" t="s">
        <v>150</v>
      </c>
      <c r="E1667" t="s">
        <v>92</v>
      </c>
      <c r="F1667" t="s">
        <v>4074</v>
      </c>
      <c r="G1667" t="s">
        <v>152</v>
      </c>
      <c r="H1667" t="s">
        <v>174</v>
      </c>
      <c r="I1667" t="s">
        <v>154</v>
      </c>
      <c r="J1667">
        <v>20220324</v>
      </c>
    </row>
    <row r="1668" spans="1:10">
      <c r="A1668" t="s">
        <v>2077</v>
      </c>
      <c r="B1668">
        <v>603211</v>
      </c>
      <c r="C1668" t="s">
        <v>2078</v>
      </c>
      <c r="D1668" t="s">
        <v>172</v>
      </c>
      <c r="E1668" t="s">
        <v>28</v>
      </c>
      <c r="F1668" t="s">
        <v>2079</v>
      </c>
      <c r="G1668" t="s">
        <v>152</v>
      </c>
      <c r="H1668" t="s">
        <v>174</v>
      </c>
      <c r="I1668" t="s">
        <v>154</v>
      </c>
      <c r="J1668">
        <v>20220725</v>
      </c>
    </row>
    <row r="1669" spans="1:10">
      <c r="A1669" t="s">
        <v>662</v>
      </c>
      <c r="B1669">
        <v>603212</v>
      </c>
      <c r="C1669" t="s">
        <v>663</v>
      </c>
      <c r="D1669" t="s">
        <v>212</v>
      </c>
      <c r="E1669" t="s">
        <v>40</v>
      </c>
      <c r="F1669" t="s">
        <v>664</v>
      </c>
      <c r="G1669" t="s">
        <v>152</v>
      </c>
      <c r="H1669" t="s">
        <v>174</v>
      </c>
      <c r="I1669" t="s">
        <v>154</v>
      </c>
      <c r="J1669">
        <v>20200430</v>
      </c>
    </row>
    <row r="1670" spans="1:10">
      <c r="A1670" t="s">
        <v>665</v>
      </c>
      <c r="B1670">
        <v>603213</v>
      </c>
      <c r="C1670" t="s">
        <v>666</v>
      </c>
      <c r="D1670" t="s">
        <v>423</v>
      </c>
      <c r="E1670" t="s">
        <v>14</v>
      </c>
      <c r="F1670" t="s">
        <v>667</v>
      </c>
      <c r="G1670" t="s">
        <v>152</v>
      </c>
      <c r="H1670" t="s">
        <v>174</v>
      </c>
      <c r="I1670" t="s">
        <v>154</v>
      </c>
      <c r="J1670">
        <v>20211111</v>
      </c>
    </row>
    <row r="1671" spans="1:10">
      <c r="A1671" t="s">
        <v>4599</v>
      </c>
      <c r="B1671">
        <v>603214</v>
      </c>
      <c r="C1671" t="s">
        <v>4600</v>
      </c>
      <c r="D1671" t="s">
        <v>172</v>
      </c>
      <c r="E1671" t="s">
        <v>22</v>
      </c>
      <c r="F1671" t="s">
        <v>4601</v>
      </c>
      <c r="G1671" t="s">
        <v>152</v>
      </c>
      <c r="H1671" t="s">
        <v>174</v>
      </c>
      <c r="I1671" t="s">
        <v>154</v>
      </c>
      <c r="J1671">
        <v>20180330</v>
      </c>
    </row>
    <row r="1672" spans="1:10">
      <c r="A1672" t="s">
        <v>2272</v>
      </c>
      <c r="B1672">
        <v>603215</v>
      </c>
      <c r="C1672" t="s">
        <v>2273</v>
      </c>
      <c r="D1672" t="s">
        <v>423</v>
      </c>
      <c r="E1672" t="s">
        <v>8</v>
      </c>
      <c r="F1672" t="s">
        <v>2274</v>
      </c>
      <c r="G1672" t="s">
        <v>152</v>
      </c>
      <c r="H1672" t="s">
        <v>174</v>
      </c>
      <c r="I1672" t="s">
        <v>154</v>
      </c>
      <c r="J1672">
        <v>20220218</v>
      </c>
    </row>
    <row r="1673" spans="1:10">
      <c r="A1673" t="s">
        <v>2827</v>
      </c>
      <c r="B1673">
        <v>603216</v>
      </c>
      <c r="C1673" t="s">
        <v>2828</v>
      </c>
      <c r="D1673" t="s">
        <v>423</v>
      </c>
      <c r="E1673" t="s">
        <v>21</v>
      </c>
      <c r="F1673" t="s">
        <v>2829</v>
      </c>
      <c r="G1673" t="s">
        <v>152</v>
      </c>
      <c r="H1673" t="s">
        <v>174</v>
      </c>
      <c r="I1673" t="s">
        <v>154</v>
      </c>
      <c r="J1673">
        <v>20211215</v>
      </c>
    </row>
    <row r="1674" spans="1:10">
      <c r="A1674" t="s">
        <v>668</v>
      </c>
      <c r="B1674">
        <v>603217</v>
      </c>
      <c r="C1674" t="s">
        <v>669</v>
      </c>
      <c r="D1674" t="s">
        <v>198</v>
      </c>
      <c r="E1674" t="s">
        <v>14</v>
      </c>
      <c r="F1674" t="s">
        <v>670</v>
      </c>
      <c r="G1674" t="s">
        <v>152</v>
      </c>
      <c r="H1674" t="s">
        <v>174</v>
      </c>
      <c r="I1674" t="s">
        <v>154</v>
      </c>
      <c r="J1674">
        <v>20190620</v>
      </c>
    </row>
    <row r="1675" spans="1:10">
      <c r="A1675" t="s">
        <v>1603</v>
      </c>
      <c r="B1675">
        <v>603218</v>
      </c>
      <c r="C1675" t="s">
        <v>1604</v>
      </c>
      <c r="D1675" t="s">
        <v>423</v>
      </c>
      <c r="E1675" t="s">
        <v>17</v>
      </c>
      <c r="F1675" t="s">
        <v>1605</v>
      </c>
      <c r="G1675" t="s">
        <v>152</v>
      </c>
      <c r="H1675" t="s">
        <v>174</v>
      </c>
      <c r="I1675" t="s">
        <v>154</v>
      </c>
      <c r="J1675">
        <v>20161228</v>
      </c>
    </row>
    <row r="1676" spans="1:10">
      <c r="A1676" t="s">
        <v>2275</v>
      </c>
      <c r="B1676">
        <v>603219</v>
      </c>
      <c r="C1676" t="s">
        <v>2276</v>
      </c>
      <c r="D1676" t="s">
        <v>423</v>
      </c>
      <c r="E1676" t="s">
        <v>8</v>
      </c>
      <c r="F1676" t="s">
        <v>2277</v>
      </c>
      <c r="G1676" t="s">
        <v>152</v>
      </c>
      <c r="H1676" t="s">
        <v>174</v>
      </c>
      <c r="I1676" t="s">
        <v>154</v>
      </c>
      <c r="J1676">
        <v>20211122</v>
      </c>
    </row>
    <row r="1677" spans="1:10">
      <c r="A1677" t="s">
        <v>6318</v>
      </c>
      <c r="B1677">
        <v>603220</v>
      </c>
      <c r="C1677" t="s">
        <v>6319</v>
      </c>
      <c r="D1677" t="s">
        <v>316</v>
      </c>
      <c r="E1677" t="s">
        <v>125</v>
      </c>
      <c r="F1677" t="s">
        <v>6320</v>
      </c>
      <c r="G1677" t="s">
        <v>152</v>
      </c>
      <c r="H1677" t="s">
        <v>174</v>
      </c>
      <c r="I1677" t="s">
        <v>154</v>
      </c>
      <c r="J1677">
        <v>20181115</v>
      </c>
    </row>
    <row r="1678" spans="1:10">
      <c r="A1678" t="s">
        <v>2830</v>
      </c>
      <c r="B1678">
        <v>603221</v>
      </c>
      <c r="C1678" t="s">
        <v>2831</v>
      </c>
      <c r="D1678" t="s">
        <v>212</v>
      </c>
      <c r="E1678" t="s">
        <v>21</v>
      </c>
      <c r="F1678" t="s">
        <v>2832</v>
      </c>
      <c r="G1678" t="s">
        <v>152</v>
      </c>
      <c r="H1678" t="s">
        <v>174</v>
      </c>
      <c r="I1678" t="s">
        <v>154</v>
      </c>
      <c r="J1678">
        <v>20200323</v>
      </c>
    </row>
    <row r="1679" spans="1:10">
      <c r="A1679" t="s">
        <v>3205</v>
      </c>
      <c r="B1679">
        <v>603222</v>
      </c>
      <c r="C1679" t="s">
        <v>3206</v>
      </c>
      <c r="D1679" t="s">
        <v>423</v>
      </c>
      <c r="E1679" t="s">
        <v>90</v>
      </c>
      <c r="F1679" t="s">
        <v>3207</v>
      </c>
      <c r="G1679" t="s">
        <v>152</v>
      </c>
      <c r="H1679" t="s">
        <v>174</v>
      </c>
      <c r="I1679" t="s">
        <v>154</v>
      </c>
      <c r="J1679">
        <v>20150217</v>
      </c>
    </row>
    <row r="1680" spans="1:10">
      <c r="A1680" t="s">
        <v>4075</v>
      </c>
      <c r="B1680">
        <v>603223</v>
      </c>
      <c r="C1680" t="s">
        <v>4076</v>
      </c>
      <c r="D1680" t="s">
        <v>198</v>
      </c>
      <c r="E1680" t="s">
        <v>50</v>
      </c>
      <c r="F1680" t="s">
        <v>4077</v>
      </c>
      <c r="G1680" t="s">
        <v>152</v>
      </c>
      <c r="H1680" t="s">
        <v>174</v>
      </c>
      <c r="I1680" t="s">
        <v>154</v>
      </c>
      <c r="J1680">
        <v>20150630</v>
      </c>
    </row>
    <row r="1681" spans="1:10">
      <c r="A1681" t="s">
        <v>671</v>
      </c>
      <c r="B1681">
        <v>603225</v>
      </c>
      <c r="C1681" t="s">
        <v>672</v>
      </c>
      <c r="D1681" t="s">
        <v>423</v>
      </c>
      <c r="E1681" t="s">
        <v>24</v>
      </c>
      <c r="F1681" t="s">
        <v>673</v>
      </c>
      <c r="G1681" t="s">
        <v>152</v>
      </c>
      <c r="H1681" t="s">
        <v>174</v>
      </c>
      <c r="I1681" t="s">
        <v>154</v>
      </c>
      <c r="J1681">
        <v>20170418</v>
      </c>
    </row>
    <row r="1682" spans="1:10">
      <c r="A1682" t="s">
        <v>2833</v>
      </c>
      <c r="B1682">
        <v>603226</v>
      </c>
      <c r="C1682" t="s">
        <v>2834</v>
      </c>
      <c r="D1682" t="s">
        <v>172</v>
      </c>
      <c r="E1682" t="s">
        <v>21</v>
      </c>
      <c r="F1682" t="s">
        <v>2835</v>
      </c>
      <c r="G1682" t="s">
        <v>152</v>
      </c>
      <c r="H1682" t="s">
        <v>174</v>
      </c>
      <c r="I1682" t="s">
        <v>154</v>
      </c>
      <c r="J1682">
        <v>20170615</v>
      </c>
    </row>
    <row r="1683" spans="1:10">
      <c r="A1683" t="s">
        <v>674</v>
      </c>
      <c r="B1683">
        <v>603227</v>
      </c>
      <c r="C1683" t="s">
        <v>675</v>
      </c>
      <c r="D1683" t="s">
        <v>202</v>
      </c>
      <c r="E1683" t="s">
        <v>14</v>
      </c>
      <c r="F1683" t="s">
        <v>676</v>
      </c>
      <c r="G1683" t="s">
        <v>152</v>
      </c>
      <c r="H1683" t="s">
        <v>174</v>
      </c>
      <c r="I1683" t="s">
        <v>154</v>
      </c>
      <c r="J1683">
        <v>20150515</v>
      </c>
    </row>
    <row r="1684" spans="1:10">
      <c r="A1684" t="s">
        <v>1606</v>
      </c>
      <c r="B1684">
        <v>603228</v>
      </c>
      <c r="C1684" t="s">
        <v>1607</v>
      </c>
      <c r="D1684" t="s">
        <v>243</v>
      </c>
      <c r="E1684" t="s">
        <v>42</v>
      </c>
      <c r="F1684" t="s">
        <v>1608</v>
      </c>
      <c r="G1684" t="s">
        <v>152</v>
      </c>
      <c r="H1684" t="s">
        <v>174</v>
      </c>
      <c r="I1684" t="s">
        <v>154</v>
      </c>
      <c r="J1684">
        <v>20170106</v>
      </c>
    </row>
    <row r="1685" spans="1:10">
      <c r="A1685" t="s">
        <v>3067</v>
      </c>
      <c r="B1685">
        <v>603229</v>
      </c>
      <c r="C1685" t="s">
        <v>3068</v>
      </c>
      <c r="D1685" t="s">
        <v>423</v>
      </c>
      <c r="E1685" t="s">
        <v>81</v>
      </c>
      <c r="F1685" t="s">
        <v>3069</v>
      </c>
      <c r="G1685" t="s">
        <v>152</v>
      </c>
      <c r="H1685" t="s">
        <v>174</v>
      </c>
      <c r="I1685" t="s">
        <v>154</v>
      </c>
      <c r="J1685">
        <v>20170509</v>
      </c>
    </row>
    <row r="1686" spans="1:10">
      <c r="A1686" t="s">
        <v>6213</v>
      </c>
      <c r="B1686">
        <v>603230</v>
      </c>
      <c r="C1686" t="s">
        <v>6214</v>
      </c>
      <c r="D1686" t="s">
        <v>266</v>
      </c>
      <c r="E1686" t="s">
        <v>55</v>
      </c>
      <c r="F1686" t="s">
        <v>6215</v>
      </c>
      <c r="G1686" t="s">
        <v>152</v>
      </c>
      <c r="H1686" t="s">
        <v>174</v>
      </c>
      <c r="I1686" t="s">
        <v>154</v>
      </c>
      <c r="J1686">
        <v>20211224</v>
      </c>
    </row>
    <row r="1687" spans="1:10">
      <c r="A1687" t="s">
        <v>5976</v>
      </c>
      <c r="B1687">
        <v>603232</v>
      </c>
      <c r="C1687" t="s">
        <v>5977</v>
      </c>
      <c r="D1687" t="s">
        <v>172</v>
      </c>
      <c r="E1687" t="s">
        <v>123</v>
      </c>
      <c r="F1687" t="s">
        <v>5978</v>
      </c>
      <c r="G1687" t="s">
        <v>152</v>
      </c>
      <c r="H1687" t="s">
        <v>174</v>
      </c>
      <c r="I1687" t="s">
        <v>154</v>
      </c>
      <c r="J1687">
        <v>20170421</v>
      </c>
    </row>
    <row r="1688" spans="1:10">
      <c r="A1688" t="s">
        <v>3226</v>
      </c>
      <c r="B1688">
        <v>603233</v>
      </c>
      <c r="C1688" t="s">
        <v>3227</v>
      </c>
      <c r="D1688" t="s">
        <v>223</v>
      </c>
      <c r="E1688" t="s">
        <v>95</v>
      </c>
      <c r="F1688" t="s">
        <v>3228</v>
      </c>
      <c r="G1688" t="s">
        <v>152</v>
      </c>
      <c r="H1688" t="s">
        <v>174</v>
      </c>
      <c r="I1688" t="s">
        <v>154</v>
      </c>
      <c r="J1688">
        <v>20170731</v>
      </c>
    </row>
    <row r="1689" spans="1:10">
      <c r="A1689" t="s">
        <v>3004</v>
      </c>
      <c r="B1689">
        <v>603235</v>
      </c>
      <c r="C1689" t="s">
        <v>3005</v>
      </c>
      <c r="D1689" t="s">
        <v>406</v>
      </c>
      <c r="E1689" t="s">
        <v>81</v>
      </c>
      <c r="F1689" t="s">
        <v>3006</v>
      </c>
      <c r="G1689" t="s">
        <v>152</v>
      </c>
      <c r="H1689" t="s">
        <v>174</v>
      </c>
      <c r="I1689" t="s">
        <v>154</v>
      </c>
      <c r="J1689">
        <v>20220712</v>
      </c>
    </row>
    <row r="1690" spans="1:10">
      <c r="A1690" t="s">
        <v>6321</v>
      </c>
      <c r="B1690">
        <v>603236</v>
      </c>
      <c r="C1690" t="s">
        <v>6322</v>
      </c>
      <c r="D1690" t="s">
        <v>172</v>
      </c>
      <c r="E1690" t="s">
        <v>125</v>
      </c>
      <c r="F1690" t="s">
        <v>6323</v>
      </c>
      <c r="G1690" t="s">
        <v>152</v>
      </c>
      <c r="H1690" t="s">
        <v>174</v>
      </c>
      <c r="I1690" t="s">
        <v>154</v>
      </c>
      <c r="J1690">
        <v>20190716</v>
      </c>
    </row>
    <row r="1691" spans="1:10">
      <c r="A1691" t="s">
        <v>2530</v>
      </c>
      <c r="B1691">
        <v>603237</v>
      </c>
      <c r="C1691" t="s">
        <v>2531</v>
      </c>
      <c r="D1691" t="s">
        <v>423</v>
      </c>
      <c r="E1691" t="s">
        <v>19</v>
      </c>
      <c r="F1691" t="s">
        <v>2532</v>
      </c>
      <c r="G1691" t="s">
        <v>152</v>
      </c>
      <c r="H1691" t="s">
        <v>174</v>
      </c>
      <c r="I1691" t="s">
        <v>154</v>
      </c>
      <c r="J1691">
        <v>20220831</v>
      </c>
    </row>
    <row r="1692" spans="1:10">
      <c r="A1692" t="s">
        <v>677</v>
      </c>
      <c r="B1692">
        <v>603238</v>
      </c>
      <c r="C1692" t="s">
        <v>678</v>
      </c>
      <c r="D1692" t="s">
        <v>423</v>
      </c>
      <c r="E1692" t="s">
        <v>33</v>
      </c>
      <c r="F1692" t="s">
        <v>679</v>
      </c>
      <c r="G1692" t="s">
        <v>152</v>
      </c>
      <c r="H1692" t="s">
        <v>174</v>
      </c>
      <c r="I1692" t="s">
        <v>154</v>
      </c>
      <c r="J1692">
        <v>20170222</v>
      </c>
    </row>
    <row r="1693" spans="1:10">
      <c r="A1693" t="s">
        <v>2080</v>
      </c>
      <c r="B1693">
        <v>603239</v>
      </c>
      <c r="C1693" t="s">
        <v>2081</v>
      </c>
      <c r="D1693" t="s">
        <v>423</v>
      </c>
      <c r="E1693" t="s">
        <v>28</v>
      </c>
      <c r="F1693" t="s">
        <v>2082</v>
      </c>
      <c r="G1693" t="s">
        <v>152</v>
      </c>
      <c r="H1693" t="s">
        <v>174</v>
      </c>
      <c r="I1693" t="s">
        <v>154</v>
      </c>
      <c r="J1693">
        <v>20161230</v>
      </c>
    </row>
    <row r="1694" spans="1:10">
      <c r="A1694" t="s">
        <v>680</v>
      </c>
      <c r="B1694">
        <v>603255</v>
      </c>
      <c r="C1694" t="s">
        <v>681</v>
      </c>
      <c r="D1694" t="s">
        <v>236</v>
      </c>
      <c r="E1694" t="s">
        <v>14</v>
      </c>
      <c r="F1694" t="s">
        <v>682</v>
      </c>
      <c r="G1694" t="s">
        <v>152</v>
      </c>
      <c r="H1694" t="s">
        <v>174</v>
      </c>
      <c r="I1694" t="s">
        <v>154</v>
      </c>
      <c r="J1694">
        <v>20220818</v>
      </c>
    </row>
    <row r="1695" spans="1:10">
      <c r="A1695" t="s">
        <v>5163</v>
      </c>
      <c r="B1695">
        <v>603256</v>
      </c>
      <c r="C1695" t="s">
        <v>5164</v>
      </c>
      <c r="D1695" t="s">
        <v>172</v>
      </c>
      <c r="E1695" t="s">
        <v>45</v>
      </c>
      <c r="F1695" t="s">
        <v>5165</v>
      </c>
      <c r="G1695" t="s">
        <v>152</v>
      </c>
      <c r="H1695" t="s">
        <v>174</v>
      </c>
      <c r="I1695" t="s">
        <v>154</v>
      </c>
      <c r="J1695">
        <v>20190719</v>
      </c>
    </row>
    <row r="1696" spans="1:10">
      <c r="A1696" t="s">
        <v>5979</v>
      </c>
      <c r="B1696">
        <v>603258</v>
      </c>
      <c r="C1696" t="s">
        <v>5980</v>
      </c>
      <c r="D1696" t="s">
        <v>423</v>
      </c>
      <c r="E1696" t="s">
        <v>116</v>
      </c>
      <c r="F1696" t="s">
        <v>5981</v>
      </c>
      <c r="G1696" t="s">
        <v>152</v>
      </c>
      <c r="H1696" t="s">
        <v>174</v>
      </c>
      <c r="I1696" t="s">
        <v>154</v>
      </c>
      <c r="J1696">
        <v>20161026</v>
      </c>
    </row>
    <row r="1697" spans="1:10">
      <c r="A1697" t="s">
        <v>2998</v>
      </c>
      <c r="B1697">
        <v>603259</v>
      </c>
      <c r="C1697" t="s">
        <v>2999</v>
      </c>
      <c r="D1697" t="s">
        <v>212</v>
      </c>
      <c r="E1697" t="s">
        <v>81</v>
      </c>
      <c r="F1697" t="s">
        <v>3000</v>
      </c>
      <c r="G1697" t="s">
        <v>152</v>
      </c>
      <c r="H1697" t="s">
        <v>174</v>
      </c>
      <c r="I1697" t="s">
        <v>154</v>
      </c>
      <c r="J1697">
        <v>20180508</v>
      </c>
    </row>
    <row r="1698" spans="1:10">
      <c r="A1698" t="s">
        <v>683</v>
      </c>
      <c r="B1698">
        <v>603260</v>
      </c>
      <c r="C1698" t="s">
        <v>684</v>
      </c>
      <c r="D1698" t="s">
        <v>423</v>
      </c>
      <c r="E1698" t="s">
        <v>14</v>
      </c>
      <c r="F1698" t="s">
        <v>685</v>
      </c>
      <c r="G1698" t="s">
        <v>152</v>
      </c>
      <c r="H1698" t="s">
        <v>174</v>
      </c>
      <c r="I1698" t="s">
        <v>154</v>
      </c>
      <c r="J1698">
        <v>20171030</v>
      </c>
    </row>
    <row r="1699" spans="1:10">
      <c r="A1699" t="s">
        <v>4078</v>
      </c>
      <c r="B1699">
        <v>603261</v>
      </c>
      <c r="C1699" t="s">
        <v>4079</v>
      </c>
      <c r="D1699" t="s">
        <v>219</v>
      </c>
      <c r="E1699" t="s">
        <v>102</v>
      </c>
      <c r="F1699" t="s">
        <v>4080</v>
      </c>
      <c r="G1699" t="s">
        <v>152</v>
      </c>
      <c r="H1699" t="s">
        <v>174</v>
      </c>
      <c r="I1699" t="s">
        <v>154</v>
      </c>
      <c r="J1699">
        <v>20220315</v>
      </c>
    </row>
    <row r="1700" spans="1:10">
      <c r="A1700" t="s">
        <v>2083</v>
      </c>
      <c r="B1700">
        <v>603266</v>
      </c>
      <c r="C1700" t="s">
        <v>2084</v>
      </c>
      <c r="D1700" t="s">
        <v>423</v>
      </c>
      <c r="E1700" t="s">
        <v>28</v>
      </c>
      <c r="F1700" t="s">
        <v>2085</v>
      </c>
      <c r="G1700" t="s">
        <v>152</v>
      </c>
      <c r="H1700" t="s">
        <v>174</v>
      </c>
      <c r="I1700" t="s">
        <v>154</v>
      </c>
      <c r="J1700">
        <v>20170110</v>
      </c>
    </row>
    <row r="1701" spans="1:10">
      <c r="A1701" t="s">
        <v>1609</v>
      </c>
      <c r="B1701">
        <v>603267</v>
      </c>
      <c r="C1701" t="s">
        <v>1610</v>
      </c>
      <c r="D1701" t="s">
        <v>164</v>
      </c>
      <c r="E1701" t="s">
        <v>42</v>
      </c>
      <c r="F1701" t="s">
        <v>1611</v>
      </c>
      <c r="G1701" t="s">
        <v>152</v>
      </c>
      <c r="H1701" t="s">
        <v>174</v>
      </c>
      <c r="I1701" t="s">
        <v>154</v>
      </c>
      <c r="J1701">
        <v>20190515</v>
      </c>
    </row>
    <row r="1702" spans="1:10">
      <c r="A1702" t="s">
        <v>2836</v>
      </c>
      <c r="B1702">
        <v>603268</v>
      </c>
      <c r="C1702" t="s">
        <v>2837</v>
      </c>
      <c r="D1702" t="s">
        <v>223</v>
      </c>
      <c r="E1702" t="s">
        <v>21</v>
      </c>
      <c r="F1702" t="s">
        <v>2838</v>
      </c>
      <c r="G1702" t="s">
        <v>152</v>
      </c>
      <c r="H1702" t="s">
        <v>174</v>
      </c>
      <c r="I1702" t="s">
        <v>154</v>
      </c>
      <c r="J1702">
        <v>20150319</v>
      </c>
    </row>
    <row r="1703" spans="1:10">
      <c r="A1703" t="s">
        <v>5688</v>
      </c>
      <c r="B1703">
        <v>603269</v>
      </c>
      <c r="C1703" t="s">
        <v>5689</v>
      </c>
      <c r="D1703" t="s">
        <v>212</v>
      </c>
      <c r="E1703" t="s">
        <v>135</v>
      </c>
      <c r="F1703" t="s">
        <v>5690</v>
      </c>
      <c r="G1703" t="s">
        <v>152</v>
      </c>
      <c r="H1703" t="s">
        <v>174</v>
      </c>
      <c r="I1703" t="s">
        <v>154</v>
      </c>
      <c r="J1703">
        <v>20170517</v>
      </c>
    </row>
    <row r="1704" spans="1:10">
      <c r="A1704" t="s">
        <v>2839</v>
      </c>
      <c r="B1704">
        <v>603272</v>
      </c>
      <c r="C1704" t="s">
        <v>2840</v>
      </c>
      <c r="D1704" t="s">
        <v>423</v>
      </c>
      <c r="E1704" t="s">
        <v>21</v>
      </c>
      <c r="F1704" t="s">
        <v>2841</v>
      </c>
      <c r="G1704" t="s">
        <v>152</v>
      </c>
      <c r="H1704" t="s">
        <v>174</v>
      </c>
      <c r="I1704" t="s">
        <v>154</v>
      </c>
      <c r="J1704">
        <v>20220520</v>
      </c>
    </row>
    <row r="1705" spans="1:10">
      <c r="A1705" t="s">
        <v>5691</v>
      </c>
      <c r="B1705">
        <v>603277</v>
      </c>
      <c r="C1705" t="s">
        <v>5692</v>
      </c>
      <c r="D1705" t="s">
        <v>423</v>
      </c>
      <c r="E1705" t="s">
        <v>122</v>
      </c>
      <c r="F1705" t="s">
        <v>5693</v>
      </c>
      <c r="G1705" t="s">
        <v>152</v>
      </c>
      <c r="H1705" t="s">
        <v>174</v>
      </c>
      <c r="I1705" t="s">
        <v>154</v>
      </c>
      <c r="J1705">
        <v>20170911</v>
      </c>
    </row>
    <row r="1706" spans="1:10">
      <c r="A1706" t="s">
        <v>948</v>
      </c>
      <c r="B1706">
        <v>603278</v>
      </c>
      <c r="C1706" t="s">
        <v>949</v>
      </c>
      <c r="D1706" t="s">
        <v>198</v>
      </c>
      <c r="E1706" t="s">
        <v>34</v>
      </c>
      <c r="F1706" t="s">
        <v>950</v>
      </c>
      <c r="G1706" t="s">
        <v>152</v>
      </c>
      <c r="H1706" t="s">
        <v>174</v>
      </c>
      <c r="I1706" t="s">
        <v>154</v>
      </c>
      <c r="J1706">
        <v>20171113</v>
      </c>
    </row>
    <row r="1707" spans="1:10">
      <c r="A1707" t="s">
        <v>6618</v>
      </c>
      <c r="B1707">
        <v>603279</v>
      </c>
      <c r="C1707" t="s">
        <v>6619</v>
      </c>
      <c r="D1707" t="s">
        <v>198</v>
      </c>
      <c r="E1707" t="s">
        <v>119</v>
      </c>
      <c r="F1707" t="s">
        <v>6620</v>
      </c>
      <c r="G1707" t="s">
        <v>152</v>
      </c>
      <c r="H1707" t="s">
        <v>174</v>
      </c>
      <c r="I1707" t="s">
        <v>154</v>
      </c>
      <c r="J1707">
        <v>20190729</v>
      </c>
    </row>
    <row r="1708" spans="1:10">
      <c r="A1708" t="s">
        <v>5694</v>
      </c>
      <c r="B1708">
        <v>603280</v>
      </c>
      <c r="C1708" t="s">
        <v>5695</v>
      </c>
      <c r="D1708" t="s">
        <v>150</v>
      </c>
      <c r="E1708" t="s">
        <v>122</v>
      </c>
      <c r="F1708" t="s">
        <v>5696</v>
      </c>
      <c r="G1708" t="s">
        <v>152</v>
      </c>
      <c r="H1708" t="s">
        <v>174</v>
      </c>
      <c r="I1708" t="s">
        <v>154</v>
      </c>
      <c r="J1708">
        <v>20221108</v>
      </c>
    </row>
    <row r="1709" spans="1:10">
      <c r="A1709" t="s">
        <v>5697</v>
      </c>
      <c r="B1709">
        <v>603283</v>
      </c>
      <c r="C1709" t="s">
        <v>5698</v>
      </c>
      <c r="D1709" t="s">
        <v>212</v>
      </c>
      <c r="E1709" t="s">
        <v>122</v>
      </c>
      <c r="F1709" t="s">
        <v>5699</v>
      </c>
      <c r="G1709" t="s">
        <v>152</v>
      </c>
      <c r="H1709" t="s">
        <v>174</v>
      </c>
      <c r="I1709" t="s">
        <v>154</v>
      </c>
      <c r="J1709">
        <v>20171225</v>
      </c>
    </row>
    <row r="1710" spans="1:10">
      <c r="A1710" t="s">
        <v>2086</v>
      </c>
      <c r="B1710">
        <v>603286</v>
      </c>
      <c r="C1710" t="s">
        <v>2087</v>
      </c>
      <c r="D1710" t="s">
        <v>212</v>
      </c>
      <c r="E1710" t="s">
        <v>28</v>
      </c>
      <c r="F1710" t="s">
        <v>2088</v>
      </c>
      <c r="G1710" t="s">
        <v>152</v>
      </c>
      <c r="H1710" t="s">
        <v>174</v>
      </c>
      <c r="I1710" t="s">
        <v>154</v>
      </c>
      <c r="J1710">
        <v>20170627</v>
      </c>
    </row>
    <row r="1711" spans="1:10">
      <c r="A1711" t="s">
        <v>2533</v>
      </c>
      <c r="B1711">
        <v>603288</v>
      </c>
      <c r="C1711" t="s">
        <v>2534</v>
      </c>
      <c r="D1711" t="s">
        <v>223</v>
      </c>
      <c r="E1711" t="s">
        <v>19</v>
      </c>
      <c r="F1711" t="s">
        <v>2535</v>
      </c>
      <c r="G1711" t="s">
        <v>152</v>
      </c>
      <c r="H1711" t="s">
        <v>174</v>
      </c>
      <c r="I1711" t="s">
        <v>154</v>
      </c>
      <c r="J1711">
        <v>20140211</v>
      </c>
    </row>
    <row r="1712" spans="1:10">
      <c r="A1712" t="s">
        <v>5700</v>
      </c>
      <c r="B1712">
        <v>603289</v>
      </c>
      <c r="C1712" t="s">
        <v>5701</v>
      </c>
      <c r="D1712" t="s">
        <v>423</v>
      </c>
      <c r="E1712" t="s">
        <v>122</v>
      </c>
      <c r="F1712" t="s">
        <v>5702</v>
      </c>
      <c r="G1712" t="s">
        <v>152</v>
      </c>
      <c r="H1712" t="s">
        <v>174</v>
      </c>
      <c r="I1712" t="s">
        <v>154</v>
      </c>
      <c r="J1712">
        <v>20171031</v>
      </c>
    </row>
    <row r="1713" spans="1:10">
      <c r="A1713" t="s">
        <v>1612</v>
      </c>
      <c r="B1713">
        <v>603290</v>
      </c>
      <c r="C1713" t="s">
        <v>1613</v>
      </c>
      <c r="D1713" t="s">
        <v>423</v>
      </c>
      <c r="E1713" t="s">
        <v>31</v>
      </c>
      <c r="F1713" t="s">
        <v>1614</v>
      </c>
      <c r="G1713" t="s">
        <v>152</v>
      </c>
      <c r="H1713" t="s">
        <v>174</v>
      </c>
      <c r="I1713" t="s">
        <v>154</v>
      </c>
      <c r="J1713">
        <v>20200204</v>
      </c>
    </row>
    <row r="1714" spans="1:10">
      <c r="A1714" t="s">
        <v>1615</v>
      </c>
      <c r="B1714">
        <v>603297</v>
      </c>
      <c r="C1714" t="s">
        <v>1616</v>
      </c>
      <c r="D1714" t="s">
        <v>423</v>
      </c>
      <c r="E1714" t="s">
        <v>42</v>
      </c>
      <c r="F1714" t="s">
        <v>1617</v>
      </c>
      <c r="G1714" t="s">
        <v>152</v>
      </c>
      <c r="H1714" t="s">
        <v>174</v>
      </c>
      <c r="I1714" t="s">
        <v>154</v>
      </c>
      <c r="J1714">
        <v>20180910</v>
      </c>
    </row>
    <row r="1715" spans="1:10">
      <c r="A1715" t="s">
        <v>5703</v>
      </c>
      <c r="B1715">
        <v>603298</v>
      </c>
      <c r="C1715" t="s">
        <v>5704</v>
      </c>
      <c r="D1715" t="s">
        <v>423</v>
      </c>
      <c r="E1715" t="s">
        <v>122</v>
      </c>
      <c r="F1715" t="s">
        <v>5705</v>
      </c>
      <c r="G1715" t="s">
        <v>152</v>
      </c>
      <c r="H1715" t="s">
        <v>174</v>
      </c>
      <c r="I1715" t="s">
        <v>154</v>
      </c>
      <c r="J1715">
        <v>20161227</v>
      </c>
    </row>
    <row r="1716" spans="1:10">
      <c r="A1716" t="s">
        <v>2536</v>
      </c>
      <c r="B1716">
        <v>603299</v>
      </c>
      <c r="C1716" t="s">
        <v>2537</v>
      </c>
      <c r="D1716" t="s">
        <v>212</v>
      </c>
      <c r="E1716" t="s">
        <v>19</v>
      </c>
      <c r="F1716" t="s">
        <v>2538</v>
      </c>
      <c r="G1716" t="s">
        <v>152</v>
      </c>
      <c r="H1716" t="s">
        <v>174</v>
      </c>
      <c r="I1716" t="s">
        <v>154</v>
      </c>
      <c r="J1716">
        <v>20151231</v>
      </c>
    </row>
    <row r="1717" spans="1:10">
      <c r="A1717" t="s">
        <v>4998</v>
      </c>
      <c r="B1717">
        <v>603300</v>
      </c>
      <c r="C1717" t="s">
        <v>4999</v>
      </c>
      <c r="D1717" t="s">
        <v>423</v>
      </c>
      <c r="E1717" t="s">
        <v>73</v>
      </c>
      <c r="F1717" t="s">
        <v>5000</v>
      </c>
      <c r="G1717" t="s">
        <v>152</v>
      </c>
      <c r="H1717" t="s">
        <v>174</v>
      </c>
      <c r="I1717" t="s">
        <v>154</v>
      </c>
      <c r="J1717">
        <v>20150529</v>
      </c>
    </row>
    <row r="1718" spans="1:10">
      <c r="A1718" t="s">
        <v>3208</v>
      </c>
      <c r="B1718">
        <v>603301</v>
      </c>
      <c r="C1718" t="s">
        <v>3209</v>
      </c>
      <c r="D1718" t="s">
        <v>423</v>
      </c>
      <c r="E1718" t="s">
        <v>90</v>
      </c>
      <c r="F1718" t="s">
        <v>3210</v>
      </c>
      <c r="G1718" t="s">
        <v>152</v>
      </c>
      <c r="H1718" t="s">
        <v>174</v>
      </c>
      <c r="I1718" t="s">
        <v>154</v>
      </c>
      <c r="J1718">
        <v>20180412</v>
      </c>
    </row>
    <row r="1719" spans="1:10">
      <c r="A1719" t="s">
        <v>2278</v>
      </c>
      <c r="B1719">
        <v>603303</v>
      </c>
      <c r="C1719" t="s">
        <v>2279</v>
      </c>
      <c r="D1719" t="s">
        <v>423</v>
      </c>
      <c r="E1719" t="s">
        <v>8</v>
      </c>
      <c r="F1719" t="s">
        <v>2280</v>
      </c>
      <c r="G1719" t="s">
        <v>152</v>
      </c>
      <c r="H1719" t="s">
        <v>174</v>
      </c>
      <c r="I1719" t="s">
        <v>154</v>
      </c>
      <c r="J1719">
        <v>20170330</v>
      </c>
    </row>
    <row r="1720" spans="1:10">
      <c r="A1720" t="s">
        <v>2089</v>
      </c>
      <c r="B1720">
        <v>603305</v>
      </c>
      <c r="C1720" t="s">
        <v>2090</v>
      </c>
      <c r="D1720" t="s">
        <v>423</v>
      </c>
      <c r="E1720" t="s">
        <v>28</v>
      </c>
      <c r="F1720" t="s">
        <v>2091</v>
      </c>
      <c r="G1720" t="s">
        <v>152</v>
      </c>
      <c r="H1720" t="s">
        <v>174</v>
      </c>
      <c r="I1720" t="s">
        <v>154</v>
      </c>
      <c r="J1720">
        <v>20170710</v>
      </c>
    </row>
    <row r="1721" spans="1:10">
      <c r="A1721" t="s">
        <v>2092</v>
      </c>
      <c r="B1721">
        <v>603306</v>
      </c>
      <c r="C1721" t="s">
        <v>2093</v>
      </c>
      <c r="D1721" t="s">
        <v>150</v>
      </c>
      <c r="E1721" t="s">
        <v>28</v>
      </c>
      <c r="F1721" t="s">
        <v>2094</v>
      </c>
      <c r="G1721" t="s">
        <v>152</v>
      </c>
      <c r="H1721" t="s">
        <v>174</v>
      </c>
      <c r="I1721" t="s">
        <v>154</v>
      </c>
      <c r="J1721">
        <v>20140926</v>
      </c>
    </row>
    <row r="1722" spans="1:10">
      <c r="A1722" t="s">
        <v>5706</v>
      </c>
      <c r="B1722">
        <v>603308</v>
      </c>
      <c r="C1722" t="s">
        <v>5707</v>
      </c>
      <c r="D1722" t="s">
        <v>160</v>
      </c>
      <c r="E1722" t="s">
        <v>135</v>
      </c>
      <c r="F1722" t="s">
        <v>5708</v>
      </c>
      <c r="G1722" t="s">
        <v>152</v>
      </c>
      <c r="H1722" t="s">
        <v>174</v>
      </c>
      <c r="I1722" t="s">
        <v>154</v>
      </c>
      <c r="J1722">
        <v>20140122</v>
      </c>
    </row>
    <row r="1723" spans="1:10">
      <c r="A1723" t="s">
        <v>3142</v>
      </c>
      <c r="B1723">
        <v>603309</v>
      </c>
      <c r="C1723" t="s">
        <v>3143</v>
      </c>
      <c r="D1723" t="s">
        <v>223</v>
      </c>
      <c r="E1723" t="s">
        <v>90</v>
      </c>
      <c r="F1723" t="s">
        <v>3144</v>
      </c>
      <c r="G1723" t="s">
        <v>152</v>
      </c>
      <c r="H1723" t="s">
        <v>174</v>
      </c>
      <c r="I1723" t="s">
        <v>154</v>
      </c>
      <c r="J1723">
        <v>20150302</v>
      </c>
    </row>
    <row r="1724" spans="1:10">
      <c r="A1724" t="s">
        <v>2281</v>
      </c>
      <c r="B1724">
        <v>603311</v>
      </c>
      <c r="C1724" t="s">
        <v>2282</v>
      </c>
      <c r="D1724" t="s">
        <v>423</v>
      </c>
      <c r="E1724" t="s">
        <v>8</v>
      </c>
      <c r="F1724" t="s">
        <v>2283</v>
      </c>
      <c r="G1724" t="s">
        <v>152</v>
      </c>
      <c r="H1724" t="s">
        <v>174</v>
      </c>
      <c r="I1724" t="s">
        <v>154</v>
      </c>
      <c r="J1724">
        <v>20150518</v>
      </c>
    </row>
    <row r="1725" spans="1:10">
      <c r="A1725" t="s">
        <v>2842</v>
      </c>
      <c r="B1725">
        <v>603313</v>
      </c>
      <c r="C1725" t="s">
        <v>2843</v>
      </c>
      <c r="D1725" t="s">
        <v>212</v>
      </c>
      <c r="E1725" t="s">
        <v>21</v>
      </c>
      <c r="F1725" t="s">
        <v>2844</v>
      </c>
      <c r="G1725" t="s">
        <v>152</v>
      </c>
      <c r="H1725" t="s">
        <v>174</v>
      </c>
      <c r="I1725" t="s">
        <v>154</v>
      </c>
      <c r="J1725">
        <v>20161013</v>
      </c>
    </row>
    <row r="1726" spans="1:10">
      <c r="A1726" t="s">
        <v>5709</v>
      </c>
      <c r="B1726">
        <v>603315</v>
      </c>
      <c r="C1726" t="s">
        <v>5710</v>
      </c>
      <c r="D1726" t="s">
        <v>236</v>
      </c>
      <c r="E1726" t="s">
        <v>135</v>
      </c>
      <c r="F1726" t="s">
        <v>5711</v>
      </c>
      <c r="G1726" t="s">
        <v>152</v>
      </c>
      <c r="H1726" t="s">
        <v>174</v>
      </c>
      <c r="I1726" t="s">
        <v>154</v>
      </c>
      <c r="J1726">
        <v>20150424</v>
      </c>
    </row>
    <row r="1727" spans="1:10">
      <c r="A1727" t="s">
        <v>5355</v>
      </c>
      <c r="B1727">
        <v>603316</v>
      </c>
      <c r="C1727" t="s">
        <v>5356</v>
      </c>
      <c r="D1727" t="s">
        <v>423</v>
      </c>
      <c r="E1727" t="s">
        <v>121</v>
      </c>
      <c r="F1727" t="s">
        <v>5357</v>
      </c>
      <c r="G1727" t="s">
        <v>152</v>
      </c>
      <c r="H1727" t="s">
        <v>174</v>
      </c>
      <c r="I1727" t="s">
        <v>154</v>
      </c>
      <c r="J1727">
        <v>20170619</v>
      </c>
    </row>
    <row r="1728" spans="1:10">
      <c r="A1728" t="s">
        <v>2539</v>
      </c>
      <c r="B1728">
        <v>603317</v>
      </c>
      <c r="C1728" t="s">
        <v>2540</v>
      </c>
      <c r="D1728" t="s">
        <v>219</v>
      </c>
      <c r="E1728" t="s">
        <v>19</v>
      </c>
      <c r="F1728" t="s">
        <v>2541</v>
      </c>
      <c r="G1728" t="s">
        <v>152</v>
      </c>
      <c r="H1728" t="s">
        <v>174</v>
      </c>
      <c r="I1728" t="s">
        <v>154</v>
      </c>
      <c r="J1728">
        <v>20190416</v>
      </c>
    </row>
    <row r="1729" spans="1:10">
      <c r="A1729" t="s">
        <v>3691</v>
      </c>
      <c r="B1729">
        <v>603318</v>
      </c>
      <c r="C1729" t="s">
        <v>3692</v>
      </c>
      <c r="D1729" t="s">
        <v>236</v>
      </c>
      <c r="E1729" t="s">
        <v>91</v>
      </c>
      <c r="F1729" t="s">
        <v>3693</v>
      </c>
      <c r="G1729" t="s">
        <v>152</v>
      </c>
      <c r="H1729" t="s">
        <v>174</v>
      </c>
      <c r="I1729" t="s">
        <v>154</v>
      </c>
      <c r="J1729">
        <v>20150424</v>
      </c>
    </row>
    <row r="1730" spans="1:10">
      <c r="A1730" t="s">
        <v>2095</v>
      </c>
      <c r="B1730">
        <v>603319</v>
      </c>
      <c r="C1730" t="s">
        <v>2096</v>
      </c>
      <c r="D1730" t="s">
        <v>168</v>
      </c>
      <c r="E1730" t="s">
        <v>28</v>
      </c>
      <c r="F1730" t="s">
        <v>2097</v>
      </c>
      <c r="G1730" t="s">
        <v>152</v>
      </c>
      <c r="H1730" t="s">
        <v>174</v>
      </c>
      <c r="I1730" t="s">
        <v>154</v>
      </c>
      <c r="J1730">
        <v>20161130</v>
      </c>
    </row>
    <row r="1731" spans="1:10">
      <c r="A1731" t="s">
        <v>1618</v>
      </c>
      <c r="B1731">
        <v>603320</v>
      </c>
      <c r="C1731" t="s">
        <v>1619</v>
      </c>
      <c r="D1731" t="s">
        <v>423</v>
      </c>
      <c r="E1731" t="s">
        <v>17</v>
      </c>
      <c r="F1731" t="s">
        <v>1620</v>
      </c>
      <c r="G1731" t="s">
        <v>152</v>
      </c>
      <c r="H1731" t="s">
        <v>174</v>
      </c>
      <c r="I1731" t="s">
        <v>154</v>
      </c>
      <c r="J1731">
        <v>20170502</v>
      </c>
    </row>
    <row r="1732" spans="1:10">
      <c r="A1732" t="s">
        <v>5712</v>
      </c>
      <c r="B1732">
        <v>603321</v>
      </c>
      <c r="C1732" t="s">
        <v>5713</v>
      </c>
      <c r="D1732" t="s">
        <v>423</v>
      </c>
      <c r="E1732" t="s">
        <v>128</v>
      </c>
      <c r="F1732" t="s">
        <v>5714</v>
      </c>
      <c r="G1732" t="s">
        <v>152</v>
      </c>
      <c r="H1732" t="s">
        <v>174</v>
      </c>
      <c r="I1732" t="s">
        <v>154</v>
      </c>
      <c r="J1732">
        <v>20170915</v>
      </c>
    </row>
    <row r="1733" spans="1:10">
      <c r="A1733" t="s">
        <v>6324</v>
      </c>
      <c r="B1733">
        <v>603322</v>
      </c>
      <c r="C1733" t="s">
        <v>6325</v>
      </c>
      <c r="D1733" t="s">
        <v>223</v>
      </c>
      <c r="E1733" t="s">
        <v>125</v>
      </c>
      <c r="F1733" t="s">
        <v>6326</v>
      </c>
      <c r="G1733" t="s">
        <v>152</v>
      </c>
      <c r="H1733" t="s">
        <v>174</v>
      </c>
      <c r="I1733" t="s">
        <v>154</v>
      </c>
      <c r="J1733">
        <v>20160728</v>
      </c>
    </row>
    <row r="1734" spans="1:10">
      <c r="A1734" t="s">
        <v>4779</v>
      </c>
      <c r="B1734">
        <v>603323</v>
      </c>
      <c r="C1734" t="s">
        <v>4780</v>
      </c>
      <c r="D1734" t="s">
        <v>212</v>
      </c>
      <c r="E1734" t="s">
        <v>62</v>
      </c>
      <c r="F1734" t="s">
        <v>4781</v>
      </c>
      <c r="G1734" t="s">
        <v>152</v>
      </c>
      <c r="H1734" t="s">
        <v>174</v>
      </c>
      <c r="I1734" t="s">
        <v>154</v>
      </c>
      <c r="J1734">
        <v>20161129</v>
      </c>
    </row>
    <row r="1735" spans="1:10">
      <c r="A1735" t="s">
        <v>6621</v>
      </c>
      <c r="B1735">
        <v>603324</v>
      </c>
      <c r="C1735" t="s">
        <v>6622</v>
      </c>
      <c r="D1735" t="s">
        <v>172</v>
      </c>
      <c r="E1735" t="s">
        <v>119</v>
      </c>
      <c r="F1735" t="s">
        <v>6623</v>
      </c>
      <c r="G1735" t="s">
        <v>152</v>
      </c>
      <c r="H1735" t="s">
        <v>174</v>
      </c>
      <c r="I1735" t="s">
        <v>154</v>
      </c>
      <c r="J1735">
        <v>20210407</v>
      </c>
    </row>
    <row r="1736" spans="1:10">
      <c r="A1736" t="s">
        <v>2845</v>
      </c>
      <c r="B1736">
        <v>603326</v>
      </c>
      <c r="C1736" t="s">
        <v>2846</v>
      </c>
      <c r="D1736" t="s">
        <v>212</v>
      </c>
      <c r="E1736" t="s">
        <v>21</v>
      </c>
      <c r="F1736" t="s">
        <v>2847</v>
      </c>
      <c r="G1736" t="s">
        <v>152</v>
      </c>
      <c r="H1736" t="s">
        <v>174</v>
      </c>
      <c r="I1736" t="s">
        <v>154</v>
      </c>
      <c r="J1736">
        <v>20170616</v>
      </c>
    </row>
    <row r="1737" spans="1:10">
      <c r="A1737" t="s">
        <v>1621</v>
      </c>
      <c r="B1737">
        <v>603327</v>
      </c>
      <c r="C1737" t="s">
        <v>1622</v>
      </c>
      <c r="D1737" t="s">
        <v>219</v>
      </c>
      <c r="E1737" t="s">
        <v>42</v>
      </c>
      <c r="F1737" t="s">
        <v>1623</v>
      </c>
      <c r="G1737" t="s">
        <v>152</v>
      </c>
      <c r="H1737" t="s">
        <v>174</v>
      </c>
      <c r="I1737" t="s">
        <v>154</v>
      </c>
      <c r="J1737">
        <v>20190523</v>
      </c>
    </row>
    <row r="1738" spans="1:10">
      <c r="A1738" t="s">
        <v>1624</v>
      </c>
      <c r="B1738">
        <v>603328</v>
      </c>
      <c r="C1738" t="s">
        <v>1625</v>
      </c>
      <c r="D1738" t="s">
        <v>223</v>
      </c>
      <c r="E1738" t="s">
        <v>42</v>
      </c>
      <c r="F1738" t="s">
        <v>1626</v>
      </c>
      <c r="G1738" t="s">
        <v>152</v>
      </c>
      <c r="H1738" t="s">
        <v>174</v>
      </c>
      <c r="I1738" t="s">
        <v>154</v>
      </c>
      <c r="J1738">
        <v>20140701</v>
      </c>
    </row>
    <row r="1739" spans="1:10">
      <c r="A1739" t="s">
        <v>4081</v>
      </c>
      <c r="B1739">
        <v>603329</v>
      </c>
      <c r="C1739" t="s">
        <v>4082</v>
      </c>
      <c r="D1739" t="s">
        <v>172</v>
      </c>
      <c r="E1739" t="s">
        <v>50</v>
      </c>
      <c r="F1739" t="s">
        <v>4083</v>
      </c>
      <c r="G1739" t="s">
        <v>152</v>
      </c>
      <c r="H1739" t="s">
        <v>174</v>
      </c>
      <c r="I1739" t="s">
        <v>154</v>
      </c>
      <c r="J1739">
        <v>20171229</v>
      </c>
    </row>
    <row r="1740" spans="1:10">
      <c r="A1740" t="s">
        <v>686</v>
      </c>
      <c r="B1740">
        <v>603330</v>
      </c>
      <c r="C1740" t="s">
        <v>687</v>
      </c>
      <c r="D1740" t="s">
        <v>172</v>
      </c>
      <c r="E1740" t="s">
        <v>40</v>
      </c>
      <c r="F1740" t="s">
        <v>688</v>
      </c>
      <c r="G1740" t="s">
        <v>152</v>
      </c>
      <c r="H1740" t="s">
        <v>174</v>
      </c>
      <c r="I1740" t="s">
        <v>154</v>
      </c>
      <c r="J1740">
        <v>20170213</v>
      </c>
    </row>
    <row r="1741" spans="1:10">
      <c r="A1741" t="s">
        <v>5715</v>
      </c>
      <c r="B1741">
        <v>603331</v>
      </c>
      <c r="C1741" t="s">
        <v>5716</v>
      </c>
      <c r="D1741" t="s">
        <v>423</v>
      </c>
      <c r="E1741" t="s">
        <v>122</v>
      </c>
      <c r="F1741" t="s">
        <v>5717</v>
      </c>
      <c r="G1741" t="s">
        <v>152</v>
      </c>
      <c r="H1741" t="s">
        <v>174</v>
      </c>
      <c r="I1741" t="s">
        <v>154</v>
      </c>
      <c r="J1741">
        <v>20170705</v>
      </c>
    </row>
    <row r="1742" spans="1:10">
      <c r="A1742" t="s">
        <v>689</v>
      </c>
      <c r="B1742">
        <v>603332</v>
      </c>
      <c r="C1742" t="s">
        <v>690</v>
      </c>
      <c r="D1742" t="s">
        <v>212</v>
      </c>
      <c r="E1742" t="s">
        <v>24</v>
      </c>
      <c r="F1742" t="s">
        <v>691</v>
      </c>
      <c r="G1742" t="s">
        <v>152</v>
      </c>
      <c r="H1742" t="s">
        <v>174</v>
      </c>
      <c r="I1742" t="s">
        <v>154</v>
      </c>
      <c r="J1742">
        <v>20190117</v>
      </c>
    </row>
    <row r="1743" spans="1:10">
      <c r="A1743" t="s">
        <v>1627</v>
      </c>
      <c r="B1743">
        <v>603333</v>
      </c>
      <c r="C1743" t="s">
        <v>1628</v>
      </c>
      <c r="D1743" t="s">
        <v>219</v>
      </c>
      <c r="E1743" t="s">
        <v>17</v>
      </c>
      <c r="F1743" t="s">
        <v>1629</v>
      </c>
      <c r="G1743" t="s">
        <v>152</v>
      </c>
      <c r="H1743" t="s">
        <v>174</v>
      </c>
      <c r="I1743" t="s">
        <v>154</v>
      </c>
      <c r="J1743">
        <v>20120507</v>
      </c>
    </row>
    <row r="1744" spans="1:10">
      <c r="A1744" t="s">
        <v>2098</v>
      </c>
      <c r="B1744">
        <v>603335</v>
      </c>
      <c r="C1744" t="s">
        <v>2099</v>
      </c>
      <c r="D1744" t="s">
        <v>223</v>
      </c>
      <c r="E1744" t="s">
        <v>28</v>
      </c>
      <c r="F1744" t="s">
        <v>2100</v>
      </c>
      <c r="G1744" t="s">
        <v>152</v>
      </c>
      <c r="H1744" t="s">
        <v>174</v>
      </c>
      <c r="I1744" t="s">
        <v>154</v>
      </c>
      <c r="J1744">
        <v>20170620</v>
      </c>
    </row>
    <row r="1745" spans="1:10">
      <c r="A1745" t="s">
        <v>284</v>
      </c>
      <c r="B1745">
        <v>603336</v>
      </c>
      <c r="C1745" t="s">
        <v>285</v>
      </c>
      <c r="D1745" t="s">
        <v>223</v>
      </c>
      <c r="E1745" t="s">
        <v>46</v>
      </c>
      <c r="F1745" t="s">
        <v>286</v>
      </c>
      <c r="G1745" t="s">
        <v>152</v>
      </c>
      <c r="H1745" t="s">
        <v>174</v>
      </c>
      <c r="I1745" t="s">
        <v>154</v>
      </c>
      <c r="J1745">
        <v>20161124</v>
      </c>
    </row>
    <row r="1746" spans="1:10">
      <c r="A1746" t="s">
        <v>5718</v>
      </c>
      <c r="B1746">
        <v>603337</v>
      </c>
      <c r="C1746" t="s">
        <v>5719</v>
      </c>
      <c r="D1746" t="s">
        <v>423</v>
      </c>
      <c r="E1746" t="s">
        <v>100</v>
      </c>
      <c r="F1746" t="s">
        <v>5720</v>
      </c>
      <c r="G1746" t="s">
        <v>152</v>
      </c>
      <c r="H1746" t="s">
        <v>174</v>
      </c>
      <c r="I1746" t="s">
        <v>154</v>
      </c>
      <c r="J1746">
        <v>20170119</v>
      </c>
    </row>
    <row r="1747" spans="1:10">
      <c r="A1747" t="s">
        <v>5721</v>
      </c>
      <c r="B1747">
        <v>603338</v>
      </c>
      <c r="C1747" t="s">
        <v>5722</v>
      </c>
      <c r="D1747" t="s">
        <v>423</v>
      </c>
      <c r="E1747" t="s">
        <v>122</v>
      </c>
      <c r="F1747" t="s">
        <v>5723</v>
      </c>
      <c r="G1747" t="s">
        <v>152</v>
      </c>
      <c r="H1747" t="s">
        <v>174</v>
      </c>
      <c r="I1747" t="s">
        <v>154</v>
      </c>
      <c r="J1747">
        <v>20150325</v>
      </c>
    </row>
    <row r="1748" spans="1:10">
      <c r="A1748" t="s">
        <v>5724</v>
      </c>
      <c r="B1748">
        <v>603339</v>
      </c>
      <c r="C1748" t="s">
        <v>5725</v>
      </c>
      <c r="D1748" t="s">
        <v>212</v>
      </c>
      <c r="E1748" t="s">
        <v>122</v>
      </c>
      <c r="F1748" t="s">
        <v>5726</v>
      </c>
      <c r="G1748" t="s">
        <v>152</v>
      </c>
      <c r="H1748" t="s">
        <v>174</v>
      </c>
      <c r="I1748" t="s">
        <v>154</v>
      </c>
      <c r="J1748">
        <v>20160519</v>
      </c>
    </row>
    <row r="1749" spans="1:10">
      <c r="A1749" t="s">
        <v>2542</v>
      </c>
      <c r="B1749">
        <v>603345</v>
      </c>
      <c r="C1749" t="s">
        <v>2543</v>
      </c>
      <c r="D1749" t="s">
        <v>150</v>
      </c>
      <c r="E1749" t="s">
        <v>19</v>
      </c>
      <c r="F1749" t="s">
        <v>2544</v>
      </c>
      <c r="G1749" t="s">
        <v>152</v>
      </c>
      <c r="H1749" t="s">
        <v>174</v>
      </c>
      <c r="I1749" t="s">
        <v>154</v>
      </c>
      <c r="J1749">
        <v>20170222</v>
      </c>
    </row>
    <row r="1750" spans="1:10">
      <c r="A1750" t="s">
        <v>2101</v>
      </c>
      <c r="B1750">
        <v>603348</v>
      </c>
      <c r="C1750" t="s">
        <v>2102</v>
      </c>
      <c r="D1750" t="s">
        <v>223</v>
      </c>
      <c r="E1750" t="s">
        <v>28</v>
      </c>
      <c r="F1750" t="s">
        <v>2103</v>
      </c>
      <c r="G1750" t="s">
        <v>152</v>
      </c>
      <c r="H1750" t="s">
        <v>174</v>
      </c>
      <c r="I1750" t="s">
        <v>154</v>
      </c>
      <c r="J1750">
        <v>20180426</v>
      </c>
    </row>
    <row r="1751" spans="1:10">
      <c r="A1751" t="s">
        <v>3001</v>
      </c>
      <c r="B1751">
        <v>603351</v>
      </c>
      <c r="C1751" t="s">
        <v>3002</v>
      </c>
      <c r="D1751" t="s">
        <v>212</v>
      </c>
      <c r="E1751" t="s">
        <v>81</v>
      </c>
      <c r="F1751" t="s">
        <v>3003</v>
      </c>
      <c r="G1751" t="s">
        <v>152</v>
      </c>
      <c r="H1751" t="s">
        <v>174</v>
      </c>
      <c r="I1751" t="s">
        <v>154</v>
      </c>
      <c r="J1751">
        <v>20190130</v>
      </c>
    </row>
    <row r="1752" spans="1:10">
      <c r="A1752" t="s">
        <v>6522</v>
      </c>
      <c r="B1752">
        <v>603353</v>
      </c>
      <c r="C1752" t="s">
        <v>6523</v>
      </c>
      <c r="D1752" t="s">
        <v>168</v>
      </c>
      <c r="E1752" t="s">
        <v>127</v>
      </c>
      <c r="F1752" t="s">
        <v>6524</v>
      </c>
      <c r="G1752" t="s">
        <v>152</v>
      </c>
      <c r="H1752" t="s">
        <v>174</v>
      </c>
      <c r="I1752" t="s">
        <v>154</v>
      </c>
      <c r="J1752">
        <v>20200407</v>
      </c>
    </row>
    <row r="1753" spans="1:10">
      <c r="A1753" t="s">
        <v>2284</v>
      </c>
      <c r="B1753">
        <v>603355</v>
      </c>
      <c r="C1753" t="s">
        <v>2285</v>
      </c>
      <c r="D1753" t="s">
        <v>212</v>
      </c>
      <c r="E1753" t="s">
        <v>8</v>
      </c>
      <c r="F1753" t="s">
        <v>2286</v>
      </c>
      <c r="G1753" t="s">
        <v>152</v>
      </c>
      <c r="H1753" t="s">
        <v>174</v>
      </c>
      <c r="I1753" t="s">
        <v>154</v>
      </c>
      <c r="J1753">
        <v>20150513</v>
      </c>
    </row>
    <row r="1754" spans="1:10">
      <c r="A1754" t="s">
        <v>5727</v>
      </c>
      <c r="B1754">
        <v>603356</v>
      </c>
      <c r="C1754" t="s">
        <v>5728</v>
      </c>
      <c r="D1754" t="s">
        <v>160</v>
      </c>
      <c r="E1754" t="s">
        <v>128</v>
      </c>
      <c r="F1754" t="s">
        <v>5729</v>
      </c>
      <c r="G1754" t="s">
        <v>152</v>
      </c>
      <c r="H1754" t="s">
        <v>174</v>
      </c>
      <c r="I1754" t="s">
        <v>154</v>
      </c>
      <c r="J1754">
        <v>20180124</v>
      </c>
    </row>
    <row r="1755" spans="1:10">
      <c r="A1755" t="s">
        <v>5358</v>
      </c>
      <c r="B1755">
        <v>603357</v>
      </c>
      <c r="C1755" t="s">
        <v>5359</v>
      </c>
      <c r="D1755" t="s">
        <v>160</v>
      </c>
      <c r="E1755" t="s">
        <v>121</v>
      </c>
      <c r="F1755" t="s">
        <v>5360</v>
      </c>
      <c r="G1755" t="s">
        <v>152</v>
      </c>
      <c r="H1755" t="s">
        <v>174</v>
      </c>
      <c r="I1755" t="s">
        <v>154</v>
      </c>
      <c r="J1755">
        <v>20170801</v>
      </c>
    </row>
    <row r="1756" spans="1:10">
      <c r="A1756" t="s">
        <v>2104</v>
      </c>
      <c r="B1756">
        <v>603358</v>
      </c>
      <c r="C1756" t="s">
        <v>2105</v>
      </c>
      <c r="D1756" t="s">
        <v>212</v>
      </c>
      <c r="E1756" t="s">
        <v>28</v>
      </c>
      <c r="F1756" t="s">
        <v>2106</v>
      </c>
      <c r="G1756" t="s">
        <v>152</v>
      </c>
      <c r="H1756" t="s">
        <v>174</v>
      </c>
      <c r="I1756" t="s">
        <v>154</v>
      </c>
      <c r="J1756">
        <v>20170125</v>
      </c>
    </row>
    <row r="1757" spans="1:10">
      <c r="A1757" t="s">
        <v>6624</v>
      </c>
      <c r="B1757">
        <v>603359</v>
      </c>
      <c r="C1757" t="s">
        <v>6625</v>
      </c>
      <c r="D1757" t="s">
        <v>212</v>
      </c>
      <c r="E1757" t="s">
        <v>119</v>
      </c>
      <c r="F1757" t="s">
        <v>6626</v>
      </c>
      <c r="G1757" t="s">
        <v>152</v>
      </c>
      <c r="H1757" t="s">
        <v>174</v>
      </c>
      <c r="I1757" t="s">
        <v>154</v>
      </c>
      <c r="J1757">
        <v>20170901</v>
      </c>
    </row>
    <row r="1758" spans="1:10">
      <c r="A1758" t="s">
        <v>692</v>
      </c>
      <c r="B1758">
        <v>603360</v>
      </c>
      <c r="C1758" t="s">
        <v>693</v>
      </c>
      <c r="D1758" t="s">
        <v>236</v>
      </c>
      <c r="E1758" t="s">
        <v>47</v>
      </c>
      <c r="F1758" t="s">
        <v>694</v>
      </c>
      <c r="G1758" t="s">
        <v>152</v>
      </c>
      <c r="H1758" t="s">
        <v>174</v>
      </c>
      <c r="I1758" t="s">
        <v>154</v>
      </c>
      <c r="J1758">
        <v>20170206</v>
      </c>
    </row>
    <row r="1759" spans="1:10">
      <c r="A1759" t="s">
        <v>231</v>
      </c>
      <c r="B1759">
        <v>603363</v>
      </c>
      <c r="C1759" t="s">
        <v>232</v>
      </c>
      <c r="D1759" t="s">
        <v>150</v>
      </c>
      <c r="E1759" t="s">
        <v>39</v>
      </c>
      <c r="F1759" t="s">
        <v>233</v>
      </c>
      <c r="G1759" t="s">
        <v>152</v>
      </c>
      <c r="H1759" t="s">
        <v>174</v>
      </c>
      <c r="I1759" t="s">
        <v>154</v>
      </c>
      <c r="J1759">
        <v>20170926</v>
      </c>
    </row>
    <row r="1760" spans="1:10">
      <c r="A1760" t="s">
        <v>695</v>
      </c>
      <c r="B1760">
        <v>603365</v>
      </c>
      <c r="C1760" t="s">
        <v>696</v>
      </c>
      <c r="D1760" t="s">
        <v>172</v>
      </c>
      <c r="E1760" t="s">
        <v>33</v>
      </c>
      <c r="F1760" t="s">
        <v>697</v>
      </c>
      <c r="G1760" t="s">
        <v>152</v>
      </c>
      <c r="H1760" t="s">
        <v>174</v>
      </c>
      <c r="I1760" t="s">
        <v>154</v>
      </c>
      <c r="J1760">
        <v>20171120</v>
      </c>
    </row>
    <row r="1761" spans="1:10">
      <c r="A1761" t="s">
        <v>2287</v>
      </c>
      <c r="B1761">
        <v>603366</v>
      </c>
      <c r="C1761" t="s">
        <v>2288</v>
      </c>
      <c r="D1761" t="s">
        <v>212</v>
      </c>
      <c r="E1761" t="s">
        <v>8</v>
      </c>
      <c r="F1761" t="s">
        <v>2289</v>
      </c>
      <c r="G1761" t="s">
        <v>152</v>
      </c>
      <c r="H1761" t="s">
        <v>174</v>
      </c>
      <c r="I1761" t="s">
        <v>154</v>
      </c>
      <c r="J1761">
        <v>20120521</v>
      </c>
    </row>
    <row r="1762" spans="1:10">
      <c r="A1762" t="s">
        <v>3019</v>
      </c>
      <c r="B1762">
        <v>603367</v>
      </c>
      <c r="C1762" t="s">
        <v>3020</v>
      </c>
      <c r="D1762" t="s">
        <v>198</v>
      </c>
      <c r="E1762" t="s">
        <v>81</v>
      </c>
      <c r="F1762" t="s">
        <v>3021</v>
      </c>
      <c r="G1762" t="s">
        <v>152</v>
      </c>
      <c r="H1762" t="s">
        <v>174</v>
      </c>
      <c r="I1762" t="s">
        <v>154</v>
      </c>
      <c r="J1762">
        <v>20170929</v>
      </c>
    </row>
    <row r="1763" spans="1:10">
      <c r="A1763" t="s">
        <v>3232</v>
      </c>
      <c r="B1763">
        <v>603368</v>
      </c>
      <c r="C1763" t="s">
        <v>3233</v>
      </c>
      <c r="D1763" t="s">
        <v>345</v>
      </c>
      <c r="E1763" t="s">
        <v>95</v>
      </c>
      <c r="F1763" t="s">
        <v>3234</v>
      </c>
      <c r="G1763" t="s">
        <v>152</v>
      </c>
      <c r="H1763" t="s">
        <v>174</v>
      </c>
      <c r="I1763" t="s">
        <v>154</v>
      </c>
      <c r="J1763">
        <v>20141204</v>
      </c>
    </row>
    <row r="1764" spans="1:10">
      <c r="A1764" t="s">
        <v>2545</v>
      </c>
      <c r="B1764">
        <v>603369</v>
      </c>
      <c r="C1764" t="s">
        <v>2546</v>
      </c>
      <c r="D1764" t="s">
        <v>212</v>
      </c>
      <c r="E1764" t="s">
        <v>12</v>
      </c>
      <c r="F1764" t="s">
        <v>2547</v>
      </c>
      <c r="G1764" t="s">
        <v>152</v>
      </c>
      <c r="H1764" t="s">
        <v>174</v>
      </c>
      <c r="I1764" t="s">
        <v>154</v>
      </c>
      <c r="J1764">
        <v>20140703</v>
      </c>
    </row>
    <row r="1765" spans="1:10">
      <c r="A1765" t="s">
        <v>2107</v>
      </c>
      <c r="B1765">
        <v>603377</v>
      </c>
      <c r="C1765" t="s">
        <v>2108</v>
      </c>
      <c r="D1765" t="s">
        <v>164</v>
      </c>
      <c r="E1765" t="s">
        <v>18</v>
      </c>
      <c r="F1765" t="s">
        <v>2109</v>
      </c>
      <c r="G1765" t="s">
        <v>152</v>
      </c>
      <c r="H1765" t="s">
        <v>174</v>
      </c>
      <c r="I1765" t="s">
        <v>154</v>
      </c>
      <c r="J1765">
        <v>20160205</v>
      </c>
    </row>
    <row r="1766" spans="1:10">
      <c r="A1766" t="s">
        <v>5166</v>
      </c>
      <c r="B1766">
        <v>603378</v>
      </c>
      <c r="C1766" t="s">
        <v>5167</v>
      </c>
      <c r="D1766" t="s">
        <v>172</v>
      </c>
      <c r="E1766" t="s">
        <v>88</v>
      </c>
      <c r="F1766" t="s">
        <v>5168</v>
      </c>
      <c r="G1766" t="s">
        <v>152</v>
      </c>
      <c r="H1766" t="s">
        <v>174</v>
      </c>
      <c r="I1766" t="s">
        <v>154</v>
      </c>
      <c r="J1766">
        <v>20170928</v>
      </c>
    </row>
    <row r="1767" spans="1:10">
      <c r="A1767" t="s">
        <v>698</v>
      </c>
      <c r="B1767">
        <v>603379</v>
      </c>
      <c r="C1767" t="s">
        <v>699</v>
      </c>
      <c r="D1767" t="s">
        <v>423</v>
      </c>
      <c r="E1767" t="s">
        <v>14</v>
      </c>
      <c r="F1767" t="s">
        <v>700</v>
      </c>
      <c r="G1767" t="s">
        <v>152</v>
      </c>
      <c r="H1767" t="s">
        <v>174</v>
      </c>
      <c r="I1767" t="s">
        <v>154</v>
      </c>
      <c r="J1767">
        <v>20190402</v>
      </c>
    </row>
    <row r="1768" spans="1:10">
      <c r="A1768" t="s">
        <v>1630</v>
      </c>
      <c r="B1768">
        <v>603380</v>
      </c>
      <c r="C1768" t="s">
        <v>1631</v>
      </c>
      <c r="D1768" t="s">
        <v>212</v>
      </c>
      <c r="E1768" t="s">
        <v>42</v>
      </c>
      <c r="F1768" t="s">
        <v>1632</v>
      </c>
      <c r="G1768" t="s">
        <v>152</v>
      </c>
      <c r="H1768" t="s">
        <v>174</v>
      </c>
      <c r="I1768" t="s">
        <v>154</v>
      </c>
      <c r="J1768">
        <v>20170622</v>
      </c>
    </row>
    <row r="1769" spans="1:10">
      <c r="A1769" t="s">
        <v>5982</v>
      </c>
      <c r="B1769">
        <v>603383</v>
      </c>
      <c r="C1769" t="s">
        <v>5983</v>
      </c>
      <c r="D1769" t="s">
        <v>150</v>
      </c>
      <c r="E1769" t="s">
        <v>123</v>
      </c>
      <c r="F1769" t="s">
        <v>5984</v>
      </c>
      <c r="G1769" t="s">
        <v>152</v>
      </c>
      <c r="H1769" t="s">
        <v>174</v>
      </c>
      <c r="I1769" t="s">
        <v>154</v>
      </c>
      <c r="J1769">
        <v>20170522</v>
      </c>
    </row>
    <row r="1770" spans="1:10">
      <c r="A1770" t="s">
        <v>2848</v>
      </c>
      <c r="B1770">
        <v>603385</v>
      </c>
      <c r="C1770" t="s">
        <v>2849</v>
      </c>
      <c r="D1770" t="s">
        <v>279</v>
      </c>
      <c r="E1770" t="s">
        <v>21</v>
      </c>
      <c r="F1770" t="s">
        <v>2850</v>
      </c>
      <c r="G1770" t="s">
        <v>152</v>
      </c>
      <c r="H1770" t="s">
        <v>174</v>
      </c>
      <c r="I1770" t="s">
        <v>154</v>
      </c>
      <c r="J1770">
        <v>20170405</v>
      </c>
    </row>
    <row r="1771" spans="1:10">
      <c r="A1771" t="s">
        <v>1633</v>
      </c>
      <c r="B1771">
        <v>603386</v>
      </c>
      <c r="C1771" t="s">
        <v>1634</v>
      </c>
      <c r="D1771" t="s">
        <v>223</v>
      </c>
      <c r="E1771" t="s">
        <v>42</v>
      </c>
      <c r="F1771" t="s">
        <v>1635</v>
      </c>
      <c r="G1771" t="s">
        <v>152</v>
      </c>
      <c r="H1771" t="s">
        <v>174</v>
      </c>
      <c r="I1771" t="s">
        <v>154</v>
      </c>
      <c r="J1771">
        <v>20170912</v>
      </c>
    </row>
    <row r="1772" spans="1:10">
      <c r="A1772" t="s">
        <v>3163</v>
      </c>
      <c r="B1772">
        <v>603387</v>
      </c>
      <c r="C1772" t="s">
        <v>3164</v>
      </c>
      <c r="D1772" t="s">
        <v>212</v>
      </c>
      <c r="E1772" t="s">
        <v>90</v>
      </c>
      <c r="F1772" t="s">
        <v>3165</v>
      </c>
      <c r="G1772" t="s">
        <v>152</v>
      </c>
      <c r="H1772" t="s">
        <v>174</v>
      </c>
      <c r="I1772" t="s">
        <v>154</v>
      </c>
      <c r="J1772">
        <v>20170717</v>
      </c>
    </row>
    <row r="1773" spans="1:10">
      <c r="A1773" t="s">
        <v>5361</v>
      </c>
      <c r="B1773">
        <v>603388</v>
      </c>
      <c r="C1773" t="s">
        <v>5362</v>
      </c>
      <c r="D1773" t="s">
        <v>423</v>
      </c>
      <c r="E1773" t="s">
        <v>121</v>
      </c>
      <c r="F1773" t="s">
        <v>5363</v>
      </c>
      <c r="G1773" t="s">
        <v>152</v>
      </c>
      <c r="H1773" t="s">
        <v>174</v>
      </c>
      <c r="I1773" t="s">
        <v>154</v>
      </c>
      <c r="J1773">
        <v>20170324</v>
      </c>
    </row>
    <row r="1774" spans="1:10">
      <c r="A1774" t="s">
        <v>2851</v>
      </c>
      <c r="B1774">
        <v>603389</v>
      </c>
      <c r="C1774" t="s">
        <v>2852</v>
      </c>
      <c r="D1774" t="s">
        <v>212</v>
      </c>
      <c r="E1774" t="s">
        <v>21</v>
      </c>
      <c r="F1774" t="s">
        <v>2853</v>
      </c>
      <c r="G1774" t="s">
        <v>152</v>
      </c>
      <c r="H1774" t="s">
        <v>174</v>
      </c>
      <c r="I1774" t="s">
        <v>154</v>
      </c>
      <c r="J1774">
        <v>20161215</v>
      </c>
    </row>
    <row r="1775" spans="1:10">
      <c r="A1775" t="s">
        <v>2110</v>
      </c>
      <c r="B1775">
        <v>603390</v>
      </c>
      <c r="C1775" t="s">
        <v>2111</v>
      </c>
      <c r="D1775" t="s">
        <v>223</v>
      </c>
      <c r="E1775" t="s">
        <v>28</v>
      </c>
      <c r="F1775" t="s">
        <v>2112</v>
      </c>
      <c r="G1775" t="s">
        <v>152</v>
      </c>
      <c r="H1775" t="s">
        <v>174</v>
      </c>
      <c r="I1775" t="s">
        <v>154</v>
      </c>
      <c r="J1775">
        <v>20191125</v>
      </c>
    </row>
    <row r="1776" spans="1:10">
      <c r="A1776" t="s">
        <v>3139</v>
      </c>
      <c r="B1776">
        <v>603392</v>
      </c>
      <c r="C1776" t="s">
        <v>3140</v>
      </c>
      <c r="D1776" t="s">
        <v>164</v>
      </c>
      <c r="E1776" t="s">
        <v>90</v>
      </c>
      <c r="F1776" t="s">
        <v>3141</v>
      </c>
      <c r="G1776" t="s">
        <v>152</v>
      </c>
      <c r="H1776" t="s">
        <v>174</v>
      </c>
      <c r="I1776" t="s">
        <v>154</v>
      </c>
      <c r="J1776">
        <v>20200429</v>
      </c>
    </row>
    <row r="1777" spans="1:10">
      <c r="A1777" t="s">
        <v>3694</v>
      </c>
      <c r="B1777">
        <v>603393</v>
      </c>
      <c r="C1777" t="s">
        <v>3695</v>
      </c>
      <c r="D1777" t="s">
        <v>202</v>
      </c>
      <c r="E1777" t="s">
        <v>91</v>
      </c>
      <c r="F1777" t="s">
        <v>3696</v>
      </c>
      <c r="G1777" t="s">
        <v>152</v>
      </c>
      <c r="H1777" t="s">
        <v>174</v>
      </c>
      <c r="I1777" t="s">
        <v>154</v>
      </c>
      <c r="J1777">
        <v>20160912</v>
      </c>
    </row>
    <row r="1778" spans="1:10">
      <c r="A1778" t="s">
        <v>5730</v>
      </c>
      <c r="B1778">
        <v>603396</v>
      </c>
      <c r="C1778" t="s">
        <v>5731</v>
      </c>
      <c r="D1778" t="s">
        <v>236</v>
      </c>
      <c r="E1778" t="s">
        <v>122</v>
      </c>
      <c r="F1778" t="s">
        <v>5732</v>
      </c>
      <c r="G1778" t="s">
        <v>152</v>
      </c>
      <c r="H1778" t="s">
        <v>174</v>
      </c>
      <c r="I1778" t="s">
        <v>154</v>
      </c>
      <c r="J1778">
        <v>20171018</v>
      </c>
    </row>
    <row r="1779" spans="1:10">
      <c r="A1779" t="s">
        <v>6138</v>
      </c>
      <c r="B1779">
        <v>603398</v>
      </c>
      <c r="C1779" t="s">
        <v>6139</v>
      </c>
      <c r="D1779" t="s">
        <v>406</v>
      </c>
      <c r="E1779" t="s">
        <v>129</v>
      </c>
      <c r="F1779" t="s">
        <v>6140</v>
      </c>
      <c r="G1779" t="s">
        <v>152</v>
      </c>
      <c r="H1779" t="s">
        <v>174</v>
      </c>
      <c r="I1779" t="s">
        <v>154</v>
      </c>
      <c r="J1779">
        <v>20151209</v>
      </c>
    </row>
    <row r="1780" spans="1:10">
      <c r="A1780" t="s">
        <v>1180</v>
      </c>
      <c r="B1780">
        <v>603399</v>
      </c>
      <c r="C1780" t="s">
        <v>1181</v>
      </c>
      <c r="D1780" t="s">
        <v>236</v>
      </c>
      <c r="E1780" t="s">
        <v>41</v>
      </c>
      <c r="F1780" t="s">
        <v>1182</v>
      </c>
      <c r="G1780" t="s">
        <v>152</v>
      </c>
      <c r="H1780" t="s">
        <v>174</v>
      </c>
      <c r="I1780" t="s">
        <v>154</v>
      </c>
      <c r="J1780">
        <v>20120824</v>
      </c>
    </row>
    <row r="1781" spans="1:10">
      <c r="A1781" t="s">
        <v>2854</v>
      </c>
      <c r="B1781">
        <v>603408</v>
      </c>
      <c r="C1781" t="s">
        <v>2855</v>
      </c>
      <c r="D1781" t="s">
        <v>150</v>
      </c>
      <c r="E1781" t="s">
        <v>21</v>
      </c>
      <c r="F1781" t="s">
        <v>2856</v>
      </c>
      <c r="G1781" t="s">
        <v>152</v>
      </c>
      <c r="H1781" t="s">
        <v>174</v>
      </c>
      <c r="I1781" t="s">
        <v>154</v>
      </c>
      <c r="J1781">
        <v>20200730</v>
      </c>
    </row>
    <row r="1782" spans="1:10">
      <c r="A1782" t="s">
        <v>1636</v>
      </c>
      <c r="B1782">
        <v>603416</v>
      </c>
      <c r="C1782" t="s">
        <v>1637</v>
      </c>
      <c r="D1782" t="s">
        <v>212</v>
      </c>
      <c r="E1782" t="s">
        <v>27</v>
      </c>
      <c r="F1782" t="s">
        <v>1638</v>
      </c>
      <c r="G1782" t="s">
        <v>152</v>
      </c>
      <c r="H1782" t="s">
        <v>174</v>
      </c>
      <c r="I1782" t="s">
        <v>154</v>
      </c>
      <c r="J1782">
        <v>20161221</v>
      </c>
    </row>
    <row r="1783" spans="1:10">
      <c r="A1783" t="s">
        <v>6327</v>
      </c>
      <c r="B1783">
        <v>603421</v>
      </c>
      <c r="C1783" t="s">
        <v>6328</v>
      </c>
      <c r="D1783" t="s">
        <v>198</v>
      </c>
      <c r="E1783" t="s">
        <v>125</v>
      </c>
      <c r="F1783" t="s">
        <v>6329</v>
      </c>
      <c r="G1783" t="s">
        <v>152</v>
      </c>
      <c r="H1783" t="s">
        <v>174</v>
      </c>
      <c r="I1783" t="s">
        <v>154</v>
      </c>
      <c r="J1783">
        <v>20161011</v>
      </c>
    </row>
    <row r="1784" spans="1:10">
      <c r="A1784" t="s">
        <v>2857</v>
      </c>
      <c r="B1784">
        <v>603429</v>
      </c>
      <c r="C1784" t="s">
        <v>2858</v>
      </c>
      <c r="D1784" t="s">
        <v>160</v>
      </c>
      <c r="E1784" t="s">
        <v>37</v>
      </c>
      <c r="F1784" t="s">
        <v>2859</v>
      </c>
      <c r="G1784" t="s">
        <v>152</v>
      </c>
      <c r="H1784" t="s">
        <v>174</v>
      </c>
      <c r="I1784" t="s">
        <v>154</v>
      </c>
      <c r="J1784">
        <v>20170124</v>
      </c>
    </row>
    <row r="1785" spans="1:10">
      <c r="A1785" t="s">
        <v>3304</v>
      </c>
      <c r="B1785">
        <v>603439</v>
      </c>
      <c r="C1785" t="s">
        <v>3305</v>
      </c>
      <c r="D1785" t="s">
        <v>463</v>
      </c>
      <c r="E1785" t="s">
        <v>67</v>
      </c>
      <c r="F1785" t="s">
        <v>3306</v>
      </c>
      <c r="G1785" t="s">
        <v>152</v>
      </c>
      <c r="H1785" t="s">
        <v>174</v>
      </c>
      <c r="I1785" t="s">
        <v>154</v>
      </c>
      <c r="J1785">
        <v>20200428</v>
      </c>
    </row>
    <row r="1786" spans="1:10">
      <c r="A1786" t="s">
        <v>5985</v>
      </c>
      <c r="B1786">
        <v>603444</v>
      </c>
      <c r="C1786" t="s">
        <v>5986</v>
      </c>
      <c r="D1786" t="s">
        <v>150</v>
      </c>
      <c r="E1786" t="s">
        <v>116</v>
      </c>
      <c r="F1786" t="s">
        <v>5987</v>
      </c>
      <c r="G1786" t="s">
        <v>152</v>
      </c>
      <c r="H1786" t="s">
        <v>174</v>
      </c>
      <c r="I1786" t="s">
        <v>154</v>
      </c>
      <c r="J1786">
        <v>20170104</v>
      </c>
    </row>
    <row r="1787" spans="1:10">
      <c r="A1787" t="s">
        <v>3211</v>
      </c>
      <c r="B1787">
        <v>603456</v>
      </c>
      <c r="C1787" t="s">
        <v>3212</v>
      </c>
      <c r="D1787" t="s">
        <v>423</v>
      </c>
      <c r="E1787" t="s">
        <v>90</v>
      </c>
      <c r="F1787" t="s">
        <v>3213</v>
      </c>
      <c r="G1787" t="s">
        <v>152</v>
      </c>
      <c r="H1787" t="s">
        <v>174</v>
      </c>
      <c r="I1787" t="s">
        <v>154</v>
      </c>
      <c r="J1787">
        <v>20141010</v>
      </c>
    </row>
    <row r="1788" spans="1:10">
      <c r="A1788" t="s">
        <v>5364</v>
      </c>
      <c r="B1788">
        <v>603458</v>
      </c>
      <c r="C1788" t="s">
        <v>5365</v>
      </c>
      <c r="D1788" t="s">
        <v>463</v>
      </c>
      <c r="E1788" t="s">
        <v>121</v>
      </c>
      <c r="F1788" t="s">
        <v>5366</v>
      </c>
      <c r="G1788" t="s">
        <v>152</v>
      </c>
      <c r="H1788" t="s">
        <v>174</v>
      </c>
      <c r="I1788" t="s">
        <v>154</v>
      </c>
      <c r="J1788">
        <v>20170809</v>
      </c>
    </row>
    <row r="1789" spans="1:10">
      <c r="A1789" t="s">
        <v>6141</v>
      </c>
      <c r="B1789">
        <v>603466</v>
      </c>
      <c r="C1789" t="s">
        <v>6142</v>
      </c>
      <c r="D1789" t="s">
        <v>172</v>
      </c>
      <c r="E1789" t="s">
        <v>129</v>
      </c>
      <c r="F1789" t="s">
        <v>6143</v>
      </c>
      <c r="G1789" t="s">
        <v>152</v>
      </c>
      <c r="H1789" t="s">
        <v>174</v>
      </c>
      <c r="I1789" t="s">
        <v>154</v>
      </c>
      <c r="J1789">
        <v>20171020</v>
      </c>
    </row>
    <row r="1790" spans="1:10">
      <c r="A1790" t="s">
        <v>287</v>
      </c>
      <c r="B1790">
        <v>603477</v>
      </c>
      <c r="C1790" t="s">
        <v>288</v>
      </c>
      <c r="D1790" t="s">
        <v>219</v>
      </c>
      <c r="E1790" t="s">
        <v>46</v>
      </c>
      <c r="F1790" t="s">
        <v>289</v>
      </c>
      <c r="G1790" t="s">
        <v>152</v>
      </c>
      <c r="H1790" t="s">
        <v>174</v>
      </c>
      <c r="I1790" t="s">
        <v>154</v>
      </c>
      <c r="J1790">
        <v>20171218</v>
      </c>
    </row>
    <row r="1791" spans="1:10">
      <c r="A1791" t="s">
        <v>2290</v>
      </c>
      <c r="B1791">
        <v>603486</v>
      </c>
      <c r="C1791" t="s">
        <v>2291</v>
      </c>
      <c r="D1791" t="s">
        <v>212</v>
      </c>
      <c r="E1791" t="s">
        <v>8</v>
      </c>
      <c r="F1791" t="s">
        <v>2292</v>
      </c>
      <c r="G1791" t="s">
        <v>152</v>
      </c>
      <c r="H1791" t="s">
        <v>174</v>
      </c>
      <c r="I1791" t="s">
        <v>154</v>
      </c>
      <c r="J1791">
        <v>20180528</v>
      </c>
    </row>
    <row r="1792" spans="1:10">
      <c r="A1792" t="s">
        <v>5733</v>
      </c>
      <c r="B1792">
        <v>603488</v>
      </c>
      <c r="C1792" t="s">
        <v>5734</v>
      </c>
      <c r="D1792" t="s">
        <v>212</v>
      </c>
      <c r="E1792" t="s">
        <v>128</v>
      </c>
      <c r="F1792" t="s">
        <v>5735</v>
      </c>
      <c r="G1792" t="s">
        <v>152</v>
      </c>
      <c r="H1792" t="s">
        <v>174</v>
      </c>
      <c r="I1792" t="s">
        <v>154</v>
      </c>
      <c r="J1792">
        <v>20170516</v>
      </c>
    </row>
    <row r="1793" spans="1:10">
      <c r="A1793" t="s">
        <v>1639</v>
      </c>
      <c r="B1793">
        <v>603489</v>
      </c>
      <c r="C1793" t="s">
        <v>1640</v>
      </c>
      <c r="D1793" t="s">
        <v>212</v>
      </c>
      <c r="E1793" t="s">
        <v>17</v>
      </c>
      <c r="F1793" t="s">
        <v>1641</v>
      </c>
      <c r="G1793" t="s">
        <v>152</v>
      </c>
      <c r="H1793" t="s">
        <v>174</v>
      </c>
      <c r="I1793" t="s">
        <v>154</v>
      </c>
      <c r="J1793">
        <v>20191111</v>
      </c>
    </row>
    <row r="1794" spans="1:10">
      <c r="A1794" t="s">
        <v>1642</v>
      </c>
      <c r="B1794">
        <v>603496</v>
      </c>
      <c r="C1794" t="s">
        <v>1643</v>
      </c>
      <c r="D1794" t="s">
        <v>172</v>
      </c>
      <c r="E1794" t="s">
        <v>1</v>
      </c>
      <c r="F1794" t="s">
        <v>1644</v>
      </c>
      <c r="G1794" t="s">
        <v>152</v>
      </c>
      <c r="H1794" t="s">
        <v>174</v>
      </c>
      <c r="I1794" t="s">
        <v>154</v>
      </c>
      <c r="J1794">
        <v>20170607</v>
      </c>
    </row>
    <row r="1795" spans="1:10">
      <c r="A1795" t="s">
        <v>2860</v>
      </c>
      <c r="B1795">
        <v>603499</v>
      </c>
      <c r="C1795" t="s">
        <v>2861</v>
      </c>
      <c r="D1795" t="s">
        <v>172</v>
      </c>
      <c r="E1795" t="s">
        <v>37</v>
      </c>
      <c r="F1795" t="s">
        <v>2862</v>
      </c>
      <c r="G1795" t="s">
        <v>152</v>
      </c>
      <c r="H1795" t="s">
        <v>174</v>
      </c>
      <c r="I1795" t="s">
        <v>154</v>
      </c>
      <c r="J1795">
        <v>20171016</v>
      </c>
    </row>
    <row r="1796" spans="1:10">
      <c r="A1796" t="s">
        <v>5736</v>
      </c>
      <c r="B1796">
        <v>603500</v>
      </c>
      <c r="C1796" t="s">
        <v>5737</v>
      </c>
      <c r="D1796" t="s">
        <v>423</v>
      </c>
      <c r="E1796" t="s">
        <v>128</v>
      </c>
      <c r="F1796" t="s">
        <v>5738</v>
      </c>
      <c r="G1796" t="s">
        <v>152</v>
      </c>
      <c r="H1796" t="s">
        <v>174</v>
      </c>
      <c r="I1796" t="s">
        <v>154</v>
      </c>
      <c r="J1796">
        <v>20170904</v>
      </c>
    </row>
    <row r="1797" spans="1:10">
      <c r="A1797" t="s">
        <v>1645</v>
      </c>
      <c r="B1797">
        <v>603501</v>
      </c>
      <c r="C1797" t="s">
        <v>1646</v>
      </c>
      <c r="D1797" t="s">
        <v>172</v>
      </c>
      <c r="E1797" t="s">
        <v>31</v>
      </c>
      <c r="F1797" t="s">
        <v>1647</v>
      </c>
      <c r="G1797" t="s">
        <v>152</v>
      </c>
      <c r="H1797" t="s">
        <v>174</v>
      </c>
      <c r="I1797" t="s">
        <v>154</v>
      </c>
      <c r="J1797">
        <v>20170504</v>
      </c>
    </row>
    <row r="1798" spans="1:10">
      <c r="A1798" t="s">
        <v>701</v>
      </c>
      <c r="B1798">
        <v>603505</v>
      </c>
      <c r="C1798" t="s">
        <v>702</v>
      </c>
      <c r="D1798" t="s">
        <v>423</v>
      </c>
      <c r="E1798" t="s">
        <v>14</v>
      </c>
      <c r="F1798" t="s">
        <v>703</v>
      </c>
      <c r="G1798" t="s">
        <v>152</v>
      </c>
      <c r="H1798" t="s">
        <v>174</v>
      </c>
      <c r="I1798" t="s">
        <v>154</v>
      </c>
      <c r="J1798">
        <v>20170503</v>
      </c>
    </row>
    <row r="1799" spans="1:10">
      <c r="A1799" t="s">
        <v>4413</v>
      </c>
      <c r="B1799">
        <v>603506</v>
      </c>
      <c r="C1799" t="s">
        <v>4414</v>
      </c>
      <c r="D1799" t="s">
        <v>423</v>
      </c>
      <c r="E1799" t="s">
        <v>70</v>
      </c>
      <c r="F1799" t="s">
        <v>4415</v>
      </c>
      <c r="G1799" t="s">
        <v>152</v>
      </c>
      <c r="H1799" t="s">
        <v>174</v>
      </c>
      <c r="I1799" t="s">
        <v>154</v>
      </c>
      <c r="J1799">
        <v>20180201</v>
      </c>
    </row>
    <row r="1800" spans="1:10">
      <c r="A1800" t="s">
        <v>1648</v>
      </c>
      <c r="B1800">
        <v>603507</v>
      </c>
      <c r="C1800" t="s">
        <v>1649</v>
      </c>
      <c r="D1800" t="s">
        <v>212</v>
      </c>
      <c r="E1800" t="s">
        <v>17</v>
      </c>
      <c r="F1800" t="s">
        <v>1650</v>
      </c>
      <c r="G1800" t="s">
        <v>152</v>
      </c>
      <c r="H1800" t="s">
        <v>174</v>
      </c>
      <c r="I1800" t="s">
        <v>154</v>
      </c>
      <c r="J1800">
        <v>20171106</v>
      </c>
    </row>
    <row r="1801" spans="1:10">
      <c r="A1801" t="s">
        <v>5988</v>
      </c>
      <c r="B1801">
        <v>603508</v>
      </c>
      <c r="C1801" t="s">
        <v>5989</v>
      </c>
      <c r="D1801" t="s">
        <v>292</v>
      </c>
      <c r="E1801" t="s">
        <v>123</v>
      </c>
      <c r="F1801" t="s">
        <v>5990</v>
      </c>
      <c r="G1801" t="s">
        <v>152</v>
      </c>
      <c r="H1801" t="s">
        <v>174</v>
      </c>
      <c r="I1801" t="s">
        <v>154</v>
      </c>
      <c r="J1801">
        <v>20151224</v>
      </c>
    </row>
    <row r="1802" spans="1:10">
      <c r="A1802" t="s">
        <v>2677</v>
      </c>
      <c r="B1802">
        <v>603511</v>
      </c>
      <c r="C1802" t="s">
        <v>2678</v>
      </c>
      <c r="D1802" t="s">
        <v>164</v>
      </c>
      <c r="E1802" t="s">
        <v>20</v>
      </c>
      <c r="F1802" t="s">
        <v>2679</v>
      </c>
      <c r="G1802" t="s">
        <v>152</v>
      </c>
      <c r="H1802" t="s">
        <v>174</v>
      </c>
      <c r="I1802" t="s">
        <v>154</v>
      </c>
      <c r="J1802">
        <v>20210531</v>
      </c>
    </row>
    <row r="1803" spans="1:10">
      <c r="A1803" t="s">
        <v>2293</v>
      </c>
      <c r="B1803">
        <v>603515</v>
      </c>
      <c r="C1803" t="s">
        <v>2294</v>
      </c>
      <c r="D1803" t="s">
        <v>172</v>
      </c>
      <c r="E1803" t="s">
        <v>8</v>
      </c>
      <c r="F1803" t="s">
        <v>2295</v>
      </c>
      <c r="G1803" t="s">
        <v>152</v>
      </c>
      <c r="H1803" t="s">
        <v>174</v>
      </c>
      <c r="I1803" t="s">
        <v>154</v>
      </c>
      <c r="J1803">
        <v>20160819</v>
      </c>
    </row>
    <row r="1804" spans="1:10">
      <c r="A1804" t="s">
        <v>6330</v>
      </c>
      <c r="B1804">
        <v>603516</v>
      </c>
      <c r="C1804" t="s">
        <v>6331</v>
      </c>
      <c r="D1804" t="s">
        <v>164</v>
      </c>
      <c r="E1804" t="s">
        <v>125</v>
      </c>
      <c r="F1804" t="s">
        <v>6332</v>
      </c>
      <c r="G1804" t="s">
        <v>152</v>
      </c>
      <c r="H1804" t="s">
        <v>174</v>
      </c>
      <c r="I1804" t="s">
        <v>154</v>
      </c>
      <c r="J1804">
        <v>20180202</v>
      </c>
    </row>
    <row r="1805" spans="1:10">
      <c r="A1805" t="s">
        <v>2548</v>
      </c>
      <c r="B1805">
        <v>603517</v>
      </c>
      <c r="C1805" t="s">
        <v>2549</v>
      </c>
      <c r="D1805" t="s">
        <v>168</v>
      </c>
      <c r="E1805" t="s">
        <v>19</v>
      </c>
      <c r="F1805" t="s">
        <v>2550</v>
      </c>
      <c r="G1805" t="s">
        <v>152</v>
      </c>
      <c r="H1805" t="s">
        <v>174</v>
      </c>
      <c r="I1805" t="s">
        <v>154</v>
      </c>
      <c r="J1805">
        <v>20170317</v>
      </c>
    </row>
    <row r="1806" spans="1:10">
      <c r="A1806" t="s">
        <v>2680</v>
      </c>
      <c r="B1806">
        <v>603518</v>
      </c>
      <c r="C1806" t="s">
        <v>2681</v>
      </c>
      <c r="D1806" t="s">
        <v>212</v>
      </c>
      <c r="E1806" t="s">
        <v>20</v>
      </c>
      <c r="F1806" t="s">
        <v>2682</v>
      </c>
      <c r="G1806" t="s">
        <v>152</v>
      </c>
      <c r="H1806" t="s">
        <v>174</v>
      </c>
      <c r="I1806" t="s">
        <v>154</v>
      </c>
      <c r="J1806">
        <v>20141203</v>
      </c>
    </row>
    <row r="1807" spans="1:10">
      <c r="A1807" t="s">
        <v>2296</v>
      </c>
      <c r="B1807">
        <v>603519</v>
      </c>
      <c r="C1807" t="s">
        <v>2297</v>
      </c>
      <c r="D1807" t="s">
        <v>212</v>
      </c>
      <c r="E1807" t="s">
        <v>8</v>
      </c>
      <c r="F1807" t="s">
        <v>2298</v>
      </c>
      <c r="G1807" t="s">
        <v>152</v>
      </c>
      <c r="H1807" t="s">
        <v>174</v>
      </c>
      <c r="I1807" t="s">
        <v>154</v>
      </c>
      <c r="J1807">
        <v>20150319</v>
      </c>
    </row>
    <row r="1808" spans="1:10">
      <c r="A1808" t="s">
        <v>3070</v>
      </c>
      <c r="B1808">
        <v>603520</v>
      </c>
      <c r="C1808" t="s">
        <v>3071</v>
      </c>
      <c r="D1808" t="s">
        <v>423</v>
      </c>
      <c r="E1808" t="s">
        <v>81</v>
      </c>
      <c r="F1808" t="s">
        <v>3072</v>
      </c>
      <c r="G1808" t="s">
        <v>152</v>
      </c>
      <c r="H1808" t="s">
        <v>174</v>
      </c>
      <c r="I1808" t="s">
        <v>154</v>
      </c>
      <c r="J1808">
        <v>20160309</v>
      </c>
    </row>
    <row r="1809" spans="1:10">
      <c r="A1809" t="s">
        <v>1183</v>
      </c>
      <c r="B1809">
        <v>603527</v>
      </c>
      <c r="C1809" t="s">
        <v>1184</v>
      </c>
      <c r="D1809" t="s">
        <v>160</v>
      </c>
      <c r="E1809" t="s">
        <v>26</v>
      </c>
      <c r="F1809" t="s">
        <v>1185</v>
      </c>
      <c r="G1809" t="s">
        <v>152</v>
      </c>
      <c r="H1809" t="s">
        <v>174</v>
      </c>
      <c r="I1809" t="s">
        <v>154</v>
      </c>
      <c r="J1809">
        <v>20170907</v>
      </c>
    </row>
    <row r="1810" spans="1:10">
      <c r="A1810" t="s">
        <v>5991</v>
      </c>
      <c r="B1810">
        <v>603528</v>
      </c>
      <c r="C1810" t="s">
        <v>5992</v>
      </c>
      <c r="D1810" t="s">
        <v>212</v>
      </c>
      <c r="E1810" t="s">
        <v>123</v>
      </c>
      <c r="F1810" t="s">
        <v>5993</v>
      </c>
      <c r="G1810" t="s">
        <v>152</v>
      </c>
      <c r="H1810" t="s">
        <v>174</v>
      </c>
      <c r="I1810" t="s">
        <v>154</v>
      </c>
      <c r="J1810">
        <v>20160503</v>
      </c>
    </row>
    <row r="1811" spans="1:10">
      <c r="A1811" t="s">
        <v>2113</v>
      </c>
      <c r="B1811">
        <v>603529</v>
      </c>
      <c r="C1811" t="s">
        <v>2114</v>
      </c>
      <c r="D1811" t="s">
        <v>576</v>
      </c>
      <c r="E1811" t="s">
        <v>43</v>
      </c>
      <c r="F1811" t="s">
        <v>2115</v>
      </c>
      <c r="G1811" t="s">
        <v>152</v>
      </c>
      <c r="H1811" t="s">
        <v>174</v>
      </c>
      <c r="I1811" t="s">
        <v>154</v>
      </c>
      <c r="J1811">
        <v>20210615</v>
      </c>
    </row>
    <row r="1812" spans="1:10">
      <c r="A1812" t="s">
        <v>1651</v>
      </c>
      <c r="B1812">
        <v>603530</v>
      </c>
      <c r="C1812" t="s">
        <v>1652</v>
      </c>
      <c r="D1812" t="s">
        <v>212</v>
      </c>
      <c r="E1812" t="s">
        <v>17</v>
      </c>
      <c r="F1812" t="s">
        <v>1653</v>
      </c>
      <c r="G1812" t="s">
        <v>152</v>
      </c>
      <c r="H1812" t="s">
        <v>174</v>
      </c>
      <c r="I1812" t="s">
        <v>154</v>
      </c>
      <c r="J1812">
        <v>20190805</v>
      </c>
    </row>
    <row r="1813" spans="1:10">
      <c r="A1813" t="s">
        <v>5994</v>
      </c>
      <c r="B1813">
        <v>603533</v>
      </c>
      <c r="C1813" t="s">
        <v>5995</v>
      </c>
      <c r="D1813" t="s">
        <v>164</v>
      </c>
      <c r="E1813" t="s">
        <v>116</v>
      </c>
      <c r="F1813" t="s">
        <v>5996</v>
      </c>
      <c r="G1813" t="s">
        <v>152</v>
      </c>
      <c r="H1813" t="s">
        <v>174</v>
      </c>
      <c r="I1813" t="s">
        <v>154</v>
      </c>
      <c r="J1813">
        <v>20170921</v>
      </c>
    </row>
    <row r="1814" spans="1:10">
      <c r="A1814" t="s">
        <v>4084</v>
      </c>
      <c r="B1814">
        <v>603535</v>
      </c>
      <c r="C1814" t="s">
        <v>4085</v>
      </c>
      <c r="D1814" t="s">
        <v>223</v>
      </c>
      <c r="E1814" t="s">
        <v>50</v>
      </c>
      <c r="F1814" t="s">
        <v>4086</v>
      </c>
      <c r="G1814" t="s">
        <v>152</v>
      </c>
      <c r="H1814" t="s">
        <v>174</v>
      </c>
      <c r="I1814" t="s">
        <v>154</v>
      </c>
      <c r="J1814">
        <v>20170808</v>
      </c>
    </row>
    <row r="1815" spans="1:10">
      <c r="A1815" t="s">
        <v>2551</v>
      </c>
      <c r="B1815">
        <v>603536</v>
      </c>
      <c r="C1815" t="s">
        <v>2552</v>
      </c>
      <c r="D1815" t="s">
        <v>198</v>
      </c>
      <c r="E1815" t="s">
        <v>19</v>
      </c>
      <c r="F1815" t="s">
        <v>2553</v>
      </c>
      <c r="G1815" t="s">
        <v>152</v>
      </c>
      <c r="H1815" t="s">
        <v>174</v>
      </c>
      <c r="I1815" t="s">
        <v>154</v>
      </c>
      <c r="J1815">
        <v>20170613</v>
      </c>
    </row>
    <row r="1816" spans="1:10">
      <c r="A1816" t="s">
        <v>3073</v>
      </c>
      <c r="B1816">
        <v>603538</v>
      </c>
      <c r="C1816" t="s">
        <v>3074</v>
      </c>
      <c r="D1816" t="s">
        <v>423</v>
      </c>
      <c r="E1816" t="s">
        <v>81</v>
      </c>
      <c r="F1816" t="s">
        <v>3075</v>
      </c>
      <c r="G1816" t="s">
        <v>152</v>
      </c>
      <c r="H1816" t="s">
        <v>174</v>
      </c>
      <c r="I1816" t="s">
        <v>154</v>
      </c>
      <c r="J1816">
        <v>20170407</v>
      </c>
    </row>
    <row r="1817" spans="1:10">
      <c r="A1817" t="s">
        <v>2863</v>
      </c>
      <c r="B1817">
        <v>603551</v>
      </c>
      <c r="C1817" t="s">
        <v>2864</v>
      </c>
      <c r="D1817" t="s">
        <v>423</v>
      </c>
      <c r="E1817" t="s">
        <v>21</v>
      </c>
      <c r="F1817" t="s">
        <v>2865</v>
      </c>
      <c r="G1817" t="s">
        <v>152</v>
      </c>
      <c r="H1817" t="s">
        <v>174</v>
      </c>
      <c r="I1817" t="s">
        <v>154</v>
      </c>
      <c r="J1817">
        <v>20200115</v>
      </c>
    </row>
    <row r="1818" spans="1:10">
      <c r="A1818" t="s">
        <v>2683</v>
      </c>
      <c r="B1818">
        <v>603555</v>
      </c>
      <c r="C1818" t="s">
        <v>2684</v>
      </c>
      <c r="D1818" t="s">
        <v>150</v>
      </c>
      <c r="E1818" t="s">
        <v>20</v>
      </c>
      <c r="F1818" t="s">
        <v>2685</v>
      </c>
      <c r="G1818" t="s">
        <v>152</v>
      </c>
      <c r="H1818" t="s">
        <v>174</v>
      </c>
      <c r="I1818" t="s">
        <v>154</v>
      </c>
      <c r="J1818">
        <v>20140124</v>
      </c>
    </row>
    <row r="1819" spans="1:10">
      <c r="A1819" t="s">
        <v>1654</v>
      </c>
      <c r="B1819">
        <v>603556</v>
      </c>
      <c r="C1819" t="s">
        <v>1655</v>
      </c>
      <c r="D1819" t="s">
        <v>423</v>
      </c>
      <c r="E1819" t="s">
        <v>27</v>
      </c>
      <c r="F1819" t="s">
        <v>1656</v>
      </c>
      <c r="G1819" t="s">
        <v>152</v>
      </c>
      <c r="H1819" t="s">
        <v>174</v>
      </c>
      <c r="I1819" t="s">
        <v>154</v>
      </c>
      <c r="J1819">
        <v>20161110</v>
      </c>
    </row>
    <row r="1820" spans="1:10">
      <c r="A1820" t="s">
        <v>2686</v>
      </c>
      <c r="B1820">
        <v>603557</v>
      </c>
      <c r="C1820" t="s">
        <v>2687</v>
      </c>
      <c r="D1820" t="s">
        <v>423</v>
      </c>
      <c r="E1820" t="s">
        <v>20</v>
      </c>
      <c r="F1820" t="s">
        <v>2688</v>
      </c>
      <c r="G1820" t="s">
        <v>152</v>
      </c>
      <c r="H1820" t="s">
        <v>174</v>
      </c>
      <c r="I1820" t="s">
        <v>154</v>
      </c>
      <c r="J1820">
        <v>20170818</v>
      </c>
    </row>
    <row r="1821" spans="1:10">
      <c r="A1821" t="s">
        <v>704</v>
      </c>
      <c r="B1821">
        <v>603558</v>
      </c>
      <c r="C1821" t="s">
        <v>705</v>
      </c>
      <c r="D1821" t="s">
        <v>423</v>
      </c>
      <c r="E1821" t="s">
        <v>33</v>
      </c>
      <c r="F1821" t="s">
        <v>706</v>
      </c>
      <c r="G1821" t="s">
        <v>152</v>
      </c>
      <c r="H1821" t="s">
        <v>174</v>
      </c>
      <c r="I1821" t="s">
        <v>154</v>
      </c>
      <c r="J1821">
        <v>20150127</v>
      </c>
    </row>
    <row r="1822" spans="1:10">
      <c r="A1822" t="s">
        <v>6333</v>
      </c>
      <c r="B1822">
        <v>603559</v>
      </c>
      <c r="C1822" t="s">
        <v>6334</v>
      </c>
      <c r="D1822" t="s">
        <v>312</v>
      </c>
      <c r="E1822" t="s">
        <v>125</v>
      </c>
      <c r="F1822" t="s">
        <v>6335</v>
      </c>
      <c r="G1822" t="s">
        <v>152</v>
      </c>
      <c r="H1822" t="s">
        <v>174</v>
      </c>
      <c r="I1822" t="s">
        <v>154</v>
      </c>
      <c r="J1822">
        <v>20161202</v>
      </c>
    </row>
    <row r="1823" spans="1:10">
      <c r="A1823" t="s">
        <v>4087</v>
      </c>
      <c r="B1823">
        <v>603565</v>
      </c>
      <c r="C1823" t="s">
        <v>4088</v>
      </c>
      <c r="D1823" t="s">
        <v>172</v>
      </c>
      <c r="E1823" t="s">
        <v>50</v>
      </c>
      <c r="F1823" t="s">
        <v>4089</v>
      </c>
      <c r="G1823" t="s">
        <v>152</v>
      </c>
      <c r="H1823" t="s">
        <v>174</v>
      </c>
      <c r="I1823" t="s">
        <v>154</v>
      </c>
      <c r="J1823">
        <v>20200925</v>
      </c>
    </row>
    <row r="1824" spans="1:10">
      <c r="A1824" t="s">
        <v>290</v>
      </c>
      <c r="B1824">
        <v>603566</v>
      </c>
      <c r="C1824" t="s">
        <v>291</v>
      </c>
      <c r="D1824" t="s">
        <v>292</v>
      </c>
      <c r="E1824" t="s">
        <v>46</v>
      </c>
      <c r="F1824" t="s">
        <v>293</v>
      </c>
      <c r="G1824" t="s">
        <v>152</v>
      </c>
      <c r="H1824" t="s">
        <v>174</v>
      </c>
      <c r="I1824" t="s">
        <v>154</v>
      </c>
      <c r="J1824">
        <v>20150518</v>
      </c>
    </row>
    <row r="1825" spans="1:10">
      <c r="A1825" t="s">
        <v>3316</v>
      </c>
      <c r="B1825">
        <v>603567</v>
      </c>
      <c r="C1825" t="s">
        <v>3317</v>
      </c>
      <c r="D1825" t="s">
        <v>194</v>
      </c>
      <c r="E1825" t="s">
        <v>67</v>
      </c>
      <c r="F1825" t="s">
        <v>3318</v>
      </c>
      <c r="G1825" t="s">
        <v>152</v>
      </c>
      <c r="H1825" t="s">
        <v>174</v>
      </c>
      <c r="I1825" t="s">
        <v>154</v>
      </c>
      <c r="J1825">
        <v>20150424</v>
      </c>
    </row>
    <row r="1826" spans="1:10">
      <c r="A1826" t="s">
        <v>6627</v>
      </c>
      <c r="B1826">
        <v>603568</v>
      </c>
      <c r="C1826" t="s">
        <v>6628</v>
      </c>
      <c r="D1826" t="s">
        <v>423</v>
      </c>
      <c r="E1826" t="s">
        <v>119</v>
      </c>
      <c r="F1826" t="s">
        <v>6629</v>
      </c>
      <c r="G1826" t="s">
        <v>152</v>
      </c>
      <c r="H1826" t="s">
        <v>174</v>
      </c>
      <c r="I1826" t="s">
        <v>154</v>
      </c>
      <c r="J1826">
        <v>20150528</v>
      </c>
    </row>
    <row r="1827" spans="1:10">
      <c r="A1827" t="s">
        <v>4090</v>
      </c>
      <c r="B1827">
        <v>603569</v>
      </c>
      <c r="C1827" t="s">
        <v>4091</v>
      </c>
      <c r="D1827" t="s">
        <v>164</v>
      </c>
      <c r="E1827" t="s">
        <v>50</v>
      </c>
      <c r="F1827" t="s">
        <v>4092</v>
      </c>
      <c r="G1827" t="s">
        <v>152</v>
      </c>
      <c r="H1827" t="s">
        <v>174</v>
      </c>
      <c r="I1827" t="s">
        <v>154</v>
      </c>
      <c r="J1827">
        <v>20160810</v>
      </c>
    </row>
    <row r="1828" spans="1:10">
      <c r="A1828" t="s">
        <v>1657</v>
      </c>
      <c r="B1828">
        <v>603577</v>
      </c>
      <c r="C1828" t="s">
        <v>1658</v>
      </c>
      <c r="D1828" t="s">
        <v>198</v>
      </c>
      <c r="E1828" t="s">
        <v>17</v>
      </c>
      <c r="F1828" t="s">
        <v>1659</v>
      </c>
      <c r="G1828" t="s">
        <v>152</v>
      </c>
      <c r="H1828" t="s">
        <v>174</v>
      </c>
      <c r="I1828" t="s">
        <v>154</v>
      </c>
      <c r="J1828">
        <v>20161222</v>
      </c>
    </row>
    <row r="1829" spans="1:10">
      <c r="A1829" t="s">
        <v>5169</v>
      </c>
      <c r="B1829">
        <v>603578</v>
      </c>
      <c r="C1829" t="s">
        <v>5170</v>
      </c>
      <c r="D1829" t="s">
        <v>423</v>
      </c>
      <c r="E1829" t="s">
        <v>45</v>
      </c>
      <c r="F1829" t="s">
        <v>5171</v>
      </c>
      <c r="G1829" t="s">
        <v>152</v>
      </c>
      <c r="H1829" t="s">
        <v>174</v>
      </c>
      <c r="I1829" t="s">
        <v>154</v>
      </c>
      <c r="J1829">
        <v>20170306</v>
      </c>
    </row>
    <row r="1830" spans="1:10">
      <c r="A1830" t="s">
        <v>2299</v>
      </c>
      <c r="B1830">
        <v>603579</v>
      </c>
      <c r="C1830" t="s">
        <v>2300</v>
      </c>
      <c r="D1830" t="s">
        <v>172</v>
      </c>
      <c r="E1830" t="s">
        <v>8</v>
      </c>
      <c r="F1830" t="s">
        <v>2301</v>
      </c>
      <c r="G1830" t="s">
        <v>152</v>
      </c>
      <c r="H1830" t="s">
        <v>174</v>
      </c>
      <c r="I1830" t="s">
        <v>154</v>
      </c>
      <c r="J1830">
        <v>20170111</v>
      </c>
    </row>
    <row r="1831" spans="1:10">
      <c r="A1831" t="s">
        <v>707</v>
      </c>
      <c r="B1831">
        <v>603580</v>
      </c>
      <c r="C1831" t="s">
        <v>708</v>
      </c>
      <c r="D1831" t="s">
        <v>172</v>
      </c>
      <c r="E1831" t="s">
        <v>40</v>
      </c>
      <c r="F1831" t="s">
        <v>709</v>
      </c>
      <c r="G1831" t="s">
        <v>152</v>
      </c>
      <c r="H1831" t="s">
        <v>174</v>
      </c>
      <c r="I1831" t="s">
        <v>154</v>
      </c>
      <c r="J1831">
        <v>20170525</v>
      </c>
    </row>
    <row r="1832" spans="1:10">
      <c r="A1832" t="s">
        <v>1660</v>
      </c>
      <c r="B1832">
        <v>603583</v>
      </c>
      <c r="C1832" t="s">
        <v>1661</v>
      </c>
      <c r="D1832" t="s">
        <v>423</v>
      </c>
      <c r="E1832" t="s">
        <v>17</v>
      </c>
      <c r="F1832" t="s">
        <v>1662</v>
      </c>
      <c r="G1832" t="s">
        <v>152</v>
      </c>
      <c r="H1832" t="s">
        <v>174</v>
      </c>
      <c r="I1832" t="s">
        <v>154</v>
      </c>
      <c r="J1832">
        <v>20180921</v>
      </c>
    </row>
    <row r="1833" spans="1:10">
      <c r="A1833" t="s">
        <v>710</v>
      </c>
      <c r="B1833">
        <v>603585</v>
      </c>
      <c r="C1833" t="s">
        <v>711</v>
      </c>
      <c r="D1833" t="s">
        <v>212</v>
      </c>
      <c r="E1833" t="s">
        <v>47</v>
      </c>
      <c r="F1833" t="s">
        <v>712</v>
      </c>
      <c r="G1833" t="s">
        <v>152</v>
      </c>
      <c r="H1833" t="s">
        <v>174</v>
      </c>
      <c r="I1833" t="s">
        <v>154</v>
      </c>
      <c r="J1833">
        <v>20161214</v>
      </c>
    </row>
    <row r="1834" spans="1:10">
      <c r="A1834" t="s">
        <v>2116</v>
      </c>
      <c r="B1834">
        <v>603586</v>
      </c>
      <c r="C1834" t="s">
        <v>2117</v>
      </c>
      <c r="D1834" t="s">
        <v>198</v>
      </c>
      <c r="E1834" t="s">
        <v>28</v>
      </c>
      <c r="F1834" t="s">
        <v>2118</v>
      </c>
      <c r="G1834" t="s">
        <v>152</v>
      </c>
      <c r="H1834" t="s">
        <v>174</v>
      </c>
      <c r="I1834" t="s">
        <v>154</v>
      </c>
      <c r="J1834">
        <v>20170406</v>
      </c>
    </row>
    <row r="1835" spans="1:10">
      <c r="A1835" t="s">
        <v>2689</v>
      </c>
      <c r="B1835">
        <v>603587</v>
      </c>
      <c r="C1835" t="s">
        <v>2690</v>
      </c>
      <c r="D1835" t="s">
        <v>172</v>
      </c>
      <c r="E1835" t="s">
        <v>20</v>
      </c>
      <c r="F1835" t="s">
        <v>2691</v>
      </c>
      <c r="G1835" t="s">
        <v>152</v>
      </c>
      <c r="H1835" t="s">
        <v>174</v>
      </c>
      <c r="I1835" t="s">
        <v>154</v>
      </c>
      <c r="J1835">
        <v>20180622</v>
      </c>
    </row>
    <row r="1836" spans="1:10">
      <c r="A1836" t="s">
        <v>6630</v>
      </c>
      <c r="B1836">
        <v>603588</v>
      </c>
      <c r="C1836" t="s">
        <v>6631</v>
      </c>
      <c r="D1836" t="s">
        <v>164</v>
      </c>
      <c r="E1836" t="s">
        <v>119</v>
      </c>
      <c r="F1836" t="s">
        <v>6632</v>
      </c>
      <c r="G1836" t="s">
        <v>152</v>
      </c>
      <c r="H1836" t="s">
        <v>174</v>
      </c>
      <c r="I1836" t="s">
        <v>154</v>
      </c>
      <c r="J1836">
        <v>20141229</v>
      </c>
    </row>
    <row r="1837" spans="1:10">
      <c r="A1837" t="s">
        <v>2554</v>
      </c>
      <c r="B1837">
        <v>603589</v>
      </c>
      <c r="C1837" t="s">
        <v>2555</v>
      </c>
      <c r="D1837" t="s">
        <v>160</v>
      </c>
      <c r="E1837" t="s">
        <v>12</v>
      </c>
      <c r="F1837" t="s">
        <v>2556</v>
      </c>
      <c r="G1837" t="s">
        <v>152</v>
      </c>
      <c r="H1837" t="s">
        <v>174</v>
      </c>
      <c r="I1837" t="s">
        <v>154</v>
      </c>
      <c r="J1837">
        <v>20150629</v>
      </c>
    </row>
    <row r="1838" spans="1:10">
      <c r="A1838" t="s">
        <v>3097</v>
      </c>
      <c r="B1838">
        <v>603590</v>
      </c>
      <c r="C1838" t="s">
        <v>3098</v>
      </c>
      <c r="D1838" t="s">
        <v>164</v>
      </c>
      <c r="E1838" t="s">
        <v>76</v>
      </c>
      <c r="F1838" t="s">
        <v>3099</v>
      </c>
      <c r="G1838" t="s">
        <v>152</v>
      </c>
      <c r="H1838" t="s">
        <v>174</v>
      </c>
      <c r="I1838" t="s">
        <v>154</v>
      </c>
      <c r="J1838">
        <v>20180827</v>
      </c>
    </row>
    <row r="1839" spans="1:10">
      <c r="A1839" t="s">
        <v>1663</v>
      </c>
      <c r="B1839">
        <v>603595</v>
      </c>
      <c r="C1839" t="s">
        <v>1664</v>
      </c>
      <c r="D1839" t="s">
        <v>423</v>
      </c>
      <c r="E1839" t="s">
        <v>42</v>
      </c>
      <c r="F1839" t="s">
        <v>1665</v>
      </c>
      <c r="G1839" t="s">
        <v>152</v>
      </c>
      <c r="H1839" t="s">
        <v>174</v>
      </c>
      <c r="I1839" t="s">
        <v>154</v>
      </c>
      <c r="J1839">
        <v>20170712</v>
      </c>
    </row>
    <row r="1840" spans="1:10">
      <c r="A1840" t="s">
        <v>2119</v>
      </c>
      <c r="B1840">
        <v>603596</v>
      </c>
      <c r="C1840" t="s">
        <v>2120</v>
      </c>
      <c r="D1840" t="s">
        <v>160</v>
      </c>
      <c r="E1840" t="s">
        <v>28</v>
      </c>
      <c r="F1840" t="s">
        <v>2121</v>
      </c>
      <c r="G1840" t="s">
        <v>152</v>
      </c>
      <c r="H1840" t="s">
        <v>174</v>
      </c>
      <c r="I1840" t="s">
        <v>154</v>
      </c>
      <c r="J1840">
        <v>20180427</v>
      </c>
    </row>
    <row r="1841" spans="1:10">
      <c r="A1841" t="s">
        <v>6099</v>
      </c>
      <c r="B1841">
        <v>603598</v>
      </c>
      <c r="C1841" t="s">
        <v>6100</v>
      </c>
      <c r="D1841" t="s">
        <v>164</v>
      </c>
      <c r="E1841" t="s">
        <v>124</v>
      </c>
      <c r="F1841" t="s">
        <v>6101</v>
      </c>
      <c r="G1841" t="s">
        <v>152</v>
      </c>
      <c r="H1841" t="s">
        <v>174</v>
      </c>
      <c r="I1841" t="s">
        <v>154</v>
      </c>
      <c r="J1841">
        <v>20150527</v>
      </c>
    </row>
    <row r="1842" spans="1:10">
      <c r="A1842" t="s">
        <v>713</v>
      </c>
      <c r="B1842">
        <v>603599</v>
      </c>
      <c r="C1842" t="s">
        <v>714</v>
      </c>
      <c r="D1842" t="s">
        <v>160</v>
      </c>
      <c r="E1842" t="s">
        <v>47</v>
      </c>
      <c r="F1842" t="s">
        <v>715</v>
      </c>
      <c r="G1842" t="s">
        <v>152</v>
      </c>
      <c r="H1842" t="s">
        <v>174</v>
      </c>
      <c r="I1842" t="s">
        <v>154</v>
      </c>
      <c r="J1842">
        <v>20150513</v>
      </c>
    </row>
    <row r="1843" spans="1:10">
      <c r="A1843" t="s">
        <v>2866</v>
      </c>
      <c r="B1843">
        <v>603600</v>
      </c>
      <c r="C1843" t="s">
        <v>2867</v>
      </c>
      <c r="D1843" t="s">
        <v>423</v>
      </c>
      <c r="E1843" t="s">
        <v>21</v>
      </c>
      <c r="F1843" t="s">
        <v>2868</v>
      </c>
      <c r="G1843" t="s">
        <v>152</v>
      </c>
      <c r="H1843" t="s">
        <v>174</v>
      </c>
      <c r="I1843" t="s">
        <v>154</v>
      </c>
      <c r="J1843">
        <v>20150123</v>
      </c>
    </row>
    <row r="1844" spans="1:10">
      <c r="A1844" t="s">
        <v>5172</v>
      </c>
      <c r="B1844">
        <v>603601</v>
      </c>
      <c r="C1844" t="s">
        <v>5173</v>
      </c>
      <c r="D1844" t="s">
        <v>937</v>
      </c>
      <c r="E1844" t="s">
        <v>45</v>
      </c>
      <c r="F1844" t="s">
        <v>5174</v>
      </c>
      <c r="G1844" t="s">
        <v>152</v>
      </c>
      <c r="H1844" t="s">
        <v>174</v>
      </c>
      <c r="I1844" t="s">
        <v>154</v>
      </c>
      <c r="J1844">
        <v>20150122</v>
      </c>
    </row>
    <row r="1845" spans="1:10">
      <c r="A1845" t="s">
        <v>6336</v>
      </c>
      <c r="B1845">
        <v>603602</v>
      </c>
      <c r="C1845" t="s">
        <v>6337</v>
      </c>
      <c r="D1845" t="s">
        <v>423</v>
      </c>
      <c r="E1845" t="s">
        <v>125</v>
      </c>
      <c r="F1845" t="s">
        <v>6338</v>
      </c>
      <c r="G1845" t="s">
        <v>152</v>
      </c>
      <c r="H1845" t="s">
        <v>174</v>
      </c>
      <c r="I1845" t="s">
        <v>154</v>
      </c>
      <c r="J1845">
        <v>20170810</v>
      </c>
    </row>
    <row r="1846" spans="1:10">
      <c r="A1846" t="s">
        <v>6633</v>
      </c>
      <c r="B1846">
        <v>603603</v>
      </c>
      <c r="C1846" t="s">
        <v>6634</v>
      </c>
      <c r="D1846" t="s">
        <v>164</v>
      </c>
      <c r="E1846" t="s">
        <v>119</v>
      </c>
      <c r="F1846" t="s">
        <v>6635</v>
      </c>
      <c r="G1846" t="s">
        <v>152</v>
      </c>
      <c r="H1846" t="s">
        <v>174</v>
      </c>
      <c r="I1846" t="s">
        <v>154</v>
      </c>
      <c r="J1846">
        <v>20170217</v>
      </c>
    </row>
    <row r="1847" spans="1:10">
      <c r="A1847" t="s">
        <v>6672</v>
      </c>
      <c r="B1847">
        <v>603605</v>
      </c>
      <c r="C1847" t="s">
        <v>6673</v>
      </c>
      <c r="D1847" t="s">
        <v>423</v>
      </c>
      <c r="E1847" t="s">
        <v>120</v>
      </c>
      <c r="F1847" t="s">
        <v>6674</v>
      </c>
      <c r="G1847" t="s">
        <v>152</v>
      </c>
      <c r="H1847" t="s">
        <v>174</v>
      </c>
      <c r="I1847" t="s">
        <v>154</v>
      </c>
      <c r="J1847">
        <v>20171115</v>
      </c>
    </row>
    <row r="1848" spans="1:10">
      <c r="A1848" t="s">
        <v>1666</v>
      </c>
      <c r="B1848">
        <v>603606</v>
      </c>
      <c r="C1848" t="s">
        <v>1667</v>
      </c>
      <c r="D1848" t="s">
        <v>423</v>
      </c>
      <c r="E1848" t="s">
        <v>17</v>
      </c>
      <c r="F1848" t="s">
        <v>1668</v>
      </c>
      <c r="G1848" t="s">
        <v>152</v>
      </c>
      <c r="H1848" t="s">
        <v>174</v>
      </c>
      <c r="I1848" t="s">
        <v>154</v>
      </c>
      <c r="J1848">
        <v>20141015</v>
      </c>
    </row>
    <row r="1849" spans="1:10">
      <c r="A1849" t="s">
        <v>2869</v>
      </c>
      <c r="B1849">
        <v>603607</v>
      </c>
      <c r="C1849" t="s">
        <v>2870</v>
      </c>
      <c r="D1849" t="s">
        <v>423</v>
      </c>
      <c r="E1849" t="s">
        <v>30</v>
      </c>
      <c r="F1849" t="s">
        <v>2871</v>
      </c>
      <c r="G1849" t="s">
        <v>152</v>
      </c>
      <c r="H1849" t="s">
        <v>174</v>
      </c>
      <c r="I1849" t="s">
        <v>154</v>
      </c>
      <c r="J1849">
        <v>20171025</v>
      </c>
    </row>
    <row r="1850" spans="1:10">
      <c r="A1850" t="s">
        <v>2692</v>
      </c>
      <c r="B1850">
        <v>603608</v>
      </c>
      <c r="C1850" t="s">
        <v>2693</v>
      </c>
      <c r="D1850" t="s">
        <v>223</v>
      </c>
      <c r="E1850" t="s">
        <v>20</v>
      </c>
      <c r="F1850" t="s">
        <v>2694</v>
      </c>
      <c r="G1850" t="s">
        <v>152</v>
      </c>
      <c r="H1850" t="s">
        <v>174</v>
      </c>
      <c r="I1850" t="s">
        <v>154</v>
      </c>
      <c r="J1850">
        <v>20160218</v>
      </c>
    </row>
    <row r="1851" spans="1:10">
      <c r="A1851" t="s">
        <v>234</v>
      </c>
      <c r="B1851">
        <v>603609</v>
      </c>
      <c r="C1851" t="s">
        <v>235</v>
      </c>
      <c r="D1851" t="s">
        <v>236</v>
      </c>
      <c r="E1851" t="s">
        <v>39</v>
      </c>
      <c r="F1851" t="s">
        <v>237</v>
      </c>
      <c r="G1851" t="s">
        <v>152</v>
      </c>
      <c r="H1851" t="s">
        <v>174</v>
      </c>
      <c r="I1851" t="s">
        <v>154</v>
      </c>
      <c r="J1851">
        <v>20140808</v>
      </c>
    </row>
    <row r="1852" spans="1:10">
      <c r="A1852" t="s">
        <v>2872</v>
      </c>
      <c r="B1852">
        <v>603610</v>
      </c>
      <c r="C1852" t="s">
        <v>2873</v>
      </c>
      <c r="D1852" t="s">
        <v>423</v>
      </c>
      <c r="E1852" t="s">
        <v>21</v>
      </c>
      <c r="F1852" t="s">
        <v>2874</v>
      </c>
      <c r="G1852" t="s">
        <v>152</v>
      </c>
      <c r="H1852" t="s">
        <v>174</v>
      </c>
      <c r="I1852" t="s">
        <v>154</v>
      </c>
      <c r="J1852">
        <v>20191029</v>
      </c>
    </row>
    <row r="1853" spans="1:10">
      <c r="A1853" t="s">
        <v>5739</v>
      </c>
      <c r="B1853">
        <v>603611</v>
      </c>
      <c r="C1853" t="s">
        <v>5740</v>
      </c>
      <c r="D1853" t="s">
        <v>423</v>
      </c>
      <c r="E1853" t="s">
        <v>128</v>
      </c>
      <c r="F1853" t="s">
        <v>5741</v>
      </c>
      <c r="G1853" t="s">
        <v>152</v>
      </c>
      <c r="H1853" t="s">
        <v>174</v>
      </c>
      <c r="I1853" t="s">
        <v>154</v>
      </c>
      <c r="J1853">
        <v>20150128</v>
      </c>
    </row>
    <row r="1854" spans="1:10">
      <c r="A1854" t="s">
        <v>1186</v>
      </c>
      <c r="B1854">
        <v>603612</v>
      </c>
      <c r="C1854" t="s">
        <v>1187</v>
      </c>
      <c r="D1854" t="s">
        <v>198</v>
      </c>
      <c r="E1854" t="s">
        <v>52</v>
      </c>
      <c r="F1854" t="s">
        <v>1188</v>
      </c>
      <c r="G1854" t="s">
        <v>152</v>
      </c>
      <c r="H1854" t="s">
        <v>174</v>
      </c>
      <c r="I1854" t="s">
        <v>154</v>
      </c>
      <c r="J1854">
        <v>20170718</v>
      </c>
    </row>
    <row r="1855" spans="1:10">
      <c r="A1855" t="s">
        <v>5997</v>
      </c>
      <c r="B1855">
        <v>603613</v>
      </c>
      <c r="C1855" t="s">
        <v>5998</v>
      </c>
      <c r="D1855" t="s">
        <v>164</v>
      </c>
      <c r="E1855" t="s">
        <v>116</v>
      </c>
      <c r="F1855" t="s">
        <v>5999</v>
      </c>
      <c r="G1855" t="s">
        <v>152</v>
      </c>
      <c r="H1855" t="s">
        <v>174</v>
      </c>
      <c r="I1855" t="s">
        <v>154</v>
      </c>
      <c r="J1855">
        <v>20190730</v>
      </c>
    </row>
    <row r="1856" spans="1:10">
      <c r="A1856" t="s">
        <v>2875</v>
      </c>
      <c r="B1856">
        <v>603615</v>
      </c>
      <c r="C1856" t="s">
        <v>2876</v>
      </c>
      <c r="D1856" t="s">
        <v>150</v>
      </c>
      <c r="E1856" t="s">
        <v>21</v>
      </c>
      <c r="F1856" t="s">
        <v>2877</v>
      </c>
      <c r="G1856" t="s">
        <v>152</v>
      </c>
      <c r="H1856" t="s">
        <v>174</v>
      </c>
      <c r="I1856" t="s">
        <v>154</v>
      </c>
      <c r="J1856">
        <v>20170213</v>
      </c>
    </row>
    <row r="1857" spans="1:10">
      <c r="A1857" t="s">
        <v>5175</v>
      </c>
      <c r="B1857">
        <v>603616</v>
      </c>
      <c r="C1857" t="s">
        <v>5176</v>
      </c>
      <c r="D1857" t="s">
        <v>164</v>
      </c>
      <c r="E1857" t="s">
        <v>75</v>
      </c>
      <c r="F1857" t="s">
        <v>5177</v>
      </c>
      <c r="G1857" t="s">
        <v>152</v>
      </c>
      <c r="H1857" t="s">
        <v>174</v>
      </c>
      <c r="I1857" t="s">
        <v>154</v>
      </c>
      <c r="J1857">
        <v>20150611</v>
      </c>
    </row>
    <row r="1858" spans="1:10">
      <c r="A1858" t="s">
        <v>5742</v>
      </c>
      <c r="B1858">
        <v>603617</v>
      </c>
      <c r="C1858" t="s">
        <v>5743</v>
      </c>
      <c r="D1858" t="s">
        <v>423</v>
      </c>
      <c r="E1858" t="s">
        <v>135</v>
      </c>
      <c r="F1858" t="s">
        <v>5744</v>
      </c>
      <c r="G1858" t="s">
        <v>152</v>
      </c>
      <c r="H1858" t="s">
        <v>174</v>
      </c>
      <c r="I1858" t="s">
        <v>154</v>
      </c>
      <c r="J1858">
        <v>20170703</v>
      </c>
    </row>
    <row r="1859" spans="1:10">
      <c r="A1859" t="s">
        <v>1669</v>
      </c>
      <c r="B1859">
        <v>603618</v>
      </c>
      <c r="C1859" t="s">
        <v>1670</v>
      </c>
      <c r="D1859" t="s">
        <v>423</v>
      </c>
      <c r="E1859" t="s">
        <v>17</v>
      </c>
      <c r="F1859" t="s">
        <v>1671</v>
      </c>
      <c r="G1859" t="s">
        <v>152</v>
      </c>
      <c r="H1859" t="s">
        <v>174</v>
      </c>
      <c r="I1859" t="s">
        <v>154</v>
      </c>
      <c r="J1859">
        <v>20150217</v>
      </c>
    </row>
    <row r="1860" spans="1:10">
      <c r="A1860" t="s">
        <v>6525</v>
      </c>
      <c r="B1860">
        <v>603619</v>
      </c>
      <c r="C1860" t="s">
        <v>6526</v>
      </c>
      <c r="D1860" t="s">
        <v>172</v>
      </c>
      <c r="E1860" t="s">
        <v>118</v>
      </c>
      <c r="F1860" t="s">
        <v>6527</v>
      </c>
      <c r="G1860" t="s">
        <v>152</v>
      </c>
      <c r="H1860" t="s">
        <v>174</v>
      </c>
      <c r="I1860" t="s">
        <v>154</v>
      </c>
      <c r="J1860">
        <v>20171117</v>
      </c>
    </row>
    <row r="1861" spans="1:10">
      <c r="A1861" t="s">
        <v>1672</v>
      </c>
      <c r="B1861">
        <v>603626</v>
      </c>
      <c r="C1861" t="s">
        <v>1673</v>
      </c>
      <c r="D1861" t="s">
        <v>212</v>
      </c>
      <c r="E1861" t="s">
        <v>42</v>
      </c>
      <c r="F1861" t="s">
        <v>1674</v>
      </c>
      <c r="G1861" t="s">
        <v>152</v>
      </c>
      <c r="H1861" t="s">
        <v>174</v>
      </c>
      <c r="I1861" t="s">
        <v>154</v>
      </c>
      <c r="J1861">
        <v>20170209</v>
      </c>
    </row>
    <row r="1862" spans="1:10">
      <c r="A1862" t="s">
        <v>1675</v>
      </c>
      <c r="B1862">
        <v>603628</v>
      </c>
      <c r="C1862" t="s">
        <v>1676</v>
      </c>
      <c r="D1862" t="s">
        <v>150</v>
      </c>
      <c r="E1862" t="s">
        <v>17</v>
      </c>
      <c r="F1862" t="s">
        <v>1677</v>
      </c>
      <c r="G1862" t="s">
        <v>152</v>
      </c>
      <c r="H1862" t="s">
        <v>174</v>
      </c>
      <c r="I1862" t="s">
        <v>154</v>
      </c>
      <c r="J1862">
        <v>20170112</v>
      </c>
    </row>
    <row r="1863" spans="1:10">
      <c r="A1863" t="s">
        <v>1678</v>
      </c>
      <c r="B1863">
        <v>603629</v>
      </c>
      <c r="C1863" t="s">
        <v>1679</v>
      </c>
      <c r="D1863" t="s">
        <v>212</v>
      </c>
      <c r="E1863" t="s">
        <v>42</v>
      </c>
      <c r="F1863" t="s">
        <v>1680</v>
      </c>
      <c r="G1863" t="s">
        <v>152</v>
      </c>
      <c r="H1863" t="s">
        <v>174</v>
      </c>
      <c r="I1863" t="s">
        <v>154</v>
      </c>
      <c r="J1863">
        <v>20181224</v>
      </c>
    </row>
    <row r="1864" spans="1:10">
      <c r="A1864" t="s">
        <v>6675</v>
      </c>
      <c r="B1864">
        <v>603630</v>
      </c>
      <c r="C1864" t="s">
        <v>6676</v>
      </c>
      <c r="D1864" t="s">
        <v>223</v>
      </c>
      <c r="E1864" t="s">
        <v>120</v>
      </c>
      <c r="F1864" t="s">
        <v>6677</v>
      </c>
      <c r="G1864" t="s">
        <v>152</v>
      </c>
      <c r="H1864" t="s">
        <v>174</v>
      </c>
      <c r="I1864" t="s">
        <v>154</v>
      </c>
      <c r="J1864">
        <v>20170313</v>
      </c>
    </row>
    <row r="1865" spans="1:10">
      <c r="A1865" t="s">
        <v>1681</v>
      </c>
      <c r="B1865">
        <v>603633</v>
      </c>
      <c r="C1865" t="s">
        <v>1682</v>
      </c>
      <c r="D1865" t="s">
        <v>172</v>
      </c>
      <c r="E1865" t="s">
        <v>42</v>
      </c>
      <c r="F1865" t="s">
        <v>1683</v>
      </c>
      <c r="G1865" t="s">
        <v>152</v>
      </c>
      <c r="H1865" t="s">
        <v>174</v>
      </c>
      <c r="I1865" t="s">
        <v>154</v>
      </c>
      <c r="J1865">
        <v>20161117</v>
      </c>
    </row>
    <row r="1866" spans="1:10">
      <c r="A1866" t="s">
        <v>6000</v>
      </c>
      <c r="B1866">
        <v>603636</v>
      </c>
      <c r="C1866" t="s">
        <v>6001</v>
      </c>
      <c r="D1866" t="s">
        <v>150</v>
      </c>
      <c r="E1866" t="s">
        <v>123</v>
      </c>
      <c r="F1866" t="s">
        <v>6002</v>
      </c>
      <c r="G1866" t="s">
        <v>152</v>
      </c>
      <c r="H1866" t="s">
        <v>174</v>
      </c>
      <c r="I1866" t="s">
        <v>154</v>
      </c>
      <c r="J1866">
        <v>20141230</v>
      </c>
    </row>
    <row r="1867" spans="1:10">
      <c r="A1867" t="s">
        <v>5367</v>
      </c>
      <c r="B1867">
        <v>603637</v>
      </c>
      <c r="C1867" t="s">
        <v>5368</v>
      </c>
      <c r="D1867" t="s">
        <v>423</v>
      </c>
      <c r="E1867" t="s">
        <v>121</v>
      </c>
      <c r="F1867" t="s">
        <v>5369</v>
      </c>
      <c r="G1867" t="s">
        <v>152</v>
      </c>
      <c r="H1867" t="s">
        <v>174</v>
      </c>
      <c r="I1867" t="s">
        <v>154</v>
      </c>
      <c r="J1867">
        <v>20170208</v>
      </c>
    </row>
    <row r="1868" spans="1:10">
      <c r="A1868" t="s">
        <v>5745</v>
      </c>
      <c r="B1868">
        <v>603638</v>
      </c>
      <c r="C1868" t="s">
        <v>5746</v>
      </c>
      <c r="D1868" t="s">
        <v>198</v>
      </c>
      <c r="E1868" t="s">
        <v>122</v>
      </c>
      <c r="F1868" t="s">
        <v>5747</v>
      </c>
      <c r="G1868" t="s">
        <v>152</v>
      </c>
      <c r="H1868" t="s">
        <v>174</v>
      </c>
      <c r="I1868" t="s">
        <v>154</v>
      </c>
      <c r="J1868">
        <v>20170120</v>
      </c>
    </row>
    <row r="1869" spans="1:10">
      <c r="A1869" t="s">
        <v>716</v>
      </c>
      <c r="B1869">
        <v>603639</v>
      </c>
      <c r="C1869" t="s">
        <v>717</v>
      </c>
      <c r="D1869" t="s">
        <v>198</v>
      </c>
      <c r="E1869" t="s">
        <v>47</v>
      </c>
      <c r="F1869" t="s">
        <v>718</v>
      </c>
      <c r="G1869" t="s">
        <v>152</v>
      </c>
      <c r="H1869" t="s">
        <v>174</v>
      </c>
      <c r="I1869" t="s">
        <v>154</v>
      </c>
      <c r="J1869">
        <v>20170112</v>
      </c>
    </row>
    <row r="1870" spans="1:10">
      <c r="A1870" t="s">
        <v>4093</v>
      </c>
      <c r="B1870">
        <v>603648</v>
      </c>
      <c r="C1870" t="s">
        <v>4094</v>
      </c>
      <c r="D1870" t="s">
        <v>172</v>
      </c>
      <c r="E1870" t="s">
        <v>50</v>
      </c>
      <c r="F1870" t="s">
        <v>4095</v>
      </c>
      <c r="G1870" t="s">
        <v>152</v>
      </c>
      <c r="H1870" t="s">
        <v>174</v>
      </c>
      <c r="I1870" t="s">
        <v>154</v>
      </c>
      <c r="J1870">
        <v>20170913</v>
      </c>
    </row>
    <row r="1871" spans="1:10">
      <c r="A1871" t="s">
        <v>719</v>
      </c>
      <c r="B1871">
        <v>603650</v>
      </c>
      <c r="C1871" t="s">
        <v>720</v>
      </c>
      <c r="D1871" t="s">
        <v>172</v>
      </c>
      <c r="E1871" t="s">
        <v>14</v>
      </c>
      <c r="F1871" t="s">
        <v>721</v>
      </c>
      <c r="G1871" t="s">
        <v>152</v>
      </c>
      <c r="H1871" t="s">
        <v>174</v>
      </c>
      <c r="I1871" t="s">
        <v>154</v>
      </c>
      <c r="J1871">
        <v>20180627</v>
      </c>
    </row>
    <row r="1872" spans="1:10">
      <c r="A1872" t="s">
        <v>2122</v>
      </c>
      <c r="B1872">
        <v>603655</v>
      </c>
      <c r="C1872" t="s">
        <v>2123</v>
      </c>
      <c r="D1872" t="s">
        <v>212</v>
      </c>
      <c r="E1872" t="s">
        <v>28</v>
      </c>
      <c r="F1872" t="s">
        <v>2124</v>
      </c>
      <c r="G1872" t="s">
        <v>152</v>
      </c>
      <c r="H1872" t="s">
        <v>174</v>
      </c>
      <c r="I1872" t="s">
        <v>154</v>
      </c>
      <c r="J1872">
        <v>20171229</v>
      </c>
    </row>
    <row r="1873" spans="1:10">
      <c r="A1873" t="s">
        <v>5748</v>
      </c>
      <c r="B1873">
        <v>603656</v>
      </c>
      <c r="C1873" t="s">
        <v>5749</v>
      </c>
      <c r="D1873" t="s">
        <v>160</v>
      </c>
      <c r="E1873" t="s">
        <v>122</v>
      </c>
      <c r="F1873" t="s">
        <v>5750</v>
      </c>
      <c r="G1873" t="s">
        <v>152</v>
      </c>
      <c r="H1873" t="s">
        <v>174</v>
      </c>
      <c r="I1873" t="s">
        <v>154</v>
      </c>
      <c r="J1873">
        <v>20170321</v>
      </c>
    </row>
    <row r="1874" spans="1:10">
      <c r="A1874" t="s">
        <v>2302</v>
      </c>
      <c r="B1874">
        <v>603657</v>
      </c>
      <c r="C1874" t="s">
        <v>2303</v>
      </c>
      <c r="D1874" t="s">
        <v>423</v>
      </c>
      <c r="E1874" t="s">
        <v>8</v>
      </c>
      <c r="F1874" t="s">
        <v>2304</v>
      </c>
      <c r="G1874" t="s">
        <v>152</v>
      </c>
      <c r="H1874" t="s">
        <v>174</v>
      </c>
      <c r="I1874" t="s">
        <v>154</v>
      </c>
      <c r="J1874">
        <v>20180730</v>
      </c>
    </row>
    <row r="1875" spans="1:10">
      <c r="A1875" t="s">
        <v>3148</v>
      </c>
      <c r="B1875">
        <v>603658</v>
      </c>
      <c r="C1875" t="s">
        <v>3149</v>
      </c>
      <c r="D1875" t="s">
        <v>292</v>
      </c>
      <c r="E1875" t="s">
        <v>90</v>
      </c>
      <c r="F1875" t="s">
        <v>3150</v>
      </c>
      <c r="G1875" t="s">
        <v>152</v>
      </c>
      <c r="H1875" t="s">
        <v>174</v>
      </c>
      <c r="I1875" t="s">
        <v>154</v>
      </c>
      <c r="J1875">
        <v>20160901</v>
      </c>
    </row>
    <row r="1876" spans="1:10">
      <c r="A1876" t="s">
        <v>722</v>
      </c>
      <c r="B1876">
        <v>603659</v>
      </c>
      <c r="C1876" t="s">
        <v>723</v>
      </c>
      <c r="D1876" t="s">
        <v>172</v>
      </c>
      <c r="E1876" t="s">
        <v>14</v>
      </c>
      <c r="F1876" t="s">
        <v>724</v>
      </c>
      <c r="G1876" t="s">
        <v>152</v>
      </c>
      <c r="H1876" t="s">
        <v>174</v>
      </c>
      <c r="I1876" t="s">
        <v>154</v>
      </c>
      <c r="J1876">
        <v>20171103</v>
      </c>
    </row>
    <row r="1877" spans="1:10">
      <c r="A1877" t="s">
        <v>6339</v>
      </c>
      <c r="B1877">
        <v>603660</v>
      </c>
      <c r="C1877" t="s">
        <v>6340</v>
      </c>
      <c r="D1877" t="s">
        <v>212</v>
      </c>
      <c r="E1877" t="s">
        <v>125</v>
      </c>
      <c r="F1877" t="s">
        <v>6341</v>
      </c>
      <c r="G1877" t="s">
        <v>152</v>
      </c>
      <c r="H1877" t="s">
        <v>174</v>
      </c>
      <c r="I1877" t="s">
        <v>154</v>
      </c>
      <c r="J1877">
        <v>20161201</v>
      </c>
    </row>
    <row r="1878" spans="1:10">
      <c r="A1878" t="s">
        <v>2878</v>
      </c>
      <c r="B1878">
        <v>603661</v>
      </c>
      <c r="C1878" t="s">
        <v>2879</v>
      </c>
      <c r="D1878" t="s">
        <v>423</v>
      </c>
      <c r="E1878" t="s">
        <v>21</v>
      </c>
      <c r="F1878" t="s">
        <v>2880</v>
      </c>
      <c r="G1878" t="s">
        <v>152</v>
      </c>
      <c r="H1878" t="s">
        <v>174</v>
      </c>
      <c r="I1878" t="s">
        <v>154</v>
      </c>
      <c r="J1878">
        <v>20171121</v>
      </c>
    </row>
    <row r="1879" spans="1:10">
      <c r="A1879" t="s">
        <v>1684</v>
      </c>
      <c r="B1879">
        <v>603662</v>
      </c>
      <c r="C1879" t="s">
        <v>1685</v>
      </c>
      <c r="D1879" t="s">
        <v>423</v>
      </c>
      <c r="E1879" t="s">
        <v>27</v>
      </c>
      <c r="F1879" t="s">
        <v>1686</v>
      </c>
      <c r="G1879" t="s">
        <v>152</v>
      </c>
      <c r="H1879" t="s">
        <v>174</v>
      </c>
      <c r="I1879" t="s">
        <v>154</v>
      </c>
      <c r="J1879">
        <v>20190806</v>
      </c>
    </row>
    <row r="1880" spans="1:10">
      <c r="A1880" t="s">
        <v>1189</v>
      </c>
      <c r="B1880">
        <v>603663</v>
      </c>
      <c r="C1880" t="s">
        <v>1190</v>
      </c>
      <c r="D1880" t="s">
        <v>150</v>
      </c>
      <c r="E1880" t="s">
        <v>41</v>
      </c>
      <c r="F1880" t="s">
        <v>1191</v>
      </c>
      <c r="G1880" t="s">
        <v>152</v>
      </c>
      <c r="H1880" t="s">
        <v>174</v>
      </c>
      <c r="I1880" t="s">
        <v>154</v>
      </c>
      <c r="J1880">
        <v>20160801</v>
      </c>
    </row>
    <row r="1881" spans="1:10">
      <c r="A1881" t="s">
        <v>725</v>
      </c>
      <c r="B1881">
        <v>603665</v>
      </c>
      <c r="C1881" t="s">
        <v>726</v>
      </c>
      <c r="D1881" t="s">
        <v>423</v>
      </c>
      <c r="E1881" t="s">
        <v>33</v>
      </c>
      <c r="F1881" t="s">
        <v>727</v>
      </c>
      <c r="G1881" t="s">
        <v>152</v>
      </c>
      <c r="H1881" t="s">
        <v>174</v>
      </c>
      <c r="I1881" t="s">
        <v>154</v>
      </c>
      <c r="J1881">
        <v>20170313</v>
      </c>
    </row>
    <row r="1882" spans="1:10">
      <c r="A1882" t="s">
        <v>5751</v>
      </c>
      <c r="B1882">
        <v>603666</v>
      </c>
      <c r="C1882" t="s">
        <v>5752</v>
      </c>
      <c r="D1882" t="s">
        <v>212</v>
      </c>
      <c r="E1882" t="s">
        <v>122</v>
      </c>
      <c r="F1882" t="s">
        <v>5753</v>
      </c>
      <c r="G1882" t="s">
        <v>152</v>
      </c>
      <c r="H1882" t="s">
        <v>174</v>
      </c>
      <c r="I1882" t="s">
        <v>154</v>
      </c>
      <c r="J1882">
        <v>20180612</v>
      </c>
    </row>
    <row r="1883" spans="1:10">
      <c r="A1883" t="s">
        <v>5754</v>
      </c>
      <c r="B1883">
        <v>603667</v>
      </c>
      <c r="C1883" t="s">
        <v>5755</v>
      </c>
      <c r="D1883" t="s">
        <v>423</v>
      </c>
      <c r="E1883" t="s">
        <v>135</v>
      </c>
      <c r="F1883" t="s">
        <v>5756</v>
      </c>
      <c r="G1883" t="s">
        <v>152</v>
      </c>
      <c r="H1883" t="s">
        <v>174</v>
      </c>
      <c r="I1883" t="s">
        <v>154</v>
      </c>
      <c r="J1883">
        <v>20161025</v>
      </c>
    </row>
    <row r="1884" spans="1:10">
      <c r="A1884" t="s">
        <v>238</v>
      </c>
      <c r="B1884">
        <v>603668</v>
      </c>
      <c r="C1884" t="s">
        <v>239</v>
      </c>
      <c r="D1884" t="s">
        <v>150</v>
      </c>
      <c r="E1884" t="s">
        <v>39</v>
      </c>
      <c r="F1884" t="s">
        <v>240</v>
      </c>
      <c r="G1884" t="s">
        <v>152</v>
      </c>
      <c r="H1884" t="s">
        <v>174</v>
      </c>
      <c r="I1884" t="s">
        <v>154</v>
      </c>
      <c r="J1884">
        <v>20170117</v>
      </c>
    </row>
    <row r="1885" spans="1:10">
      <c r="A1885" t="s">
        <v>3040</v>
      </c>
      <c r="B1885">
        <v>603669</v>
      </c>
      <c r="C1885" t="s">
        <v>3041</v>
      </c>
      <c r="D1885" t="s">
        <v>1001</v>
      </c>
      <c r="E1885" t="s">
        <v>81</v>
      </c>
      <c r="F1885" t="s">
        <v>3042</v>
      </c>
      <c r="G1885" t="s">
        <v>152</v>
      </c>
      <c r="H1885" t="s">
        <v>174</v>
      </c>
      <c r="I1885" t="s">
        <v>154</v>
      </c>
      <c r="J1885">
        <v>20150528</v>
      </c>
    </row>
    <row r="1886" spans="1:10">
      <c r="A1886" t="s">
        <v>3043</v>
      </c>
      <c r="B1886">
        <v>603676</v>
      </c>
      <c r="C1886" t="s">
        <v>3044</v>
      </c>
      <c r="D1886" t="s">
        <v>1001</v>
      </c>
      <c r="E1886" t="s">
        <v>81</v>
      </c>
      <c r="F1886" t="s">
        <v>3045</v>
      </c>
      <c r="G1886" t="s">
        <v>152</v>
      </c>
      <c r="H1886" t="s">
        <v>174</v>
      </c>
      <c r="I1886" t="s">
        <v>154</v>
      </c>
      <c r="J1886">
        <v>20170721</v>
      </c>
    </row>
    <row r="1887" spans="1:10">
      <c r="A1887" t="s">
        <v>2305</v>
      </c>
      <c r="B1887">
        <v>603677</v>
      </c>
      <c r="C1887" t="s">
        <v>2306</v>
      </c>
      <c r="D1887" t="s">
        <v>423</v>
      </c>
      <c r="E1887" t="s">
        <v>8</v>
      </c>
      <c r="F1887" t="s">
        <v>2307</v>
      </c>
      <c r="G1887" t="s">
        <v>152</v>
      </c>
      <c r="H1887" t="s">
        <v>174</v>
      </c>
      <c r="I1887" t="s">
        <v>154</v>
      </c>
      <c r="J1887">
        <v>20170206</v>
      </c>
    </row>
    <row r="1888" spans="1:10">
      <c r="A1888" t="s">
        <v>1687</v>
      </c>
      <c r="B1888">
        <v>603678</v>
      </c>
      <c r="C1888" t="s">
        <v>1688</v>
      </c>
      <c r="D1888" t="s">
        <v>150</v>
      </c>
      <c r="E1888" t="s">
        <v>42</v>
      </c>
      <c r="F1888" t="s">
        <v>1689</v>
      </c>
      <c r="G1888" t="s">
        <v>152</v>
      </c>
      <c r="H1888" t="s">
        <v>174</v>
      </c>
      <c r="I1888" t="s">
        <v>154</v>
      </c>
      <c r="J1888">
        <v>20150126</v>
      </c>
    </row>
    <row r="1889" spans="1:10">
      <c r="A1889" t="s">
        <v>1690</v>
      </c>
      <c r="B1889">
        <v>603679</v>
      </c>
      <c r="C1889" t="s">
        <v>1691</v>
      </c>
      <c r="D1889" t="s">
        <v>219</v>
      </c>
      <c r="E1889" t="s">
        <v>17</v>
      </c>
      <c r="F1889" t="s">
        <v>1692</v>
      </c>
      <c r="G1889" t="s">
        <v>152</v>
      </c>
      <c r="H1889" t="s">
        <v>174</v>
      </c>
      <c r="I1889" t="s">
        <v>154</v>
      </c>
      <c r="J1889">
        <v>20170621</v>
      </c>
    </row>
    <row r="1890" spans="1:10">
      <c r="A1890" t="s">
        <v>5757</v>
      </c>
      <c r="B1890">
        <v>603680</v>
      </c>
      <c r="C1890" t="s">
        <v>5758</v>
      </c>
      <c r="D1890" t="s">
        <v>212</v>
      </c>
      <c r="E1890" t="s">
        <v>128</v>
      </c>
      <c r="F1890" t="s">
        <v>5759</v>
      </c>
      <c r="G1890" t="s">
        <v>152</v>
      </c>
      <c r="H1890" t="s">
        <v>174</v>
      </c>
      <c r="I1890" t="s">
        <v>154</v>
      </c>
      <c r="J1890">
        <v>20180227</v>
      </c>
    </row>
    <row r="1891" spans="1:10">
      <c r="A1891" t="s">
        <v>728</v>
      </c>
      <c r="B1891">
        <v>603681</v>
      </c>
      <c r="C1891" t="s">
        <v>729</v>
      </c>
      <c r="D1891" t="s">
        <v>172</v>
      </c>
      <c r="E1891" t="s">
        <v>14</v>
      </c>
      <c r="F1891" t="s">
        <v>730</v>
      </c>
      <c r="G1891" t="s">
        <v>152</v>
      </c>
      <c r="H1891" t="s">
        <v>174</v>
      </c>
      <c r="I1891" t="s">
        <v>154</v>
      </c>
      <c r="J1891">
        <v>20190326</v>
      </c>
    </row>
    <row r="1892" spans="1:10">
      <c r="A1892" t="s">
        <v>4416</v>
      </c>
      <c r="B1892">
        <v>603682</v>
      </c>
      <c r="C1892" t="s">
        <v>4417</v>
      </c>
      <c r="D1892" t="s">
        <v>172</v>
      </c>
      <c r="E1892" t="s">
        <v>70</v>
      </c>
      <c r="F1892" t="s">
        <v>4418</v>
      </c>
      <c r="G1892" t="s">
        <v>152</v>
      </c>
      <c r="H1892" t="s">
        <v>174</v>
      </c>
      <c r="I1892" t="s">
        <v>154</v>
      </c>
      <c r="J1892">
        <v>20200421</v>
      </c>
    </row>
    <row r="1893" spans="1:10">
      <c r="A1893" t="s">
        <v>731</v>
      </c>
      <c r="B1893">
        <v>603683</v>
      </c>
      <c r="C1893" t="s">
        <v>732</v>
      </c>
      <c r="D1893" t="s">
        <v>172</v>
      </c>
      <c r="E1893" t="s">
        <v>14</v>
      </c>
      <c r="F1893" t="s">
        <v>733</v>
      </c>
      <c r="G1893" t="s">
        <v>152</v>
      </c>
      <c r="H1893" t="s">
        <v>174</v>
      </c>
      <c r="I1893" t="s">
        <v>154</v>
      </c>
      <c r="J1893">
        <v>20171020</v>
      </c>
    </row>
    <row r="1894" spans="1:10">
      <c r="A1894" t="s">
        <v>1693</v>
      </c>
      <c r="B1894">
        <v>603685</v>
      </c>
      <c r="C1894" t="s">
        <v>1694</v>
      </c>
      <c r="D1894" t="s">
        <v>423</v>
      </c>
      <c r="E1894" t="s">
        <v>17</v>
      </c>
      <c r="F1894" t="s">
        <v>1695</v>
      </c>
      <c r="G1894" t="s">
        <v>152</v>
      </c>
      <c r="H1894" t="s">
        <v>174</v>
      </c>
      <c r="I1894" t="s">
        <v>154</v>
      </c>
      <c r="J1894">
        <v>20171127</v>
      </c>
    </row>
    <row r="1895" spans="1:10">
      <c r="A1895" t="s">
        <v>6636</v>
      </c>
      <c r="B1895">
        <v>603686</v>
      </c>
      <c r="C1895" t="s">
        <v>6637</v>
      </c>
      <c r="D1895" t="s">
        <v>150</v>
      </c>
      <c r="E1895" t="s">
        <v>119</v>
      </c>
      <c r="F1895" t="s">
        <v>6638</v>
      </c>
      <c r="G1895" t="s">
        <v>152</v>
      </c>
      <c r="H1895" t="s">
        <v>174</v>
      </c>
      <c r="I1895" t="s">
        <v>154</v>
      </c>
      <c r="J1895">
        <v>20150126</v>
      </c>
    </row>
    <row r="1896" spans="1:10">
      <c r="A1896" t="s">
        <v>2881</v>
      </c>
      <c r="B1896">
        <v>603687</v>
      </c>
      <c r="C1896" t="s">
        <v>2882</v>
      </c>
      <c r="D1896" t="s">
        <v>423</v>
      </c>
      <c r="E1896" t="s">
        <v>37</v>
      </c>
      <c r="F1896" t="s">
        <v>2883</v>
      </c>
      <c r="G1896" t="s">
        <v>152</v>
      </c>
      <c r="H1896" t="s">
        <v>174</v>
      </c>
      <c r="I1896" t="s">
        <v>154</v>
      </c>
      <c r="J1896">
        <v>20190726</v>
      </c>
    </row>
    <row r="1897" spans="1:10">
      <c r="A1897" t="s">
        <v>1192</v>
      </c>
      <c r="B1897">
        <v>603688</v>
      </c>
      <c r="C1897" t="s">
        <v>1193</v>
      </c>
      <c r="D1897" t="s">
        <v>212</v>
      </c>
      <c r="E1897" t="s">
        <v>52</v>
      </c>
      <c r="F1897" t="s">
        <v>1194</v>
      </c>
      <c r="G1897" t="s">
        <v>152</v>
      </c>
      <c r="H1897" t="s">
        <v>174</v>
      </c>
      <c r="I1897" t="s">
        <v>154</v>
      </c>
      <c r="J1897">
        <v>20141031</v>
      </c>
    </row>
    <row r="1898" spans="1:10">
      <c r="A1898" t="s">
        <v>3697</v>
      </c>
      <c r="B1898">
        <v>603689</v>
      </c>
      <c r="C1898" t="s">
        <v>3698</v>
      </c>
      <c r="D1898" t="s">
        <v>160</v>
      </c>
      <c r="E1898" t="s">
        <v>91</v>
      </c>
      <c r="F1898" t="s">
        <v>3699</v>
      </c>
      <c r="G1898" t="s">
        <v>152</v>
      </c>
      <c r="H1898" t="s">
        <v>174</v>
      </c>
      <c r="I1898" t="s">
        <v>154</v>
      </c>
      <c r="J1898">
        <v>20170110</v>
      </c>
    </row>
    <row r="1899" spans="1:10">
      <c r="A1899" t="s">
        <v>1696</v>
      </c>
      <c r="B1899">
        <v>603690</v>
      </c>
      <c r="C1899" t="s">
        <v>1697</v>
      </c>
      <c r="D1899" t="s">
        <v>172</v>
      </c>
      <c r="E1899" t="s">
        <v>31</v>
      </c>
      <c r="F1899" t="s">
        <v>1698</v>
      </c>
      <c r="G1899" t="s">
        <v>152</v>
      </c>
      <c r="H1899" t="s">
        <v>174</v>
      </c>
      <c r="I1899" t="s">
        <v>154</v>
      </c>
      <c r="J1899">
        <v>20170113</v>
      </c>
    </row>
    <row r="1900" spans="1:10">
      <c r="A1900" t="s">
        <v>3700</v>
      </c>
      <c r="B1900">
        <v>603693</v>
      </c>
      <c r="C1900" t="s">
        <v>3701</v>
      </c>
      <c r="D1900" t="s">
        <v>212</v>
      </c>
      <c r="E1900" t="s">
        <v>82</v>
      </c>
      <c r="F1900" t="s">
        <v>3702</v>
      </c>
      <c r="G1900" t="s">
        <v>152</v>
      </c>
      <c r="H1900" t="s">
        <v>174</v>
      </c>
      <c r="I1900" t="s">
        <v>154</v>
      </c>
      <c r="J1900">
        <v>20180703</v>
      </c>
    </row>
    <row r="1901" spans="1:10">
      <c r="A1901" t="s">
        <v>2557</v>
      </c>
      <c r="B1901">
        <v>603696</v>
      </c>
      <c r="C1901" t="s">
        <v>2558</v>
      </c>
      <c r="D1901" t="s">
        <v>150</v>
      </c>
      <c r="E1901" t="s">
        <v>19</v>
      </c>
      <c r="F1901" t="s">
        <v>2559</v>
      </c>
      <c r="G1901" t="s">
        <v>152</v>
      </c>
      <c r="H1901" t="s">
        <v>174</v>
      </c>
      <c r="I1901" t="s">
        <v>154</v>
      </c>
      <c r="J1901">
        <v>20151209</v>
      </c>
    </row>
    <row r="1902" spans="1:10">
      <c r="A1902" t="s">
        <v>2560</v>
      </c>
      <c r="B1902">
        <v>603697</v>
      </c>
      <c r="C1902" t="s">
        <v>2561</v>
      </c>
      <c r="D1902" t="s">
        <v>937</v>
      </c>
      <c r="E1902" t="s">
        <v>19</v>
      </c>
      <c r="F1902" t="s">
        <v>2562</v>
      </c>
      <c r="G1902" t="s">
        <v>152</v>
      </c>
      <c r="H1902" t="s">
        <v>174</v>
      </c>
      <c r="I1902" t="s">
        <v>154</v>
      </c>
      <c r="J1902">
        <v>20190508</v>
      </c>
    </row>
    <row r="1903" spans="1:10">
      <c r="A1903" t="s">
        <v>5760</v>
      </c>
      <c r="B1903">
        <v>603698</v>
      </c>
      <c r="C1903" t="s">
        <v>5761</v>
      </c>
      <c r="D1903" t="s">
        <v>164</v>
      </c>
      <c r="E1903" t="s">
        <v>122</v>
      </c>
      <c r="F1903" t="s">
        <v>5762</v>
      </c>
      <c r="G1903" t="s">
        <v>152</v>
      </c>
      <c r="H1903" t="s">
        <v>174</v>
      </c>
      <c r="I1903" t="s">
        <v>154</v>
      </c>
      <c r="J1903">
        <v>20150128</v>
      </c>
    </row>
    <row r="1904" spans="1:10">
      <c r="A1904" t="s">
        <v>5763</v>
      </c>
      <c r="B1904">
        <v>603699</v>
      </c>
      <c r="C1904" t="s">
        <v>5764</v>
      </c>
      <c r="D1904" t="s">
        <v>212</v>
      </c>
      <c r="E1904" t="s">
        <v>135</v>
      </c>
      <c r="F1904" t="s">
        <v>5765</v>
      </c>
      <c r="G1904" t="s">
        <v>152</v>
      </c>
      <c r="H1904" t="s">
        <v>174</v>
      </c>
      <c r="I1904" t="s">
        <v>154</v>
      </c>
      <c r="J1904">
        <v>20140117</v>
      </c>
    </row>
    <row r="1905" spans="1:10">
      <c r="A1905" t="s">
        <v>1699</v>
      </c>
      <c r="B1905">
        <v>603700</v>
      </c>
      <c r="C1905" t="s">
        <v>1700</v>
      </c>
      <c r="D1905" t="s">
        <v>423</v>
      </c>
      <c r="E1905" t="s">
        <v>27</v>
      </c>
      <c r="F1905" t="s">
        <v>1701</v>
      </c>
      <c r="G1905" t="s">
        <v>152</v>
      </c>
      <c r="H1905" t="s">
        <v>174</v>
      </c>
      <c r="I1905" t="s">
        <v>154</v>
      </c>
      <c r="J1905">
        <v>20190122</v>
      </c>
    </row>
    <row r="1906" spans="1:10">
      <c r="A1906" t="s">
        <v>2125</v>
      </c>
      <c r="B1906">
        <v>603701</v>
      </c>
      <c r="C1906" t="s">
        <v>2126</v>
      </c>
      <c r="D1906" t="s">
        <v>423</v>
      </c>
      <c r="E1906" t="s">
        <v>28</v>
      </c>
      <c r="F1906" t="s">
        <v>2127</v>
      </c>
      <c r="G1906" t="s">
        <v>152</v>
      </c>
      <c r="H1906" t="s">
        <v>174</v>
      </c>
      <c r="I1906" t="s">
        <v>154</v>
      </c>
      <c r="J1906">
        <v>20160412</v>
      </c>
    </row>
    <row r="1907" spans="1:10">
      <c r="A1907" t="s">
        <v>6342</v>
      </c>
      <c r="B1907">
        <v>603703</v>
      </c>
      <c r="C1907" t="s">
        <v>6343</v>
      </c>
      <c r="D1907" t="s">
        <v>423</v>
      </c>
      <c r="E1907" t="s">
        <v>125</v>
      </c>
      <c r="F1907" t="s">
        <v>6344</v>
      </c>
      <c r="G1907" t="s">
        <v>152</v>
      </c>
      <c r="H1907" t="s">
        <v>174</v>
      </c>
      <c r="I1907" t="s">
        <v>154</v>
      </c>
      <c r="J1907">
        <v>20150423</v>
      </c>
    </row>
    <row r="1908" spans="1:10">
      <c r="A1908" t="s">
        <v>3703</v>
      </c>
      <c r="B1908">
        <v>603706</v>
      </c>
      <c r="C1908" t="s">
        <v>3704</v>
      </c>
      <c r="D1908" t="s">
        <v>202</v>
      </c>
      <c r="E1908" t="s">
        <v>91</v>
      </c>
      <c r="F1908" t="s">
        <v>3705</v>
      </c>
      <c r="G1908" t="s">
        <v>152</v>
      </c>
      <c r="H1908" t="s">
        <v>174</v>
      </c>
      <c r="I1908" t="s">
        <v>154</v>
      </c>
      <c r="J1908">
        <v>20180709</v>
      </c>
    </row>
    <row r="1909" spans="1:10">
      <c r="A1909" t="s">
        <v>3118</v>
      </c>
      <c r="B1909">
        <v>603707</v>
      </c>
      <c r="C1909" t="s">
        <v>3119</v>
      </c>
      <c r="D1909" t="s">
        <v>212</v>
      </c>
      <c r="E1909" t="s">
        <v>76</v>
      </c>
      <c r="F1909" t="s">
        <v>3120</v>
      </c>
      <c r="G1909" t="s">
        <v>152</v>
      </c>
      <c r="H1909" t="s">
        <v>174</v>
      </c>
      <c r="I1909" t="s">
        <v>154</v>
      </c>
      <c r="J1909">
        <v>20170719</v>
      </c>
    </row>
    <row r="1910" spans="1:10">
      <c r="A1910" t="s">
        <v>4602</v>
      </c>
      <c r="B1910">
        <v>603708</v>
      </c>
      <c r="C1910" t="s">
        <v>4603</v>
      </c>
      <c r="D1910" t="s">
        <v>198</v>
      </c>
      <c r="E1910" t="s">
        <v>54</v>
      </c>
      <c r="F1910" t="s">
        <v>4604</v>
      </c>
      <c r="G1910" t="s">
        <v>152</v>
      </c>
      <c r="H1910" t="s">
        <v>174</v>
      </c>
      <c r="I1910" t="s">
        <v>154</v>
      </c>
      <c r="J1910">
        <v>20161213</v>
      </c>
    </row>
    <row r="1911" spans="1:10">
      <c r="A1911" t="s">
        <v>2884</v>
      </c>
      <c r="B1911">
        <v>603709</v>
      </c>
      <c r="C1911" t="s">
        <v>2885</v>
      </c>
      <c r="D1911" t="s">
        <v>423</v>
      </c>
      <c r="E1911" t="s">
        <v>21</v>
      </c>
      <c r="F1911" t="s">
        <v>2886</v>
      </c>
      <c r="G1911" t="s">
        <v>152</v>
      </c>
      <c r="H1911" t="s">
        <v>174</v>
      </c>
      <c r="I1911" t="s">
        <v>154</v>
      </c>
      <c r="J1911">
        <v>20180208</v>
      </c>
    </row>
    <row r="1912" spans="1:10">
      <c r="A1912" t="s">
        <v>2563</v>
      </c>
      <c r="B1912">
        <v>603711</v>
      </c>
      <c r="C1912" t="s">
        <v>2564</v>
      </c>
      <c r="D1912" t="s">
        <v>423</v>
      </c>
      <c r="E1912" t="s">
        <v>29</v>
      </c>
      <c r="F1912" t="s">
        <v>2565</v>
      </c>
      <c r="G1912" t="s">
        <v>152</v>
      </c>
      <c r="H1912" t="s">
        <v>174</v>
      </c>
      <c r="I1912" t="s">
        <v>154</v>
      </c>
      <c r="J1912">
        <v>20171130</v>
      </c>
    </row>
    <row r="1913" spans="1:10">
      <c r="A1913" t="s">
        <v>6345</v>
      </c>
      <c r="B1913">
        <v>603712</v>
      </c>
      <c r="C1913" t="s">
        <v>6346</v>
      </c>
      <c r="D1913" t="s">
        <v>576</v>
      </c>
      <c r="E1913" t="s">
        <v>125</v>
      </c>
      <c r="F1913" t="s">
        <v>6347</v>
      </c>
      <c r="G1913" t="s">
        <v>152</v>
      </c>
      <c r="H1913" t="s">
        <v>174</v>
      </c>
      <c r="I1913" t="s">
        <v>154</v>
      </c>
      <c r="J1913">
        <v>20180226</v>
      </c>
    </row>
    <row r="1914" spans="1:10">
      <c r="A1914" t="s">
        <v>4096</v>
      </c>
      <c r="B1914">
        <v>603713</v>
      </c>
      <c r="C1914" t="s">
        <v>4097</v>
      </c>
      <c r="D1914" t="s">
        <v>172</v>
      </c>
      <c r="E1914" t="s">
        <v>50</v>
      </c>
      <c r="F1914" t="s">
        <v>4098</v>
      </c>
      <c r="G1914" t="s">
        <v>152</v>
      </c>
      <c r="H1914" t="s">
        <v>174</v>
      </c>
      <c r="I1914" t="s">
        <v>154</v>
      </c>
      <c r="J1914">
        <v>20180713</v>
      </c>
    </row>
    <row r="1915" spans="1:10">
      <c r="A1915" t="s">
        <v>3241</v>
      </c>
      <c r="B1915">
        <v>603716</v>
      </c>
      <c r="C1915" t="s">
        <v>3242</v>
      </c>
      <c r="D1915" t="s">
        <v>316</v>
      </c>
      <c r="E1915" t="s">
        <v>95</v>
      </c>
      <c r="F1915" t="s">
        <v>3243</v>
      </c>
      <c r="G1915" t="s">
        <v>152</v>
      </c>
      <c r="H1915" t="s">
        <v>174</v>
      </c>
      <c r="I1915" t="s">
        <v>154</v>
      </c>
      <c r="J1915">
        <v>20161031</v>
      </c>
    </row>
    <row r="1916" spans="1:10">
      <c r="A1916" t="s">
        <v>6639</v>
      </c>
      <c r="B1916">
        <v>603717</v>
      </c>
      <c r="C1916" t="s">
        <v>6640</v>
      </c>
      <c r="D1916" t="s">
        <v>937</v>
      </c>
      <c r="E1916" t="s">
        <v>119</v>
      </c>
      <c r="F1916" t="s">
        <v>6641</v>
      </c>
      <c r="G1916" t="s">
        <v>152</v>
      </c>
      <c r="H1916" t="s">
        <v>174</v>
      </c>
      <c r="I1916" t="s">
        <v>154</v>
      </c>
      <c r="J1916">
        <v>20170327</v>
      </c>
    </row>
    <row r="1917" spans="1:10">
      <c r="A1917" t="s">
        <v>294</v>
      </c>
      <c r="B1917">
        <v>603718</v>
      </c>
      <c r="C1917" t="s">
        <v>295</v>
      </c>
      <c r="D1917" t="s">
        <v>172</v>
      </c>
      <c r="E1917" t="s">
        <v>46</v>
      </c>
      <c r="F1917" t="s">
        <v>296</v>
      </c>
      <c r="G1917" t="s">
        <v>152</v>
      </c>
      <c r="H1917" t="s">
        <v>174</v>
      </c>
      <c r="I1917" t="s">
        <v>154</v>
      </c>
      <c r="J1917">
        <v>20150515</v>
      </c>
    </row>
    <row r="1918" spans="1:10">
      <c r="A1918" t="s">
        <v>2566</v>
      </c>
      <c r="B1918">
        <v>603719</v>
      </c>
      <c r="C1918" t="s">
        <v>2567</v>
      </c>
      <c r="D1918" t="s">
        <v>316</v>
      </c>
      <c r="E1918" t="s">
        <v>19</v>
      </c>
      <c r="F1918" t="s">
        <v>2568</v>
      </c>
      <c r="G1918" t="s">
        <v>152</v>
      </c>
      <c r="H1918" t="s">
        <v>174</v>
      </c>
      <c r="I1918" t="s">
        <v>154</v>
      </c>
      <c r="J1918">
        <v>20200224</v>
      </c>
    </row>
    <row r="1919" spans="1:10">
      <c r="A1919" t="s">
        <v>6102</v>
      </c>
      <c r="B1919">
        <v>603721</v>
      </c>
      <c r="C1919" t="s">
        <v>6103</v>
      </c>
      <c r="D1919" t="s">
        <v>168</v>
      </c>
      <c r="E1919" t="s">
        <v>124</v>
      </c>
      <c r="F1919" t="s">
        <v>6104</v>
      </c>
      <c r="G1919" t="s">
        <v>152</v>
      </c>
      <c r="H1919" t="s">
        <v>174</v>
      </c>
      <c r="I1919" t="s">
        <v>154</v>
      </c>
      <c r="J1919">
        <v>20170811</v>
      </c>
    </row>
    <row r="1920" spans="1:10">
      <c r="A1920" t="s">
        <v>734</v>
      </c>
      <c r="B1920">
        <v>603722</v>
      </c>
      <c r="C1920" t="s">
        <v>735</v>
      </c>
      <c r="D1920" t="s">
        <v>212</v>
      </c>
      <c r="E1920" t="s">
        <v>14</v>
      </c>
      <c r="F1920" t="s">
        <v>736</v>
      </c>
      <c r="G1920" t="s">
        <v>152</v>
      </c>
      <c r="H1920" t="s">
        <v>174</v>
      </c>
      <c r="I1920" t="s">
        <v>154</v>
      </c>
      <c r="J1920">
        <v>20171025</v>
      </c>
    </row>
    <row r="1921" spans="1:10">
      <c r="A1921" t="s">
        <v>737</v>
      </c>
      <c r="B1921">
        <v>603725</v>
      </c>
      <c r="C1921" t="s">
        <v>738</v>
      </c>
      <c r="D1921" t="s">
        <v>223</v>
      </c>
      <c r="E1921" t="s">
        <v>40</v>
      </c>
      <c r="F1921" t="s">
        <v>739</v>
      </c>
      <c r="G1921" t="s">
        <v>152</v>
      </c>
      <c r="H1921" t="s">
        <v>174</v>
      </c>
      <c r="I1921" t="s">
        <v>154</v>
      </c>
      <c r="J1921">
        <v>20170906</v>
      </c>
    </row>
    <row r="1922" spans="1:10">
      <c r="A1922" t="s">
        <v>2308</v>
      </c>
      <c r="B1922">
        <v>603726</v>
      </c>
      <c r="C1922" t="s">
        <v>2309</v>
      </c>
      <c r="D1922" t="s">
        <v>423</v>
      </c>
      <c r="E1922" t="s">
        <v>8</v>
      </c>
      <c r="F1922" t="s">
        <v>2310</v>
      </c>
      <c r="G1922" t="s">
        <v>152</v>
      </c>
      <c r="H1922" t="s">
        <v>174</v>
      </c>
      <c r="I1922" t="s">
        <v>154</v>
      </c>
      <c r="J1922">
        <v>20160421</v>
      </c>
    </row>
    <row r="1923" spans="1:10">
      <c r="A1923" t="s">
        <v>6528</v>
      </c>
      <c r="B1923">
        <v>603727</v>
      </c>
      <c r="C1923" t="s">
        <v>6529</v>
      </c>
      <c r="D1923" t="s">
        <v>576</v>
      </c>
      <c r="E1923" t="s">
        <v>118</v>
      </c>
      <c r="F1923" t="s">
        <v>6530</v>
      </c>
      <c r="G1923" t="s">
        <v>152</v>
      </c>
      <c r="H1923" t="s">
        <v>174</v>
      </c>
      <c r="I1923" t="s">
        <v>154</v>
      </c>
      <c r="J1923">
        <v>20161122</v>
      </c>
    </row>
    <row r="1924" spans="1:10">
      <c r="A1924" t="s">
        <v>1702</v>
      </c>
      <c r="B1924">
        <v>603728</v>
      </c>
      <c r="C1924" t="s">
        <v>1703</v>
      </c>
      <c r="D1924" t="s">
        <v>172</v>
      </c>
      <c r="E1924" t="s">
        <v>17</v>
      </c>
      <c r="F1924" t="s">
        <v>1704</v>
      </c>
      <c r="G1924" t="s">
        <v>152</v>
      </c>
      <c r="H1924" t="s">
        <v>174</v>
      </c>
      <c r="I1924" t="s">
        <v>154</v>
      </c>
      <c r="J1924">
        <v>20170509</v>
      </c>
    </row>
    <row r="1925" spans="1:10">
      <c r="A1925" t="s">
        <v>2887</v>
      </c>
      <c r="B1925">
        <v>603729</v>
      </c>
      <c r="C1925" t="s">
        <v>2888</v>
      </c>
      <c r="D1925" t="s">
        <v>172</v>
      </c>
      <c r="E1925" t="s">
        <v>37</v>
      </c>
      <c r="F1925" t="s">
        <v>2889</v>
      </c>
      <c r="G1925" t="s">
        <v>152</v>
      </c>
      <c r="H1925" t="s">
        <v>174</v>
      </c>
      <c r="I1925" t="s">
        <v>154</v>
      </c>
      <c r="J1925">
        <v>20150324</v>
      </c>
    </row>
    <row r="1926" spans="1:10">
      <c r="A1926" t="s">
        <v>2128</v>
      </c>
      <c r="B1926">
        <v>603730</v>
      </c>
      <c r="C1926" t="s">
        <v>2129</v>
      </c>
      <c r="D1926" t="s">
        <v>172</v>
      </c>
      <c r="E1926" t="s">
        <v>28</v>
      </c>
      <c r="F1926" t="s">
        <v>2130</v>
      </c>
      <c r="G1926" t="s">
        <v>152</v>
      </c>
      <c r="H1926" t="s">
        <v>174</v>
      </c>
      <c r="I1926" t="s">
        <v>154</v>
      </c>
      <c r="J1926">
        <v>20170728</v>
      </c>
    </row>
    <row r="1927" spans="1:10">
      <c r="A1927" t="s">
        <v>2890</v>
      </c>
      <c r="B1927">
        <v>603733</v>
      </c>
      <c r="C1927" t="s">
        <v>2891</v>
      </c>
      <c r="D1927" t="s">
        <v>423</v>
      </c>
      <c r="E1927" t="s">
        <v>30</v>
      </c>
      <c r="F1927" t="s">
        <v>2892</v>
      </c>
      <c r="G1927" t="s">
        <v>152</v>
      </c>
      <c r="H1927" t="s">
        <v>174</v>
      </c>
      <c r="I1927" t="s">
        <v>154</v>
      </c>
      <c r="J1927">
        <v>20180420</v>
      </c>
    </row>
    <row r="1928" spans="1:10">
      <c r="A1928" t="s">
        <v>5178</v>
      </c>
      <c r="B1928">
        <v>603737</v>
      </c>
      <c r="C1928" t="s">
        <v>5179</v>
      </c>
      <c r="D1928" t="s">
        <v>150</v>
      </c>
      <c r="E1928" t="s">
        <v>88</v>
      </c>
      <c r="F1928" t="s">
        <v>5180</v>
      </c>
      <c r="G1928" t="s">
        <v>152</v>
      </c>
      <c r="H1928" t="s">
        <v>174</v>
      </c>
      <c r="I1928" t="s">
        <v>154</v>
      </c>
      <c r="J1928">
        <v>20160603</v>
      </c>
    </row>
    <row r="1929" spans="1:10">
      <c r="A1929" t="s">
        <v>1705</v>
      </c>
      <c r="B1929">
        <v>603738</v>
      </c>
      <c r="C1929" t="s">
        <v>1706</v>
      </c>
      <c r="D1929" t="s">
        <v>316</v>
      </c>
      <c r="E1929" t="s">
        <v>42</v>
      </c>
      <c r="F1929" t="s">
        <v>1707</v>
      </c>
      <c r="G1929" t="s">
        <v>152</v>
      </c>
      <c r="H1929" t="s">
        <v>174</v>
      </c>
      <c r="I1929" t="s">
        <v>154</v>
      </c>
      <c r="J1929">
        <v>20160928</v>
      </c>
    </row>
    <row r="1930" spans="1:10">
      <c r="A1930" t="s">
        <v>297</v>
      </c>
      <c r="B1930">
        <v>603739</v>
      </c>
      <c r="C1930" t="s">
        <v>298</v>
      </c>
      <c r="D1930" t="s">
        <v>198</v>
      </c>
      <c r="E1930" t="s">
        <v>46</v>
      </c>
      <c r="F1930" t="s">
        <v>299</v>
      </c>
      <c r="G1930" t="s">
        <v>152</v>
      </c>
      <c r="H1930" t="s">
        <v>174</v>
      </c>
      <c r="I1930" t="s">
        <v>154</v>
      </c>
      <c r="J1930">
        <v>20190116</v>
      </c>
    </row>
    <row r="1931" spans="1:10">
      <c r="A1931" t="s">
        <v>2569</v>
      </c>
      <c r="B1931">
        <v>603755</v>
      </c>
      <c r="C1931" t="s">
        <v>2570</v>
      </c>
      <c r="D1931" t="s">
        <v>198</v>
      </c>
      <c r="E1931" t="s">
        <v>19</v>
      </c>
      <c r="F1931" t="s">
        <v>2571</v>
      </c>
      <c r="G1931" t="s">
        <v>152</v>
      </c>
      <c r="H1931" t="s">
        <v>174</v>
      </c>
      <c r="I1931" t="s">
        <v>154</v>
      </c>
      <c r="J1931">
        <v>20190828</v>
      </c>
    </row>
    <row r="1932" spans="1:10">
      <c r="A1932" t="s">
        <v>5766</v>
      </c>
      <c r="B1932">
        <v>603757</v>
      </c>
      <c r="C1932" t="s">
        <v>5767</v>
      </c>
      <c r="D1932" t="s">
        <v>423</v>
      </c>
      <c r="E1932" t="s">
        <v>135</v>
      </c>
      <c r="F1932" t="s">
        <v>5768</v>
      </c>
      <c r="G1932" t="s">
        <v>152</v>
      </c>
      <c r="H1932" t="s">
        <v>174</v>
      </c>
      <c r="I1932" t="s">
        <v>154</v>
      </c>
      <c r="J1932">
        <v>20170711</v>
      </c>
    </row>
    <row r="1933" spans="1:10">
      <c r="A1933" t="s">
        <v>2131</v>
      </c>
      <c r="B1933">
        <v>603758</v>
      </c>
      <c r="C1933" t="s">
        <v>2132</v>
      </c>
      <c r="D1933" t="s">
        <v>937</v>
      </c>
      <c r="E1933" t="s">
        <v>28</v>
      </c>
      <c r="F1933" t="s">
        <v>2133</v>
      </c>
      <c r="G1933" t="s">
        <v>152</v>
      </c>
      <c r="H1933" t="s">
        <v>174</v>
      </c>
      <c r="I1933" t="s">
        <v>154</v>
      </c>
      <c r="J1933">
        <v>20170517</v>
      </c>
    </row>
    <row r="1934" spans="1:10">
      <c r="A1934" t="s">
        <v>3706</v>
      </c>
      <c r="B1934">
        <v>603759</v>
      </c>
      <c r="C1934" t="s">
        <v>3707</v>
      </c>
      <c r="D1934" t="s">
        <v>219</v>
      </c>
      <c r="E1934" t="s">
        <v>96</v>
      </c>
      <c r="F1934" t="s">
        <v>3708</v>
      </c>
      <c r="G1934" t="s">
        <v>152</v>
      </c>
      <c r="H1934" t="s">
        <v>174</v>
      </c>
      <c r="I1934" t="s">
        <v>154</v>
      </c>
      <c r="J1934">
        <v>20210326</v>
      </c>
    </row>
    <row r="1935" spans="1:10">
      <c r="A1935" t="s">
        <v>2134</v>
      </c>
      <c r="B1935">
        <v>603766</v>
      </c>
      <c r="C1935" t="s">
        <v>2135</v>
      </c>
      <c r="D1935" t="s">
        <v>937</v>
      </c>
      <c r="E1935" t="s">
        <v>43</v>
      </c>
      <c r="F1935" t="s">
        <v>2136</v>
      </c>
      <c r="G1935" t="s">
        <v>152</v>
      </c>
      <c r="H1935" t="s">
        <v>174</v>
      </c>
      <c r="I1935" t="s">
        <v>154</v>
      </c>
      <c r="J1935">
        <v>20120810</v>
      </c>
    </row>
    <row r="1936" spans="1:10">
      <c r="A1936" t="s">
        <v>2137</v>
      </c>
      <c r="B1936">
        <v>603767</v>
      </c>
      <c r="C1936" t="s">
        <v>2138</v>
      </c>
      <c r="D1936" t="s">
        <v>423</v>
      </c>
      <c r="E1936" t="s">
        <v>28</v>
      </c>
      <c r="F1936" t="s">
        <v>2139</v>
      </c>
      <c r="G1936" t="s">
        <v>152</v>
      </c>
      <c r="H1936" t="s">
        <v>174</v>
      </c>
      <c r="I1936" t="s">
        <v>154</v>
      </c>
      <c r="J1936">
        <v>20170613</v>
      </c>
    </row>
    <row r="1937" spans="1:10">
      <c r="A1937" t="s">
        <v>2140</v>
      </c>
      <c r="B1937">
        <v>603768</v>
      </c>
      <c r="C1937" t="s">
        <v>2141</v>
      </c>
      <c r="D1937" t="s">
        <v>160</v>
      </c>
      <c r="E1937" t="s">
        <v>28</v>
      </c>
      <c r="F1937" t="s">
        <v>2142</v>
      </c>
      <c r="G1937" t="s">
        <v>152</v>
      </c>
      <c r="H1937" t="s">
        <v>174</v>
      </c>
      <c r="I1937" t="s">
        <v>154</v>
      </c>
      <c r="J1937">
        <v>20170324</v>
      </c>
    </row>
    <row r="1938" spans="1:10">
      <c r="A1938" t="s">
        <v>1708</v>
      </c>
      <c r="B1938">
        <v>603773</v>
      </c>
      <c r="C1938" t="s">
        <v>1709</v>
      </c>
      <c r="D1938" t="s">
        <v>406</v>
      </c>
      <c r="E1938" t="s">
        <v>42</v>
      </c>
      <c r="F1938" t="s">
        <v>1710</v>
      </c>
      <c r="G1938" t="s">
        <v>152</v>
      </c>
      <c r="H1938" t="s">
        <v>174</v>
      </c>
      <c r="I1938" t="s">
        <v>154</v>
      </c>
      <c r="J1938">
        <v>20180417</v>
      </c>
    </row>
    <row r="1939" spans="1:10">
      <c r="A1939" t="s">
        <v>4099</v>
      </c>
      <c r="B1939">
        <v>603776</v>
      </c>
      <c r="C1939" t="s">
        <v>4100</v>
      </c>
      <c r="D1939" t="s">
        <v>212</v>
      </c>
      <c r="E1939" t="s">
        <v>69</v>
      </c>
      <c r="F1939" t="s">
        <v>4101</v>
      </c>
      <c r="G1939" t="s">
        <v>152</v>
      </c>
      <c r="H1939" t="s">
        <v>174</v>
      </c>
      <c r="I1939" t="s">
        <v>154</v>
      </c>
      <c r="J1939">
        <v>20170817</v>
      </c>
    </row>
    <row r="1940" spans="1:10">
      <c r="A1940" t="s">
        <v>2572</v>
      </c>
      <c r="B1940">
        <v>603777</v>
      </c>
      <c r="C1940" t="s">
        <v>2573</v>
      </c>
      <c r="D1940" t="s">
        <v>172</v>
      </c>
      <c r="E1940" t="s">
        <v>19</v>
      </c>
      <c r="F1940" t="s">
        <v>2574</v>
      </c>
      <c r="G1940" t="s">
        <v>152</v>
      </c>
      <c r="H1940" t="s">
        <v>174</v>
      </c>
      <c r="I1940" t="s">
        <v>154</v>
      </c>
      <c r="J1940">
        <v>20161012</v>
      </c>
    </row>
    <row r="1941" spans="1:10">
      <c r="A1941" t="s">
        <v>5370</v>
      </c>
      <c r="B1941">
        <v>603778</v>
      </c>
      <c r="C1941" t="s">
        <v>5371</v>
      </c>
      <c r="D1941" t="s">
        <v>164</v>
      </c>
      <c r="E1941" t="s">
        <v>121</v>
      </c>
      <c r="F1941" t="s">
        <v>5372</v>
      </c>
      <c r="G1941" t="s">
        <v>152</v>
      </c>
      <c r="H1941" t="s">
        <v>174</v>
      </c>
      <c r="I1941" t="s">
        <v>154</v>
      </c>
      <c r="J1941">
        <v>20151231</v>
      </c>
    </row>
    <row r="1942" spans="1:10">
      <c r="A1942" t="s">
        <v>2575</v>
      </c>
      <c r="B1942">
        <v>603779</v>
      </c>
      <c r="C1942" t="s">
        <v>2576</v>
      </c>
      <c r="D1942" t="s">
        <v>198</v>
      </c>
      <c r="E1942" t="s">
        <v>44</v>
      </c>
      <c r="F1942" t="s">
        <v>2577</v>
      </c>
      <c r="G1942" t="s">
        <v>152</v>
      </c>
      <c r="H1942" t="s">
        <v>174</v>
      </c>
      <c r="I1942" t="s">
        <v>154</v>
      </c>
      <c r="J1942">
        <v>20160516</v>
      </c>
    </row>
    <row r="1943" spans="1:10">
      <c r="A1943" t="s">
        <v>2143</v>
      </c>
      <c r="B1943">
        <v>603786</v>
      </c>
      <c r="C1943" t="s">
        <v>2144</v>
      </c>
      <c r="D1943" t="s">
        <v>172</v>
      </c>
      <c r="E1943" t="s">
        <v>28</v>
      </c>
      <c r="F1943" t="s">
        <v>2145</v>
      </c>
      <c r="G1943" t="s">
        <v>152</v>
      </c>
      <c r="H1943" t="s">
        <v>174</v>
      </c>
      <c r="I1943" t="s">
        <v>154</v>
      </c>
      <c r="J1943">
        <v>20191015</v>
      </c>
    </row>
    <row r="1944" spans="1:10">
      <c r="A1944" t="s">
        <v>2146</v>
      </c>
      <c r="B1944">
        <v>603787</v>
      </c>
      <c r="C1944" t="s">
        <v>2147</v>
      </c>
      <c r="D1944" t="s">
        <v>212</v>
      </c>
      <c r="E1944" t="s">
        <v>43</v>
      </c>
      <c r="F1944" t="s">
        <v>2148</v>
      </c>
      <c r="G1944" t="s">
        <v>152</v>
      </c>
      <c r="H1944" t="s">
        <v>174</v>
      </c>
      <c r="I1944" t="s">
        <v>154</v>
      </c>
      <c r="J1944">
        <v>20170427</v>
      </c>
    </row>
    <row r="1945" spans="1:10">
      <c r="A1945" t="s">
        <v>2149</v>
      </c>
      <c r="B1945">
        <v>603788</v>
      </c>
      <c r="C1945" t="s">
        <v>2150</v>
      </c>
      <c r="D1945" t="s">
        <v>423</v>
      </c>
      <c r="E1945" t="s">
        <v>28</v>
      </c>
      <c r="F1945" t="s">
        <v>2151</v>
      </c>
      <c r="G1945" t="s">
        <v>152</v>
      </c>
      <c r="H1945" t="s">
        <v>174</v>
      </c>
      <c r="I1945" t="s">
        <v>154</v>
      </c>
      <c r="J1945">
        <v>20150120</v>
      </c>
    </row>
    <row r="1946" spans="1:10">
      <c r="A1946" t="s">
        <v>5769</v>
      </c>
      <c r="B1946">
        <v>603789</v>
      </c>
      <c r="C1946" t="s">
        <v>5770</v>
      </c>
      <c r="D1946" t="s">
        <v>423</v>
      </c>
      <c r="E1946" t="s">
        <v>133</v>
      </c>
      <c r="F1946" t="s">
        <v>5771</v>
      </c>
      <c r="G1946" t="s">
        <v>152</v>
      </c>
      <c r="H1946" t="s">
        <v>174</v>
      </c>
      <c r="I1946" t="s">
        <v>154</v>
      </c>
      <c r="J1946">
        <v>20150427</v>
      </c>
    </row>
    <row r="1947" spans="1:10">
      <c r="A1947" t="s">
        <v>5181</v>
      </c>
      <c r="B1947">
        <v>603790</v>
      </c>
      <c r="C1947" t="s">
        <v>5182</v>
      </c>
      <c r="D1947" t="s">
        <v>172</v>
      </c>
      <c r="E1947" t="s">
        <v>88</v>
      </c>
      <c r="F1947" t="s">
        <v>5183</v>
      </c>
      <c r="G1947" t="s">
        <v>152</v>
      </c>
      <c r="H1947" t="s">
        <v>174</v>
      </c>
      <c r="I1947" t="s">
        <v>154</v>
      </c>
      <c r="J1947">
        <v>20180912</v>
      </c>
    </row>
    <row r="1948" spans="1:10">
      <c r="A1948" t="s">
        <v>6642</v>
      </c>
      <c r="B1948">
        <v>603797</v>
      </c>
      <c r="C1948" t="s">
        <v>6643</v>
      </c>
      <c r="D1948" t="s">
        <v>223</v>
      </c>
      <c r="E1948" t="s">
        <v>119</v>
      </c>
      <c r="F1948" t="s">
        <v>6644</v>
      </c>
      <c r="G1948" t="s">
        <v>152</v>
      </c>
      <c r="H1948" t="s">
        <v>174</v>
      </c>
      <c r="I1948" t="s">
        <v>154</v>
      </c>
      <c r="J1948">
        <v>20170413</v>
      </c>
    </row>
    <row r="1949" spans="1:10">
      <c r="A1949" t="s">
        <v>6531</v>
      </c>
      <c r="B1949">
        <v>603798</v>
      </c>
      <c r="C1949" t="s">
        <v>6532</v>
      </c>
      <c r="D1949" t="s">
        <v>198</v>
      </c>
      <c r="E1949" t="s">
        <v>130</v>
      </c>
      <c r="F1949" t="s">
        <v>6533</v>
      </c>
      <c r="G1949" t="s">
        <v>152</v>
      </c>
      <c r="H1949" t="s">
        <v>174</v>
      </c>
      <c r="I1949" t="s">
        <v>154</v>
      </c>
      <c r="J1949">
        <v>20160406</v>
      </c>
    </row>
    <row r="1950" spans="1:10">
      <c r="A1950" t="s">
        <v>1195</v>
      </c>
      <c r="B1950">
        <v>603799</v>
      </c>
      <c r="C1950" t="s">
        <v>1196</v>
      </c>
      <c r="D1950" t="s">
        <v>423</v>
      </c>
      <c r="E1950" t="s">
        <v>41</v>
      </c>
      <c r="F1950" t="s">
        <v>1197</v>
      </c>
      <c r="G1950" t="s">
        <v>152</v>
      </c>
      <c r="H1950" t="s">
        <v>174</v>
      </c>
      <c r="I1950" t="s">
        <v>154</v>
      </c>
      <c r="J1950">
        <v>20150129</v>
      </c>
    </row>
    <row r="1951" spans="1:10">
      <c r="A1951" t="s">
        <v>5772</v>
      </c>
      <c r="B1951">
        <v>603800</v>
      </c>
      <c r="C1951" t="s">
        <v>5773</v>
      </c>
      <c r="D1951" t="s">
        <v>212</v>
      </c>
      <c r="E1951" t="s">
        <v>122</v>
      </c>
      <c r="F1951" t="s">
        <v>5774</v>
      </c>
      <c r="G1951" t="s">
        <v>152</v>
      </c>
      <c r="H1951" t="s">
        <v>174</v>
      </c>
      <c r="I1951" t="s">
        <v>154</v>
      </c>
      <c r="J1951">
        <v>20151210</v>
      </c>
    </row>
    <row r="1952" spans="1:10">
      <c r="A1952" t="s">
        <v>2893</v>
      </c>
      <c r="B1952">
        <v>603801</v>
      </c>
      <c r="C1952" t="s">
        <v>2894</v>
      </c>
      <c r="D1952" t="s">
        <v>160</v>
      </c>
      <c r="E1952" t="s">
        <v>21</v>
      </c>
      <c r="F1952" t="s">
        <v>2895</v>
      </c>
      <c r="G1952" t="s">
        <v>152</v>
      </c>
      <c r="H1952" t="s">
        <v>174</v>
      </c>
      <c r="I1952" t="s">
        <v>154</v>
      </c>
      <c r="J1952">
        <v>20170630</v>
      </c>
    </row>
    <row r="1953" spans="1:10">
      <c r="A1953" t="s">
        <v>6348</v>
      </c>
      <c r="B1953">
        <v>603803</v>
      </c>
      <c r="C1953" t="s">
        <v>6349</v>
      </c>
      <c r="D1953" t="s">
        <v>164</v>
      </c>
      <c r="E1953" t="s">
        <v>125</v>
      </c>
      <c r="F1953" t="s">
        <v>6350</v>
      </c>
      <c r="G1953" t="s">
        <v>152</v>
      </c>
      <c r="H1953" t="s">
        <v>174</v>
      </c>
      <c r="I1953" t="s">
        <v>154</v>
      </c>
      <c r="J1953">
        <v>20170420</v>
      </c>
    </row>
    <row r="1954" spans="1:10">
      <c r="A1954" t="s">
        <v>740</v>
      </c>
      <c r="B1954">
        <v>603806</v>
      </c>
      <c r="C1954" t="s">
        <v>741</v>
      </c>
      <c r="D1954" t="s">
        <v>423</v>
      </c>
      <c r="E1954" t="s">
        <v>40</v>
      </c>
      <c r="F1954" t="s">
        <v>742</v>
      </c>
      <c r="G1954" t="s">
        <v>152</v>
      </c>
      <c r="H1954" t="s">
        <v>174</v>
      </c>
      <c r="I1954" t="s">
        <v>154</v>
      </c>
      <c r="J1954">
        <v>20140905</v>
      </c>
    </row>
    <row r="1955" spans="1:10">
      <c r="A1955" t="s">
        <v>2695</v>
      </c>
      <c r="B1955">
        <v>603808</v>
      </c>
      <c r="C1955" t="s">
        <v>2696</v>
      </c>
      <c r="D1955" t="s">
        <v>243</v>
      </c>
      <c r="E1955" t="s">
        <v>20</v>
      </c>
      <c r="F1955" t="s">
        <v>2697</v>
      </c>
      <c r="G1955" t="s">
        <v>152</v>
      </c>
      <c r="H1955" t="s">
        <v>174</v>
      </c>
      <c r="I1955" t="s">
        <v>154</v>
      </c>
      <c r="J1955">
        <v>20150422</v>
      </c>
    </row>
    <row r="1956" spans="1:10">
      <c r="A1956" t="s">
        <v>2152</v>
      </c>
      <c r="B1956">
        <v>603809</v>
      </c>
      <c r="C1956" t="s">
        <v>2153</v>
      </c>
      <c r="D1956" t="s">
        <v>219</v>
      </c>
      <c r="E1956" t="s">
        <v>28</v>
      </c>
      <c r="F1956" t="s">
        <v>2154</v>
      </c>
      <c r="G1956" t="s">
        <v>152</v>
      </c>
      <c r="H1956" t="s">
        <v>174</v>
      </c>
      <c r="I1956" t="s">
        <v>154</v>
      </c>
      <c r="J1956">
        <v>20171128</v>
      </c>
    </row>
    <row r="1957" spans="1:10">
      <c r="A1957" t="s">
        <v>743</v>
      </c>
      <c r="B1957">
        <v>603810</v>
      </c>
      <c r="C1957" t="s">
        <v>744</v>
      </c>
      <c r="D1957" t="s">
        <v>212</v>
      </c>
      <c r="E1957" t="s">
        <v>47</v>
      </c>
      <c r="F1957" t="s">
        <v>745</v>
      </c>
      <c r="G1957" t="s">
        <v>152</v>
      </c>
      <c r="H1957" t="s">
        <v>174</v>
      </c>
      <c r="I1957" t="s">
        <v>154</v>
      </c>
      <c r="J1957">
        <v>20180917</v>
      </c>
    </row>
    <row r="1958" spans="1:10">
      <c r="A1958" t="s">
        <v>3076</v>
      </c>
      <c r="B1958">
        <v>603811</v>
      </c>
      <c r="C1958" t="s">
        <v>3077</v>
      </c>
      <c r="D1958" t="s">
        <v>423</v>
      </c>
      <c r="E1958" t="s">
        <v>81</v>
      </c>
      <c r="F1958" t="s">
        <v>3078</v>
      </c>
      <c r="G1958" t="s">
        <v>152</v>
      </c>
      <c r="H1958" t="s">
        <v>174</v>
      </c>
      <c r="I1958" t="s">
        <v>154</v>
      </c>
      <c r="J1958">
        <v>20170315</v>
      </c>
    </row>
    <row r="1959" spans="1:10">
      <c r="A1959" t="s">
        <v>4102</v>
      </c>
      <c r="B1959">
        <v>603813</v>
      </c>
      <c r="C1959" t="s">
        <v>4103</v>
      </c>
      <c r="D1959" t="s">
        <v>223</v>
      </c>
      <c r="E1959" t="s">
        <v>50</v>
      </c>
      <c r="F1959" t="s">
        <v>4104</v>
      </c>
      <c r="G1959" t="s">
        <v>152</v>
      </c>
      <c r="H1959" t="s">
        <v>174</v>
      </c>
      <c r="I1959" t="s">
        <v>154</v>
      </c>
      <c r="J1959">
        <v>20170918</v>
      </c>
    </row>
    <row r="1960" spans="1:10">
      <c r="A1960" t="s">
        <v>5373</v>
      </c>
      <c r="B1960">
        <v>603815</v>
      </c>
      <c r="C1960" t="s">
        <v>5374</v>
      </c>
      <c r="D1960" t="s">
        <v>160</v>
      </c>
      <c r="E1960" t="s">
        <v>121</v>
      </c>
      <c r="F1960" t="s">
        <v>5375</v>
      </c>
      <c r="G1960" t="s">
        <v>152</v>
      </c>
      <c r="H1960" t="s">
        <v>174</v>
      </c>
      <c r="I1960" t="s">
        <v>154</v>
      </c>
      <c r="J1960">
        <v>20191021</v>
      </c>
    </row>
    <row r="1961" spans="1:10">
      <c r="A1961" t="s">
        <v>2896</v>
      </c>
      <c r="B1961">
        <v>603816</v>
      </c>
      <c r="C1961" t="s">
        <v>2897</v>
      </c>
      <c r="D1961" t="s">
        <v>423</v>
      </c>
      <c r="E1961" t="s">
        <v>21</v>
      </c>
      <c r="F1961" t="s">
        <v>2898</v>
      </c>
      <c r="G1961" t="s">
        <v>152</v>
      </c>
      <c r="H1961" t="s">
        <v>174</v>
      </c>
      <c r="I1961" t="s">
        <v>154</v>
      </c>
      <c r="J1961">
        <v>20161014</v>
      </c>
    </row>
    <row r="1962" spans="1:10">
      <c r="A1962" t="s">
        <v>6645</v>
      </c>
      <c r="B1962">
        <v>603817</v>
      </c>
      <c r="C1962" t="s">
        <v>6646</v>
      </c>
      <c r="D1962" t="s">
        <v>150</v>
      </c>
      <c r="E1962" t="s">
        <v>119</v>
      </c>
      <c r="F1962" t="s">
        <v>6647</v>
      </c>
      <c r="G1962" t="s">
        <v>152</v>
      </c>
      <c r="H1962" t="s">
        <v>174</v>
      </c>
      <c r="I1962" t="s">
        <v>154</v>
      </c>
      <c r="J1962">
        <v>20170220</v>
      </c>
    </row>
    <row r="1963" spans="1:10">
      <c r="A1963" t="s">
        <v>2899</v>
      </c>
      <c r="B1963">
        <v>603818</v>
      </c>
      <c r="C1963" t="s">
        <v>2900</v>
      </c>
      <c r="D1963" t="s">
        <v>164</v>
      </c>
      <c r="E1963" t="s">
        <v>21</v>
      </c>
      <c r="F1963" t="s">
        <v>2901</v>
      </c>
      <c r="G1963" t="s">
        <v>152</v>
      </c>
      <c r="H1963" t="s">
        <v>174</v>
      </c>
      <c r="I1963" t="s">
        <v>154</v>
      </c>
      <c r="J1963">
        <v>20150422</v>
      </c>
    </row>
    <row r="1964" spans="1:10">
      <c r="A1964" t="s">
        <v>1711</v>
      </c>
      <c r="B1964">
        <v>603819</v>
      </c>
      <c r="C1964" t="s">
        <v>1712</v>
      </c>
      <c r="D1964" t="s">
        <v>212</v>
      </c>
      <c r="E1964" t="s">
        <v>17</v>
      </c>
      <c r="F1964" t="s">
        <v>1713</v>
      </c>
      <c r="G1964" t="s">
        <v>152</v>
      </c>
      <c r="H1964" t="s">
        <v>174</v>
      </c>
      <c r="I1964" t="s">
        <v>154</v>
      </c>
      <c r="J1964">
        <v>20161125</v>
      </c>
    </row>
    <row r="1965" spans="1:10">
      <c r="A1965" t="s">
        <v>746</v>
      </c>
      <c r="B1965">
        <v>603822</v>
      </c>
      <c r="C1965" t="s">
        <v>747</v>
      </c>
      <c r="D1965" t="s">
        <v>423</v>
      </c>
      <c r="E1965" t="s">
        <v>14</v>
      </c>
      <c r="F1965" t="s">
        <v>748</v>
      </c>
      <c r="G1965" t="s">
        <v>152</v>
      </c>
      <c r="H1965" t="s">
        <v>174</v>
      </c>
      <c r="I1965" t="s">
        <v>154</v>
      </c>
      <c r="J1965">
        <v>20160428</v>
      </c>
    </row>
    <row r="1966" spans="1:10">
      <c r="A1966" t="s">
        <v>5184</v>
      </c>
      <c r="B1966">
        <v>603823</v>
      </c>
      <c r="C1966" t="s">
        <v>5185</v>
      </c>
      <c r="D1966" t="s">
        <v>423</v>
      </c>
      <c r="E1966" t="s">
        <v>88</v>
      </c>
      <c r="F1966" t="s">
        <v>5186</v>
      </c>
      <c r="G1966" t="s">
        <v>152</v>
      </c>
      <c r="H1966" t="s">
        <v>174</v>
      </c>
      <c r="I1966" t="s">
        <v>154</v>
      </c>
      <c r="J1966">
        <v>20161220</v>
      </c>
    </row>
    <row r="1967" spans="1:10">
      <c r="A1967" t="s">
        <v>6003</v>
      </c>
      <c r="B1967">
        <v>603825</v>
      </c>
      <c r="C1967" t="s">
        <v>6004</v>
      </c>
      <c r="D1967" t="s">
        <v>164</v>
      </c>
      <c r="E1967" t="s">
        <v>116</v>
      </c>
      <c r="F1967" t="s">
        <v>6005</v>
      </c>
      <c r="G1967" t="s">
        <v>152</v>
      </c>
      <c r="H1967" t="s">
        <v>174</v>
      </c>
      <c r="I1967" t="s">
        <v>154</v>
      </c>
      <c r="J1967">
        <v>20170802</v>
      </c>
    </row>
    <row r="1968" spans="1:10">
      <c r="A1968" t="s">
        <v>5187</v>
      </c>
      <c r="B1968">
        <v>603826</v>
      </c>
      <c r="C1968" t="s">
        <v>5188</v>
      </c>
      <c r="D1968" t="s">
        <v>150</v>
      </c>
      <c r="E1968" t="s">
        <v>88</v>
      </c>
      <c r="F1968" t="s">
        <v>5189</v>
      </c>
      <c r="G1968" t="s">
        <v>152</v>
      </c>
      <c r="H1968" t="s">
        <v>174</v>
      </c>
      <c r="I1968" t="s">
        <v>154</v>
      </c>
      <c r="J1968">
        <v>20170414</v>
      </c>
    </row>
    <row r="1969" spans="1:10">
      <c r="A1969" t="s">
        <v>5376</v>
      </c>
      <c r="B1969">
        <v>603828</v>
      </c>
      <c r="C1969" t="s">
        <v>5377</v>
      </c>
      <c r="D1969" t="s">
        <v>212</v>
      </c>
      <c r="E1969" t="s">
        <v>115</v>
      </c>
      <c r="F1969" t="s">
        <v>5378</v>
      </c>
      <c r="G1969" t="s">
        <v>152</v>
      </c>
      <c r="H1969" t="s">
        <v>174</v>
      </c>
      <c r="I1969" t="s">
        <v>154</v>
      </c>
      <c r="J1969">
        <v>20150226</v>
      </c>
    </row>
    <row r="1970" spans="1:10">
      <c r="A1970" t="s">
        <v>1714</v>
      </c>
      <c r="B1970">
        <v>603829</v>
      </c>
      <c r="C1970" t="s">
        <v>1715</v>
      </c>
      <c r="D1970" t="s">
        <v>212</v>
      </c>
      <c r="E1970" t="s">
        <v>17</v>
      </c>
      <c r="F1970" t="s">
        <v>1716</v>
      </c>
      <c r="G1970" t="s">
        <v>152</v>
      </c>
      <c r="H1970" t="s">
        <v>174</v>
      </c>
      <c r="I1970" t="s">
        <v>154</v>
      </c>
      <c r="J1970">
        <v>20171017</v>
      </c>
    </row>
    <row r="1971" spans="1:10">
      <c r="A1971" t="s">
        <v>2902</v>
      </c>
      <c r="B1971">
        <v>603833</v>
      </c>
      <c r="C1971" t="s">
        <v>2903</v>
      </c>
      <c r="D1971" t="s">
        <v>223</v>
      </c>
      <c r="E1971" t="s">
        <v>21</v>
      </c>
      <c r="F1971" t="s">
        <v>2904</v>
      </c>
      <c r="G1971" t="s">
        <v>152</v>
      </c>
      <c r="H1971" t="s">
        <v>174</v>
      </c>
      <c r="I1971" t="s">
        <v>154</v>
      </c>
      <c r="J1971">
        <v>20170328</v>
      </c>
    </row>
    <row r="1972" spans="1:10">
      <c r="A1972" t="s">
        <v>4105</v>
      </c>
      <c r="B1972">
        <v>603836</v>
      </c>
      <c r="C1972" t="s">
        <v>4106</v>
      </c>
      <c r="D1972" t="s">
        <v>198</v>
      </c>
      <c r="E1972" t="s">
        <v>50</v>
      </c>
      <c r="F1972" t="s">
        <v>4107</v>
      </c>
      <c r="G1972" t="s">
        <v>152</v>
      </c>
      <c r="H1972" t="s">
        <v>174</v>
      </c>
      <c r="I1972" t="s">
        <v>154</v>
      </c>
      <c r="J1972">
        <v>20210526</v>
      </c>
    </row>
    <row r="1973" spans="1:10">
      <c r="A1973" t="s">
        <v>2905</v>
      </c>
      <c r="B1973">
        <v>603838</v>
      </c>
      <c r="C1973" t="s">
        <v>2906</v>
      </c>
      <c r="D1973" t="s">
        <v>223</v>
      </c>
      <c r="E1973" t="s">
        <v>21</v>
      </c>
      <c r="F1973" t="s">
        <v>2907</v>
      </c>
      <c r="G1973" t="s">
        <v>152</v>
      </c>
      <c r="H1973" t="s">
        <v>174</v>
      </c>
      <c r="I1973" t="s">
        <v>154</v>
      </c>
      <c r="J1973">
        <v>20150701</v>
      </c>
    </row>
    <row r="1974" spans="1:10">
      <c r="A1974" t="s">
        <v>2698</v>
      </c>
      <c r="B1974">
        <v>603839</v>
      </c>
      <c r="C1974" t="s">
        <v>2699</v>
      </c>
      <c r="D1974" t="s">
        <v>423</v>
      </c>
      <c r="E1974" t="s">
        <v>20</v>
      </c>
      <c r="F1974" t="s">
        <v>2700</v>
      </c>
      <c r="G1974" t="s">
        <v>152</v>
      </c>
      <c r="H1974" t="s">
        <v>174</v>
      </c>
      <c r="I1974" t="s">
        <v>154</v>
      </c>
      <c r="J1974">
        <v>20170214</v>
      </c>
    </row>
    <row r="1975" spans="1:10">
      <c r="A1975" t="s">
        <v>5379</v>
      </c>
      <c r="B1975">
        <v>603843</v>
      </c>
      <c r="C1975" t="s">
        <v>5380</v>
      </c>
      <c r="D1975" t="s">
        <v>308</v>
      </c>
      <c r="E1975" t="s">
        <v>121</v>
      </c>
      <c r="F1975" t="s">
        <v>5381</v>
      </c>
      <c r="G1975" t="s">
        <v>152</v>
      </c>
      <c r="H1975" t="s">
        <v>174</v>
      </c>
      <c r="I1975" t="s">
        <v>154</v>
      </c>
      <c r="J1975">
        <v>20160905</v>
      </c>
    </row>
    <row r="1976" spans="1:10">
      <c r="A1976" t="s">
        <v>2908</v>
      </c>
      <c r="B1976">
        <v>603848</v>
      </c>
      <c r="C1976" t="s">
        <v>2909</v>
      </c>
      <c r="D1976" t="s">
        <v>223</v>
      </c>
      <c r="E1976" t="s">
        <v>21</v>
      </c>
      <c r="F1976" t="s">
        <v>2910</v>
      </c>
      <c r="G1976" t="s">
        <v>152</v>
      </c>
      <c r="H1976" t="s">
        <v>174</v>
      </c>
      <c r="I1976" t="s">
        <v>154</v>
      </c>
      <c r="J1976">
        <v>20171201</v>
      </c>
    </row>
    <row r="1977" spans="1:10">
      <c r="A1977" t="s">
        <v>5775</v>
      </c>
      <c r="B1977">
        <v>603855</v>
      </c>
      <c r="C1977" t="s">
        <v>5776</v>
      </c>
      <c r="D1977" t="s">
        <v>172</v>
      </c>
      <c r="E1977" t="s">
        <v>122</v>
      </c>
      <c r="F1977" t="s">
        <v>5777</v>
      </c>
      <c r="G1977" t="s">
        <v>152</v>
      </c>
      <c r="H1977" t="s">
        <v>174</v>
      </c>
      <c r="I1977" t="s">
        <v>154</v>
      </c>
      <c r="J1977">
        <v>20170524</v>
      </c>
    </row>
    <row r="1978" spans="1:10">
      <c r="A1978" t="s">
        <v>749</v>
      </c>
      <c r="B1978">
        <v>603856</v>
      </c>
      <c r="C1978" t="s">
        <v>750</v>
      </c>
      <c r="D1978" t="s">
        <v>198</v>
      </c>
      <c r="E1978" t="s">
        <v>40</v>
      </c>
      <c r="F1978" t="s">
        <v>751</v>
      </c>
      <c r="G1978" t="s">
        <v>152</v>
      </c>
      <c r="H1978" t="s">
        <v>174</v>
      </c>
      <c r="I1978" t="s">
        <v>154</v>
      </c>
      <c r="J1978">
        <v>20171106</v>
      </c>
    </row>
    <row r="1979" spans="1:10">
      <c r="A1979" t="s">
        <v>3355</v>
      </c>
      <c r="B1979">
        <v>603858</v>
      </c>
      <c r="C1979" t="s">
        <v>3356</v>
      </c>
      <c r="D1979" t="s">
        <v>198</v>
      </c>
      <c r="E1979" t="s">
        <v>67</v>
      </c>
      <c r="F1979" t="s">
        <v>3357</v>
      </c>
      <c r="G1979" t="s">
        <v>152</v>
      </c>
      <c r="H1979" t="s">
        <v>174</v>
      </c>
      <c r="I1979" t="s">
        <v>154</v>
      </c>
      <c r="J1979">
        <v>20161118</v>
      </c>
    </row>
    <row r="1980" spans="1:10">
      <c r="A1980" t="s">
        <v>5778</v>
      </c>
      <c r="B1980">
        <v>603859</v>
      </c>
      <c r="C1980" t="s">
        <v>5779</v>
      </c>
      <c r="D1980" t="s">
        <v>164</v>
      </c>
      <c r="E1980" t="s">
        <v>122</v>
      </c>
      <c r="F1980" t="s">
        <v>5780</v>
      </c>
      <c r="G1980" t="s">
        <v>152</v>
      </c>
      <c r="H1980" t="s">
        <v>174</v>
      </c>
      <c r="I1980" t="s">
        <v>154</v>
      </c>
      <c r="J1980">
        <v>20161021</v>
      </c>
    </row>
    <row r="1981" spans="1:10">
      <c r="A1981" t="s">
        <v>5382</v>
      </c>
      <c r="B1981">
        <v>603860</v>
      </c>
      <c r="C1981" t="s">
        <v>5383</v>
      </c>
      <c r="D1981" t="s">
        <v>164</v>
      </c>
      <c r="E1981" t="s">
        <v>121</v>
      </c>
      <c r="F1981" t="s">
        <v>5384</v>
      </c>
      <c r="G1981" t="s">
        <v>152</v>
      </c>
      <c r="H1981" t="s">
        <v>174</v>
      </c>
      <c r="I1981" t="s">
        <v>154</v>
      </c>
      <c r="J1981">
        <v>20170802</v>
      </c>
    </row>
    <row r="1982" spans="1:10">
      <c r="A1982" t="s">
        <v>1717</v>
      </c>
      <c r="B1982">
        <v>603861</v>
      </c>
      <c r="C1982" t="s">
        <v>1718</v>
      </c>
      <c r="D1982" t="s">
        <v>223</v>
      </c>
      <c r="E1982" t="s">
        <v>17</v>
      </c>
      <c r="F1982" t="s">
        <v>1719</v>
      </c>
      <c r="G1982" t="s">
        <v>152</v>
      </c>
      <c r="H1982" t="s">
        <v>174</v>
      </c>
      <c r="I1982" t="s">
        <v>154</v>
      </c>
      <c r="J1982">
        <v>20160322</v>
      </c>
    </row>
    <row r="1983" spans="1:10">
      <c r="A1983" t="s">
        <v>2911</v>
      </c>
      <c r="B1983">
        <v>603863</v>
      </c>
      <c r="C1983" t="s">
        <v>2912</v>
      </c>
      <c r="D1983" t="s">
        <v>223</v>
      </c>
      <c r="E1983" t="s">
        <v>30</v>
      </c>
      <c r="F1983" t="s">
        <v>2913</v>
      </c>
      <c r="G1983" t="s">
        <v>152</v>
      </c>
      <c r="H1983" t="s">
        <v>174</v>
      </c>
      <c r="I1983" t="s">
        <v>154</v>
      </c>
      <c r="J1983">
        <v>20190621</v>
      </c>
    </row>
    <row r="1984" spans="1:10">
      <c r="A1984" t="s">
        <v>2578</v>
      </c>
      <c r="B1984">
        <v>603866</v>
      </c>
      <c r="C1984" t="s">
        <v>2579</v>
      </c>
      <c r="D1984" t="s">
        <v>236</v>
      </c>
      <c r="E1984" t="s">
        <v>19</v>
      </c>
      <c r="F1984" t="s">
        <v>2580</v>
      </c>
      <c r="G1984" t="s">
        <v>152</v>
      </c>
      <c r="H1984" t="s">
        <v>174</v>
      </c>
      <c r="I1984" t="s">
        <v>154</v>
      </c>
      <c r="J1984">
        <v>20151222</v>
      </c>
    </row>
    <row r="1985" spans="1:10">
      <c r="A1985" t="s">
        <v>752</v>
      </c>
      <c r="B1985">
        <v>603867</v>
      </c>
      <c r="C1985" t="s">
        <v>753</v>
      </c>
      <c r="D1985" t="s">
        <v>423</v>
      </c>
      <c r="E1985" t="s">
        <v>14</v>
      </c>
      <c r="F1985" t="s">
        <v>754</v>
      </c>
      <c r="G1985" t="s">
        <v>152</v>
      </c>
      <c r="H1985" t="s">
        <v>174</v>
      </c>
      <c r="I1985" t="s">
        <v>154</v>
      </c>
      <c r="J1985">
        <v>20190627</v>
      </c>
    </row>
    <row r="1986" spans="1:10">
      <c r="A1986" t="s">
        <v>2311</v>
      </c>
      <c r="B1986">
        <v>603868</v>
      </c>
      <c r="C1986" t="s">
        <v>2312</v>
      </c>
      <c r="D1986" t="s">
        <v>172</v>
      </c>
      <c r="E1986" t="s">
        <v>8</v>
      </c>
      <c r="F1986" t="s">
        <v>2313</v>
      </c>
      <c r="G1986" t="s">
        <v>152</v>
      </c>
      <c r="H1986" t="s">
        <v>174</v>
      </c>
      <c r="I1986" t="s">
        <v>154</v>
      </c>
      <c r="J1986">
        <v>20160418</v>
      </c>
    </row>
    <row r="1987" spans="1:10">
      <c r="A1987" t="s">
        <v>6006</v>
      </c>
      <c r="B1987">
        <v>603869</v>
      </c>
      <c r="C1987" t="s">
        <v>6007</v>
      </c>
      <c r="D1987" t="s">
        <v>345</v>
      </c>
      <c r="E1987" t="s">
        <v>123</v>
      </c>
      <c r="F1987" t="s">
        <v>6008</v>
      </c>
      <c r="G1987" t="s">
        <v>152</v>
      </c>
      <c r="H1987" t="s">
        <v>174</v>
      </c>
      <c r="I1987" t="s">
        <v>154</v>
      </c>
      <c r="J1987">
        <v>20150326</v>
      </c>
    </row>
    <row r="1988" spans="1:10">
      <c r="A1988" t="s">
        <v>4108</v>
      </c>
      <c r="B1988">
        <v>603871</v>
      </c>
      <c r="C1988" t="s">
        <v>4109</v>
      </c>
      <c r="D1988" t="s">
        <v>164</v>
      </c>
      <c r="E1988" t="s">
        <v>50</v>
      </c>
      <c r="F1988" t="s">
        <v>4110</v>
      </c>
      <c r="G1988" t="s">
        <v>152</v>
      </c>
      <c r="H1988" t="s">
        <v>174</v>
      </c>
      <c r="I1988" t="s">
        <v>154</v>
      </c>
      <c r="J1988">
        <v>20180206</v>
      </c>
    </row>
    <row r="1989" spans="1:10">
      <c r="A1989" t="s">
        <v>1198</v>
      </c>
      <c r="B1989">
        <v>603876</v>
      </c>
      <c r="C1989" t="s">
        <v>1199</v>
      </c>
      <c r="D1989" t="s">
        <v>212</v>
      </c>
      <c r="E1989" t="s">
        <v>16</v>
      </c>
      <c r="F1989" t="s">
        <v>1200</v>
      </c>
      <c r="G1989" t="s">
        <v>152</v>
      </c>
      <c r="H1989" t="s">
        <v>174</v>
      </c>
      <c r="I1989" t="s">
        <v>154</v>
      </c>
      <c r="J1989">
        <v>20180418</v>
      </c>
    </row>
    <row r="1990" spans="1:10">
      <c r="A1990" t="s">
        <v>2701</v>
      </c>
      <c r="B1990">
        <v>603877</v>
      </c>
      <c r="C1990" t="s">
        <v>2702</v>
      </c>
      <c r="D1990" t="s">
        <v>423</v>
      </c>
      <c r="E1990" t="s">
        <v>20</v>
      </c>
      <c r="F1990" t="s">
        <v>2703</v>
      </c>
      <c r="G1990" t="s">
        <v>152</v>
      </c>
      <c r="H1990" t="s">
        <v>174</v>
      </c>
      <c r="I1990" t="s">
        <v>154</v>
      </c>
      <c r="J1990">
        <v>20170109</v>
      </c>
    </row>
    <row r="1991" spans="1:10">
      <c r="A1991" t="s">
        <v>951</v>
      </c>
      <c r="B1991">
        <v>603878</v>
      </c>
      <c r="C1991" t="s">
        <v>952</v>
      </c>
      <c r="D1991" t="s">
        <v>212</v>
      </c>
      <c r="E1991" t="s">
        <v>34</v>
      </c>
      <c r="F1991" t="s">
        <v>953</v>
      </c>
      <c r="G1991" t="s">
        <v>152</v>
      </c>
      <c r="H1991" t="s">
        <v>174</v>
      </c>
      <c r="I1991" t="s">
        <v>154</v>
      </c>
      <c r="J1991">
        <v>20161219</v>
      </c>
    </row>
    <row r="1992" spans="1:10">
      <c r="A1992" t="s">
        <v>755</v>
      </c>
      <c r="B1992">
        <v>603879</v>
      </c>
      <c r="C1992" t="s">
        <v>756</v>
      </c>
      <c r="D1992" t="s">
        <v>212</v>
      </c>
      <c r="E1992" t="s">
        <v>14</v>
      </c>
      <c r="F1992" t="s">
        <v>757</v>
      </c>
      <c r="G1992" t="s">
        <v>152</v>
      </c>
      <c r="H1992" t="s">
        <v>174</v>
      </c>
      <c r="I1992" t="s">
        <v>154</v>
      </c>
      <c r="J1992">
        <v>20170614</v>
      </c>
    </row>
    <row r="1993" spans="1:10">
      <c r="A1993" t="s">
        <v>3166</v>
      </c>
      <c r="B1993">
        <v>603880</v>
      </c>
      <c r="C1993" t="s">
        <v>3167</v>
      </c>
      <c r="D1993" t="s">
        <v>212</v>
      </c>
      <c r="E1993" t="s">
        <v>90</v>
      </c>
      <c r="F1993" t="s">
        <v>3168</v>
      </c>
      <c r="G1993" t="s">
        <v>152</v>
      </c>
      <c r="H1993" t="s">
        <v>174</v>
      </c>
      <c r="I1993" t="s">
        <v>154</v>
      </c>
      <c r="J1993">
        <v>20170807</v>
      </c>
    </row>
    <row r="1994" spans="1:10">
      <c r="A1994" t="s">
        <v>6351</v>
      </c>
      <c r="B1994">
        <v>603881</v>
      </c>
      <c r="C1994" t="s">
        <v>6352</v>
      </c>
      <c r="D1994" t="s">
        <v>172</v>
      </c>
      <c r="E1994" t="s">
        <v>89</v>
      </c>
      <c r="F1994" t="s">
        <v>6353</v>
      </c>
      <c r="G1994" t="s">
        <v>152</v>
      </c>
      <c r="H1994" t="s">
        <v>174</v>
      </c>
      <c r="I1994" t="s">
        <v>154</v>
      </c>
      <c r="J1994">
        <v>20170208</v>
      </c>
    </row>
    <row r="1995" spans="1:10">
      <c r="A1995" t="s">
        <v>3145</v>
      </c>
      <c r="B1995">
        <v>603882</v>
      </c>
      <c r="C1995" t="s">
        <v>3146</v>
      </c>
      <c r="D1995" t="s">
        <v>223</v>
      </c>
      <c r="E1995" t="s">
        <v>90</v>
      </c>
      <c r="F1995" t="s">
        <v>3147</v>
      </c>
      <c r="G1995" t="s">
        <v>152</v>
      </c>
      <c r="H1995" t="s">
        <v>174</v>
      </c>
      <c r="I1995" t="s">
        <v>154</v>
      </c>
      <c r="J1995">
        <v>20170908</v>
      </c>
    </row>
    <row r="1996" spans="1:10">
      <c r="A1996" t="s">
        <v>3244</v>
      </c>
      <c r="B1996">
        <v>603883</v>
      </c>
      <c r="C1996" t="s">
        <v>3245</v>
      </c>
      <c r="D1996" t="s">
        <v>168</v>
      </c>
      <c r="E1996" t="s">
        <v>95</v>
      </c>
      <c r="F1996" t="s">
        <v>3246</v>
      </c>
      <c r="G1996" t="s">
        <v>152</v>
      </c>
      <c r="H1996" t="s">
        <v>174</v>
      </c>
      <c r="I1996" t="s">
        <v>154</v>
      </c>
      <c r="J1996">
        <v>20150423</v>
      </c>
    </row>
    <row r="1997" spans="1:10">
      <c r="A1997" t="s">
        <v>4111</v>
      </c>
      <c r="B1997">
        <v>603885</v>
      </c>
      <c r="C1997" t="s">
        <v>4112</v>
      </c>
      <c r="D1997" t="s">
        <v>172</v>
      </c>
      <c r="E1997" t="s">
        <v>103</v>
      </c>
      <c r="F1997" t="s">
        <v>4113</v>
      </c>
      <c r="G1997" t="s">
        <v>152</v>
      </c>
      <c r="H1997" t="s">
        <v>174</v>
      </c>
      <c r="I1997" t="s">
        <v>154</v>
      </c>
      <c r="J1997">
        <v>20150527</v>
      </c>
    </row>
    <row r="1998" spans="1:10">
      <c r="A1998" t="s">
        <v>2581</v>
      </c>
      <c r="B1998">
        <v>603886</v>
      </c>
      <c r="C1998" t="s">
        <v>2582</v>
      </c>
      <c r="D1998" t="s">
        <v>172</v>
      </c>
      <c r="E1998" t="s">
        <v>19</v>
      </c>
      <c r="F1998" t="s">
        <v>2583</v>
      </c>
      <c r="G1998" t="s">
        <v>152</v>
      </c>
      <c r="H1998" t="s">
        <v>174</v>
      </c>
      <c r="I1998" t="s">
        <v>154</v>
      </c>
      <c r="J1998">
        <v>20161228</v>
      </c>
    </row>
    <row r="1999" spans="1:10">
      <c r="A1999" t="s">
        <v>6009</v>
      </c>
      <c r="B1999">
        <v>603887</v>
      </c>
      <c r="C1999" t="s">
        <v>6010</v>
      </c>
      <c r="D1999" t="s">
        <v>172</v>
      </c>
      <c r="E1999" t="s">
        <v>123</v>
      </c>
      <c r="F1999" t="s">
        <v>6011</v>
      </c>
      <c r="G1999" t="s">
        <v>152</v>
      </c>
      <c r="H1999" t="s">
        <v>174</v>
      </c>
      <c r="I1999" t="s">
        <v>154</v>
      </c>
      <c r="J1999">
        <v>20161010</v>
      </c>
    </row>
    <row r="2000" spans="1:10">
      <c r="A2000" t="s">
        <v>6012</v>
      </c>
      <c r="B2000">
        <v>603888</v>
      </c>
      <c r="C2000" t="s">
        <v>6013</v>
      </c>
      <c r="D2000" t="s">
        <v>164</v>
      </c>
      <c r="E2000" t="s">
        <v>116</v>
      </c>
      <c r="F2000" t="s">
        <v>6014</v>
      </c>
      <c r="G2000" t="s">
        <v>152</v>
      </c>
      <c r="H2000" t="s">
        <v>174</v>
      </c>
      <c r="I2000" t="s">
        <v>154</v>
      </c>
      <c r="J2000">
        <v>20161028</v>
      </c>
    </row>
    <row r="2001" spans="1:10">
      <c r="A2001" t="s">
        <v>758</v>
      </c>
      <c r="B2001">
        <v>603889</v>
      </c>
      <c r="C2001" t="s">
        <v>759</v>
      </c>
      <c r="D2001" t="s">
        <v>423</v>
      </c>
      <c r="E2001" t="s">
        <v>33</v>
      </c>
      <c r="F2001" t="s">
        <v>760</v>
      </c>
      <c r="G2001" t="s">
        <v>152</v>
      </c>
      <c r="H2001" t="s">
        <v>174</v>
      </c>
      <c r="I2001" t="s">
        <v>154</v>
      </c>
      <c r="J2001">
        <v>20141231</v>
      </c>
    </row>
    <row r="2002" spans="1:10">
      <c r="A2002" t="s">
        <v>1720</v>
      </c>
      <c r="B2002">
        <v>603890</v>
      </c>
      <c r="C2002" t="s">
        <v>1721</v>
      </c>
      <c r="D2002" t="s">
        <v>212</v>
      </c>
      <c r="E2002" t="s">
        <v>42</v>
      </c>
      <c r="F2002" t="s">
        <v>1722</v>
      </c>
      <c r="G2002" t="s">
        <v>152</v>
      </c>
      <c r="H2002" t="s">
        <v>174</v>
      </c>
      <c r="I2002" t="s">
        <v>154</v>
      </c>
      <c r="J2002">
        <v>20171212</v>
      </c>
    </row>
    <row r="2003" spans="1:10">
      <c r="A2003" t="s">
        <v>1723</v>
      </c>
      <c r="B2003">
        <v>603893</v>
      </c>
      <c r="C2003" t="s">
        <v>1724</v>
      </c>
      <c r="D2003" t="s">
        <v>150</v>
      </c>
      <c r="E2003" t="s">
        <v>31</v>
      </c>
      <c r="F2003" t="s">
        <v>1725</v>
      </c>
      <c r="G2003" t="s">
        <v>152</v>
      </c>
      <c r="H2003" t="s">
        <v>174</v>
      </c>
      <c r="I2003" t="s">
        <v>154</v>
      </c>
      <c r="J2003">
        <v>20200207</v>
      </c>
    </row>
    <row r="2004" spans="1:10">
      <c r="A2004" t="s">
        <v>5781</v>
      </c>
      <c r="B2004">
        <v>603895</v>
      </c>
      <c r="C2004" t="s">
        <v>5782</v>
      </c>
      <c r="D2004" t="s">
        <v>172</v>
      </c>
      <c r="E2004" t="s">
        <v>122</v>
      </c>
      <c r="F2004" t="s">
        <v>5783</v>
      </c>
      <c r="G2004" t="s">
        <v>152</v>
      </c>
      <c r="H2004" t="s">
        <v>174</v>
      </c>
      <c r="I2004" t="s">
        <v>154</v>
      </c>
      <c r="J2004">
        <v>20180122</v>
      </c>
    </row>
    <row r="2005" spans="1:10">
      <c r="A2005" t="s">
        <v>3403</v>
      </c>
      <c r="B2005">
        <v>603896</v>
      </c>
      <c r="C2005" t="s">
        <v>3404</v>
      </c>
      <c r="D2005" t="s">
        <v>423</v>
      </c>
      <c r="E2005" t="s">
        <v>67</v>
      </c>
      <c r="F2005" t="s">
        <v>3405</v>
      </c>
      <c r="G2005" t="s">
        <v>152</v>
      </c>
      <c r="H2005" t="s">
        <v>174</v>
      </c>
      <c r="I2005" t="s">
        <v>154</v>
      </c>
      <c r="J2005">
        <v>20170510</v>
      </c>
    </row>
    <row r="2006" spans="1:10">
      <c r="A2006" t="s">
        <v>1726</v>
      </c>
      <c r="B2006">
        <v>603897</v>
      </c>
      <c r="C2006" t="s">
        <v>1727</v>
      </c>
      <c r="D2006" t="s">
        <v>423</v>
      </c>
      <c r="E2006" t="s">
        <v>17</v>
      </c>
      <c r="F2006" t="s">
        <v>1728</v>
      </c>
      <c r="G2006" t="s">
        <v>152</v>
      </c>
      <c r="H2006" t="s">
        <v>174</v>
      </c>
      <c r="I2006" t="s">
        <v>154</v>
      </c>
      <c r="J2006">
        <v>20180410</v>
      </c>
    </row>
    <row r="2007" spans="1:10">
      <c r="A2007" t="s">
        <v>2914</v>
      </c>
      <c r="B2007">
        <v>603898</v>
      </c>
      <c r="C2007" t="s">
        <v>2915</v>
      </c>
      <c r="D2007" t="s">
        <v>223</v>
      </c>
      <c r="E2007" t="s">
        <v>21</v>
      </c>
      <c r="F2007" t="s">
        <v>2916</v>
      </c>
      <c r="G2007" t="s">
        <v>152</v>
      </c>
      <c r="H2007" t="s">
        <v>174</v>
      </c>
      <c r="I2007" t="s">
        <v>154</v>
      </c>
      <c r="J2007">
        <v>20150217</v>
      </c>
    </row>
    <row r="2008" spans="1:10">
      <c r="A2008" t="s">
        <v>6144</v>
      </c>
      <c r="B2008">
        <v>603899</v>
      </c>
      <c r="C2008" t="s">
        <v>6145</v>
      </c>
      <c r="D2008" t="s">
        <v>172</v>
      </c>
      <c r="E2008" t="s">
        <v>129</v>
      </c>
      <c r="F2008" t="s">
        <v>6146</v>
      </c>
      <c r="G2008" t="s">
        <v>152</v>
      </c>
      <c r="H2008" t="s">
        <v>174</v>
      </c>
      <c r="I2008" t="s">
        <v>154</v>
      </c>
      <c r="J2008">
        <v>20150127</v>
      </c>
    </row>
    <row r="2009" spans="1:10">
      <c r="A2009" t="s">
        <v>2704</v>
      </c>
      <c r="B2009">
        <v>603900</v>
      </c>
      <c r="C2009" t="s">
        <v>2705</v>
      </c>
      <c r="D2009" t="s">
        <v>212</v>
      </c>
      <c r="E2009" t="s">
        <v>20</v>
      </c>
      <c r="F2009" t="s">
        <v>2706</v>
      </c>
      <c r="G2009" t="s">
        <v>152</v>
      </c>
      <c r="H2009" t="s">
        <v>174</v>
      </c>
      <c r="I2009" t="s">
        <v>154</v>
      </c>
      <c r="J2009">
        <v>20161123</v>
      </c>
    </row>
    <row r="2010" spans="1:10">
      <c r="A2010" t="s">
        <v>5784</v>
      </c>
      <c r="B2010">
        <v>603901</v>
      </c>
      <c r="C2010" t="s">
        <v>5785</v>
      </c>
      <c r="D2010" t="s">
        <v>423</v>
      </c>
      <c r="E2010" t="s">
        <v>122</v>
      </c>
      <c r="F2010" t="s">
        <v>5786</v>
      </c>
      <c r="G2010" t="s">
        <v>152</v>
      </c>
      <c r="H2010" t="s">
        <v>174</v>
      </c>
      <c r="I2010" t="s">
        <v>154</v>
      </c>
      <c r="J2010">
        <v>20150529</v>
      </c>
    </row>
    <row r="2011" spans="1:10">
      <c r="A2011" t="s">
        <v>6648</v>
      </c>
      <c r="B2011">
        <v>603903</v>
      </c>
      <c r="C2011" t="s">
        <v>6649</v>
      </c>
      <c r="D2011" t="s">
        <v>164</v>
      </c>
      <c r="E2011" t="s">
        <v>119</v>
      </c>
      <c r="F2011" t="s">
        <v>6650</v>
      </c>
      <c r="G2011" t="s">
        <v>152</v>
      </c>
      <c r="H2011" t="s">
        <v>174</v>
      </c>
      <c r="I2011" t="s">
        <v>154</v>
      </c>
      <c r="J2011">
        <v>20170314</v>
      </c>
    </row>
    <row r="2012" spans="1:10">
      <c r="A2012" t="s">
        <v>761</v>
      </c>
      <c r="B2012">
        <v>603906</v>
      </c>
      <c r="C2012" t="s">
        <v>762</v>
      </c>
      <c r="D2012" t="s">
        <v>212</v>
      </c>
      <c r="E2012" t="s">
        <v>14</v>
      </c>
      <c r="F2012" t="s">
        <v>763</v>
      </c>
      <c r="G2012" t="s">
        <v>152</v>
      </c>
      <c r="H2012" t="s">
        <v>174</v>
      </c>
      <c r="I2012" t="s">
        <v>154</v>
      </c>
      <c r="J2012">
        <v>20170410</v>
      </c>
    </row>
    <row r="2013" spans="1:10">
      <c r="A2013" t="s">
        <v>764</v>
      </c>
      <c r="B2013">
        <v>603908</v>
      </c>
      <c r="C2013" t="s">
        <v>765</v>
      </c>
      <c r="D2013" t="s">
        <v>423</v>
      </c>
      <c r="E2013" t="s">
        <v>33</v>
      </c>
      <c r="F2013" t="s">
        <v>766</v>
      </c>
      <c r="G2013" t="s">
        <v>152</v>
      </c>
      <c r="H2013" t="s">
        <v>174</v>
      </c>
      <c r="I2013" t="s">
        <v>154</v>
      </c>
      <c r="J2013">
        <v>20170307</v>
      </c>
    </row>
    <row r="2014" spans="1:10">
      <c r="A2014" t="s">
        <v>5385</v>
      </c>
      <c r="B2014">
        <v>603909</v>
      </c>
      <c r="C2014" t="s">
        <v>5386</v>
      </c>
      <c r="D2014" t="s">
        <v>150</v>
      </c>
      <c r="E2014" t="s">
        <v>121</v>
      </c>
      <c r="F2014" t="s">
        <v>5387</v>
      </c>
      <c r="G2014" t="s">
        <v>152</v>
      </c>
      <c r="H2014" t="s">
        <v>174</v>
      </c>
      <c r="I2014" t="s">
        <v>154</v>
      </c>
      <c r="J2014">
        <v>20160628</v>
      </c>
    </row>
    <row r="2015" spans="1:10">
      <c r="A2015" t="s">
        <v>5787</v>
      </c>
      <c r="B2015">
        <v>603912</v>
      </c>
      <c r="C2015" t="s">
        <v>5788</v>
      </c>
      <c r="D2015" t="s">
        <v>212</v>
      </c>
      <c r="E2015" t="s">
        <v>122</v>
      </c>
      <c r="F2015" t="s">
        <v>5789</v>
      </c>
      <c r="G2015" t="s">
        <v>152</v>
      </c>
      <c r="H2015" t="s">
        <v>174</v>
      </c>
      <c r="I2015" t="s">
        <v>154</v>
      </c>
      <c r="J2015">
        <v>20171101</v>
      </c>
    </row>
    <row r="2016" spans="1:10">
      <c r="A2016" t="s">
        <v>5790</v>
      </c>
      <c r="B2016">
        <v>603915</v>
      </c>
      <c r="C2016" t="s">
        <v>5791</v>
      </c>
      <c r="D2016" t="s">
        <v>212</v>
      </c>
      <c r="E2016" t="s">
        <v>135</v>
      </c>
      <c r="F2016" t="s">
        <v>5792</v>
      </c>
      <c r="G2016" t="s">
        <v>152</v>
      </c>
      <c r="H2016" t="s">
        <v>174</v>
      </c>
      <c r="I2016" t="s">
        <v>154</v>
      </c>
      <c r="J2016">
        <v>20190614</v>
      </c>
    </row>
    <row r="2017" spans="1:10">
      <c r="A2017" t="s">
        <v>767</v>
      </c>
      <c r="B2017">
        <v>603916</v>
      </c>
      <c r="C2017" t="s">
        <v>768</v>
      </c>
      <c r="D2017" t="s">
        <v>212</v>
      </c>
      <c r="E2017" t="s">
        <v>14</v>
      </c>
      <c r="F2017" t="s">
        <v>769</v>
      </c>
      <c r="G2017" t="s">
        <v>152</v>
      </c>
      <c r="H2017" t="s">
        <v>174</v>
      </c>
      <c r="I2017" t="s">
        <v>154</v>
      </c>
      <c r="J2017">
        <v>20171110</v>
      </c>
    </row>
    <row r="2018" spans="1:10">
      <c r="A2018" t="s">
        <v>2155</v>
      </c>
      <c r="B2018">
        <v>603917</v>
      </c>
      <c r="C2018" t="s">
        <v>2156</v>
      </c>
      <c r="D2018" t="s">
        <v>423</v>
      </c>
      <c r="E2018" t="s">
        <v>28</v>
      </c>
      <c r="F2018" t="s">
        <v>2157</v>
      </c>
      <c r="G2018" t="s">
        <v>152</v>
      </c>
      <c r="H2018" t="s">
        <v>174</v>
      </c>
      <c r="I2018" t="s">
        <v>154</v>
      </c>
      <c r="J2018">
        <v>20171204</v>
      </c>
    </row>
    <row r="2019" spans="1:10">
      <c r="A2019" t="s">
        <v>6015</v>
      </c>
      <c r="B2019">
        <v>603918</v>
      </c>
      <c r="C2019" t="s">
        <v>6016</v>
      </c>
      <c r="D2019" t="s">
        <v>172</v>
      </c>
      <c r="E2019" t="s">
        <v>123</v>
      </c>
      <c r="F2019" t="s">
        <v>6017</v>
      </c>
      <c r="G2019" t="s">
        <v>152</v>
      </c>
      <c r="H2019" t="s">
        <v>174</v>
      </c>
      <c r="I2019" t="s">
        <v>154</v>
      </c>
      <c r="J2019">
        <v>20150528</v>
      </c>
    </row>
    <row r="2020" spans="1:10">
      <c r="A2020" t="s">
        <v>2584</v>
      </c>
      <c r="B2020">
        <v>603919</v>
      </c>
      <c r="C2020" t="s">
        <v>2585</v>
      </c>
      <c r="D2020" t="s">
        <v>177</v>
      </c>
      <c r="E2020" t="s">
        <v>12</v>
      </c>
      <c r="F2020" t="s">
        <v>2586</v>
      </c>
      <c r="G2020" t="s">
        <v>152</v>
      </c>
      <c r="H2020" t="s">
        <v>174</v>
      </c>
      <c r="I2020" t="s">
        <v>154</v>
      </c>
      <c r="J2020">
        <v>20160310</v>
      </c>
    </row>
    <row r="2021" spans="1:10">
      <c r="A2021" t="s">
        <v>1729</v>
      </c>
      <c r="B2021">
        <v>603920</v>
      </c>
      <c r="C2021" t="s">
        <v>1730</v>
      </c>
      <c r="D2021" t="s">
        <v>223</v>
      </c>
      <c r="E2021" t="s">
        <v>42</v>
      </c>
      <c r="F2021" t="s">
        <v>1731</v>
      </c>
      <c r="G2021" t="s">
        <v>152</v>
      </c>
      <c r="H2021" t="s">
        <v>174</v>
      </c>
      <c r="I2021" t="s">
        <v>154</v>
      </c>
      <c r="J2021">
        <v>20170426</v>
      </c>
    </row>
    <row r="2022" spans="1:10">
      <c r="A2022" t="s">
        <v>2158</v>
      </c>
      <c r="B2022">
        <v>603922</v>
      </c>
      <c r="C2022" t="s">
        <v>2159</v>
      </c>
      <c r="D2022" t="s">
        <v>212</v>
      </c>
      <c r="E2022" t="s">
        <v>28</v>
      </c>
      <c r="F2022" t="s">
        <v>2160</v>
      </c>
      <c r="G2022" t="s">
        <v>152</v>
      </c>
      <c r="H2022" t="s">
        <v>174</v>
      </c>
      <c r="I2022" t="s">
        <v>154</v>
      </c>
      <c r="J2022">
        <v>20171023</v>
      </c>
    </row>
    <row r="2023" spans="1:10">
      <c r="A2023" t="s">
        <v>2161</v>
      </c>
      <c r="B2023">
        <v>603926</v>
      </c>
      <c r="C2023" t="s">
        <v>2162</v>
      </c>
      <c r="D2023" t="s">
        <v>423</v>
      </c>
      <c r="E2023" t="s">
        <v>28</v>
      </c>
      <c r="F2023" t="s">
        <v>2163</v>
      </c>
      <c r="G2023" t="s">
        <v>152</v>
      </c>
      <c r="H2023" t="s">
        <v>174</v>
      </c>
      <c r="I2023" t="s">
        <v>154</v>
      </c>
      <c r="J2023">
        <v>20170510</v>
      </c>
    </row>
    <row r="2024" spans="1:10">
      <c r="A2024" t="s">
        <v>6018</v>
      </c>
      <c r="B2024">
        <v>603927</v>
      </c>
      <c r="C2024" t="s">
        <v>6019</v>
      </c>
      <c r="D2024" t="s">
        <v>164</v>
      </c>
      <c r="E2024" t="s">
        <v>123</v>
      </c>
      <c r="F2024" t="s">
        <v>6020</v>
      </c>
      <c r="G2024" t="s">
        <v>152</v>
      </c>
      <c r="H2024" t="s">
        <v>174</v>
      </c>
      <c r="I2024" t="s">
        <v>154</v>
      </c>
      <c r="J2024">
        <v>20190909</v>
      </c>
    </row>
    <row r="2025" spans="1:10">
      <c r="A2025" t="s">
        <v>770</v>
      </c>
      <c r="B2025">
        <v>603928</v>
      </c>
      <c r="C2025" t="s">
        <v>771</v>
      </c>
      <c r="D2025" t="s">
        <v>212</v>
      </c>
      <c r="E2025" t="s">
        <v>14</v>
      </c>
      <c r="F2025" t="s">
        <v>772</v>
      </c>
      <c r="G2025" t="s">
        <v>152</v>
      </c>
      <c r="H2025" t="s">
        <v>174</v>
      </c>
      <c r="I2025" t="s">
        <v>154</v>
      </c>
      <c r="J2025">
        <v>20161212</v>
      </c>
    </row>
    <row r="2026" spans="1:10">
      <c r="A2026" t="s">
        <v>5388</v>
      </c>
      <c r="B2026">
        <v>603929</v>
      </c>
      <c r="C2026" t="s">
        <v>5389</v>
      </c>
      <c r="D2026" t="s">
        <v>212</v>
      </c>
      <c r="E2026" t="s">
        <v>115</v>
      </c>
      <c r="F2026" t="s">
        <v>5390</v>
      </c>
      <c r="G2026" t="s">
        <v>152</v>
      </c>
      <c r="H2026" t="s">
        <v>174</v>
      </c>
      <c r="I2026" t="s">
        <v>154</v>
      </c>
      <c r="J2026">
        <v>20161230</v>
      </c>
    </row>
    <row r="2027" spans="1:10">
      <c r="A2027" t="s">
        <v>773</v>
      </c>
      <c r="B2027">
        <v>603931</v>
      </c>
      <c r="C2027" t="s">
        <v>774</v>
      </c>
      <c r="D2027" t="s">
        <v>423</v>
      </c>
      <c r="E2027" t="s">
        <v>14</v>
      </c>
      <c r="F2027" t="s">
        <v>775</v>
      </c>
      <c r="G2027" t="s">
        <v>152</v>
      </c>
      <c r="H2027" t="s">
        <v>174</v>
      </c>
      <c r="I2027" t="s">
        <v>154</v>
      </c>
      <c r="J2027">
        <v>20200819</v>
      </c>
    </row>
    <row r="2028" spans="1:10">
      <c r="A2028" t="s">
        <v>1732</v>
      </c>
      <c r="B2028">
        <v>603933</v>
      </c>
      <c r="C2028" t="s">
        <v>1733</v>
      </c>
      <c r="D2028" t="s">
        <v>150</v>
      </c>
      <c r="E2028" t="s">
        <v>42</v>
      </c>
      <c r="F2028" t="s">
        <v>1734</v>
      </c>
      <c r="G2028" t="s">
        <v>152</v>
      </c>
      <c r="H2028" t="s">
        <v>174</v>
      </c>
      <c r="I2028" t="s">
        <v>154</v>
      </c>
      <c r="J2028">
        <v>20170706</v>
      </c>
    </row>
    <row r="2029" spans="1:10">
      <c r="A2029" t="s">
        <v>1735</v>
      </c>
      <c r="B2029">
        <v>603936</v>
      </c>
      <c r="C2029" t="s">
        <v>1736</v>
      </c>
      <c r="D2029" t="s">
        <v>223</v>
      </c>
      <c r="E2029" t="s">
        <v>42</v>
      </c>
      <c r="F2029" t="s">
        <v>1737</v>
      </c>
      <c r="G2029" t="s">
        <v>152</v>
      </c>
      <c r="H2029" t="s">
        <v>174</v>
      </c>
      <c r="I2029" t="s">
        <v>154</v>
      </c>
      <c r="J2029">
        <v>20151209</v>
      </c>
    </row>
    <row r="2030" spans="1:10">
      <c r="A2030" t="s">
        <v>1201</v>
      </c>
      <c r="B2030">
        <v>603937</v>
      </c>
      <c r="C2030" t="s">
        <v>1202</v>
      </c>
      <c r="D2030" t="s">
        <v>212</v>
      </c>
      <c r="E2030" t="s">
        <v>16</v>
      </c>
      <c r="F2030" t="s">
        <v>1203</v>
      </c>
      <c r="G2030" t="s">
        <v>152</v>
      </c>
      <c r="H2030" t="s">
        <v>174</v>
      </c>
      <c r="I2030" t="s">
        <v>154</v>
      </c>
      <c r="J2030">
        <v>20171102</v>
      </c>
    </row>
    <row r="2031" spans="1:10">
      <c r="A2031" t="s">
        <v>776</v>
      </c>
      <c r="B2031">
        <v>603938</v>
      </c>
      <c r="C2031" t="s">
        <v>777</v>
      </c>
      <c r="D2031" t="s">
        <v>279</v>
      </c>
      <c r="E2031" t="s">
        <v>14</v>
      </c>
      <c r="F2031" t="s">
        <v>778</v>
      </c>
      <c r="G2031" t="s">
        <v>152</v>
      </c>
      <c r="H2031" t="s">
        <v>174</v>
      </c>
      <c r="I2031" t="s">
        <v>154</v>
      </c>
      <c r="J2031">
        <v>20170628</v>
      </c>
    </row>
    <row r="2032" spans="1:10">
      <c r="A2032" t="s">
        <v>3247</v>
      </c>
      <c r="B2032">
        <v>603939</v>
      </c>
      <c r="C2032" t="s">
        <v>3248</v>
      </c>
      <c r="D2032" t="s">
        <v>168</v>
      </c>
      <c r="E2032" t="s">
        <v>95</v>
      </c>
      <c r="F2032" t="s">
        <v>3249</v>
      </c>
      <c r="G2032" t="s">
        <v>152</v>
      </c>
      <c r="H2032" t="s">
        <v>174</v>
      </c>
      <c r="I2032" t="s">
        <v>154</v>
      </c>
      <c r="J2032">
        <v>20150217</v>
      </c>
    </row>
    <row r="2033" spans="1:10">
      <c r="A2033" t="s">
        <v>779</v>
      </c>
      <c r="B2033">
        <v>603948</v>
      </c>
      <c r="C2033" t="s">
        <v>780</v>
      </c>
      <c r="D2033" t="s">
        <v>423</v>
      </c>
      <c r="E2033" t="s">
        <v>14</v>
      </c>
      <c r="F2033" t="s">
        <v>781</v>
      </c>
      <c r="G2033" t="s">
        <v>152</v>
      </c>
      <c r="H2033" t="s">
        <v>174</v>
      </c>
      <c r="I2033" t="s">
        <v>154</v>
      </c>
      <c r="J2033">
        <v>20200302</v>
      </c>
    </row>
    <row r="2034" spans="1:10">
      <c r="A2034" t="s">
        <v>2164</v>
      </c>
      <c r="B2034">
        <v>603949</v>
      </c>
      <c r="C2034" t="s">
        <v>2165</v>
      </c>
      <c r="D2034" t="s">
        <v>423</v>
      </c>
      <c r="E2034" t="s">
        <v>28</v>
      </c>
      <c r="F2034" t="s">
        <v>2166</v>
      </c>
      <c r="G2034" t="s">
        <v>152</v>
      </c>
      <c r="H2034" t="s">
        <v>174</v>
      </c>
      <c r="I2034" t="s">
        <v>154</v>
      </c>
      <c r="J2034">
        <v>20200310</v>
      </c>
    </row>
    <row r="2035" spans="1:10">
      <c r="A2035" t="s">
        <v>2167</v>
      </c>
      <c r="B2035">
        <v>603950</v>
      </c>
      <c r="C2035" t="s">
        <v>2168</v>
      </c>
      <c r="D2035" t="s">
        <v>316</v>
      </c>
      <c r="E2035" t="s">
        <v>28</v>
      </c>
      <c r="F2035" t="s">
        <v>2169</v>
      </c>
      <c r="G2035" t="s">
        <v>152</v>
      </c>
      <c r="H2035" t="s">
        <v>174</v>
      </c>
      <c r="I2035" t="s">
        <v>154</v>
      </c>
      <c r="J2035">
        <v>20200526</v>
      </c>
    </row>
    <row r="2036" spans="1:10">
      <c r="A2036" t="s">
        <v>6651</v>
      </c>
      <c r="B2036">
        <v>603955</v>
      </c>
      <c r="C2036" t="s">
        <v>6652</v>
      </c>
      <c r="D2036" t="s">
        <v>212</v>
      </c>
      <c r="E2036" t="s">
        <v>119</v>
      </c>
      <c r="F2036" t="s">
        <v>6653</v>
      </c>
      <c r="G2036" t="s">
        <v>152</v>
      </c>
      <c r="H2036" t="s">
        <v>174</v>
      </c>
      <c r="I2036" t="s">
        <v>154</v>
      </c>
      <c r="J2036">
        <v>20170310</v>
      </c>
    </row>
    <row r="2037" spans="1:10">
      <c r="A2037" t="s">
        <v>5793</v>
      </c>
      <c r="B2037">
        <v>603956</v>
      </c>
      <c r="C2037" t="s">
        <v>5794</v>
      </c>
      <c r="D2037" t="s">
        <v>172</v>
      </c>
      <c r="E2037" t="s">
        <v>122</v>
      </c>
      <c r="F2037" t="s">
        <v>5795</v>
      </c>
      <c r="G2037" t="s">
        <v>152</v>
      </c>
      <c r="H2037" t="s">
        <v>174</v>
      </c>
      <c r="I2037" t="s">
        <v>154</v>
      </c>
      <c r="J2037">
        <v>20190222</v>
      </c>
    </row>
    <row r="2038" spans="1:10">
      <c r="A2038" t="s">
        <v>2707</v>
      </c>
      <c r="B2038">
        <v>603958</v>
      </c>
      <c r="C2038" t="s">
        <v>2708</v>
      </c>
      <c r="D2038" t="s">
        <v>212</v>
      </c>
      <c r="E2038" t="s">
        <v>20</v>
      </c>
      <c r="F2038" t="s">
        <v>2709</v>
      </c>
      <c r="G2038" t="s">
        <v>152</v>
      </c>
      <c r="H2038" t="s">
        <v>174</v>
      </c>
      <c r="I2038" t="s">
        <v>154</v>
      </c>
      <c r="J2038">
        <v>20160629</v>
      </c>
    </row>
    <row r="2039" spans="1:10">
      <c r="A2039" t="s">
        <v>5391</v>
      </c>
      <c r="B2039">
        <v>603959</v>
      </c>
      <c r="C2039" t="s">
        <v>5392</v>
      </c>
      <c r="D2039" t="s">
        <v>168</v>
      </c>
      <c r="E2039" t="s">
        <v>121</v>
      </c>
      <c r="F2039" t="s">
        <v>5393</v>
      </c>
      <c r="G2039" t="s">
        <v>152</v>
      </c>
      <c r="H2039" t="s">
        <v>174</v>
      </c>
      <c r="I2039" t="s">
        <v>154</v>
      </c>
      <c r="J2039">
        <v>20160517</v>
      </c>
    </row>
    <row r="2040" spans="1:10">
      <c r="A2040" t="s">
        <v>2170</v>
      </c>
      <c r="B2040">
        <v>603960</v>
      </c>
      <c r="C2040" t="s">
        <v>2171</v>
      </c>
      <c r="D2040" t="s">
        <v>172</v>
      </c>
      <c r="E2040" t="s">
        <v>28</v>
      </c>
      <c r="F2040" t="s">
        <v>2172</v>
      </c>
      <c r="G2040" t="s">
        <v>152</v>
      </c>
      <c r="H2040" t="s">
        <v>174</v>
      </c>
      <c r="I2040" t="s">
        <v>154</v>
      </c>
      <c r="J2040">
        <v>20170314</v>
      </c>
    </row>
    <row r="2041" spans="1:10">
      <c r="A2041" t="s">
        <v>3394</v>
      </c>
      <c r="B2041">
        <v>603963</v>
      </c>
      <c r="C2041" t="s">
        <v>3395</v>
      </c>
      <c r="D2041" t="s">
        <v>184</v>
      </c>
      <c r="E2041" t="s">
        <v>67</v>
      </c>
      <c r="F2041" t="s">
        <v>3396</v>
      </c>
      <c r="G2041" t="s">
        <v>152</v>
      </c>
      <c r="H2041" t="s">
        <v>174</v>
      </c>
      <c r="I2041" t="s">
        <v>154</v>
      </c>
      <c r="J2041">
        <v>20170922</v>
      </c>
    </row>
    <row r="2042" spans="1:10">
      <c r="A2042" t="s">
        <v>5796</v>
      </c>
      <c r="B2042">
        <v>603966</v>
      </c>
      <c r="C2042" t="s">
        <v>5797</v>
      </c>
      <c r="D2042" t="s">
        <v>212</v>
      </c>
      <c r="E2042" t="s">
        <v>135</v>
      </c>
      <c r="F2042" t="s">
        <v>5798</v>
      </c>
      <c r="G2042" t="s">
        <v>152</v>
      </c>
      <c r="H2042" t="s">
        <v>174</v>
      </c>
      <c r="I2042" t="s">
        <v>154</v>
      </c>
      <c r="J2042">
        <v>20170125</v>
      </c>
    </row>
    <row r="2043" spans="1:10">
      <c r="A2043" t="s">
        <v>4114</v>
      </c>
      <c r="B2043">
        <v>603967</v>
      </c>
      <c r="C2043" t="s">
        <v>4115</v>
      </c>
      <c r="D2043" t="s">
        <v>198</v>
      </c>
      <c r="E2043" t="s">
        <v>50</v>
      </c>
      <c r="F2043" t="s">
        <v>4116</v>
      </c>
      <c r="G2043" t="s">
        <v>152</v>
      </c>
      <c r="H2043" t="s">
        <v>174</v>
      </c>
      <c r="I2043" t="s">
        <v>154</v>
      </c>
      <c r="J2043">
        <v>20190429</v>
      </c>
    </row>
    <row r="2044" spans="1:10">
      <c r="A2044" t="s">
        <v>782</v>
      </c>
      <c r="B2044">
        <v>603968</v>
      </c>
      <c r="C2044" t="s">
        <v>783</v>
      </c>
      <c r="D2044" t="s">
        <v>212</v>
      </c>
      <c r="E2044" t="s">
        <v>14</v>
      </c>
      <c r="F2044" t="s">
        <v>784</v>
      </c>
      <c r="G2044" t="s">
        <v>152</v>
      </c>
      <c r="H2044" t="s">
        <v>174</v>
      </c>
      <c r="I2044" t="s">
        <v>154</v>
      </c>
      <c r="J2044">
        <v>20150518</v>
      </c>
    </row>
    <row r="2045" spans="1:10">
      <c r="A2045" t="s">
        <v>5190</v>
      </c>
      <c r="B2045">
        <v>603969</v>
      </c>
      <c r="C2045" t="s">
        <v>5191</v>
      </c>
      <c r="D2045" t="s">
        <v>576</v>
      </c>
      <c r="E2045" t="s">
        <v>94</v>
      </c>
      <c r="F2045" t="s">
        <v>5192</v>
      </c>
      <c r="G2045" t="s">
        <v>152</v>
      </c>
      <c r="H2045" t="s">
        <v>174</v>
      </c>
      <c r="I2045" t="s">
        <v>154</v>
      </c>
      <c r="J2045">
        <v>20150227</v>
      </c>
    </row>
    <row r="2046" spans="1:10">
      <c r="A2046" t="s">
        <v>785</v>
      </c>
      <c r="B2046">
        <v>603970</v>
      </c>
      <c r="C2046" t="s">
        <v>786</v>
      </c>
      <c r="D2046" t="s">
        <v>164</v>
      </c>
      <c r="E2046" t="s">
        <v>47</v>
      </c>
      <c r="F2046" t="s">
        <v>787</v>
      </c>
      <c r="G2046" t="s">
        <v>152</v>
      </c>
      <c r="H2046" t="s">
        <v>174</v>
      </c>
      <c r="I2046" t="s">
        <v>154</v>
      </c>
      <c r="J2046">
        <v>20171116</v>
      </c>
    </row>
    <row r="2047" spans="1:10">
      <c r="A2047" t="s">
        <v>3217</v>
      </c>
      <c r="B2047">
        <v>603976</v>
      </c>
      <c r="C2047" t="s">
        <v>3218</v>
      </c>
      <c r="D2047" t="s">
        <v>937</v>
      </c>
      <c r="E2047" t="s">
        <v>90</v>
      </c>
      <c r="F2047" t="s">
        <v>3219</v>
      </c>
      <c r="G2047" t="s">
        <v>152</v>
      </c>
      <c r="H2047" t="s">
        <v>174</v>
      </c>
      <c r="I2047" t="s">
        <v>154</v>
      </c>
      <c r="J2047">
        <v>20170822</v>
      </c>
    </row>
    <row r="2048" spans="1:10">
      <c r="A2048" t="s">
        <v>788</v>
      </c>
      <c r="B2048">
        <v>603977</v>
      </c>
      <c r="C2048" t="s">
        <v>789</v>
      </c>
      <c r="D2048" t="s">
        <v>406</v>
      </c>
      <c r="E2048" t="s">
        <v>14</v>
      </c>
      <c r="F2048" t="s">
        <v>790</v>
      </c>
      <c r="G2048" t="s">
        <v>152</v>
      </c>
      <c r="H2048" t="s">
        <v>174</v>
      </c>
      <c r="I2048" t="s">
        <v>154</v>
      </c>
      <c r="J2048">
        <v>20161111</v>
      </c>
    </row>
    <row r="2049" spans="1:10">
      <c r="A2049" t="s">
        <v>1204</v>
      </c>
      <c r="B2049">
        <v>603978</v>
      </c>
      <c r="C2049" t="s">
        <v>1205</v>
      </c>
      <c r="D2049" t="s">
        <v>243</v>
      </c>
      <c r="E2049" t="s">
        <v>41</v>
      </c>
      <c r="F2049" t="s">
        <v>1206</v>
      </c>
      <c r="G2049" t="s">
        <v>152</v>
      </c>
      <c r="H2049" t="s">
        <v>174</v>
      </c>
      <c r="I2049" t="s">
        <v>154</v>
      </c>
      <c r="J2049">
        <v>20170807</v>
      </c>
    </row>
    <row r="2050" spans="1:10">
      <c r="A2050" t="s">
        <v>5394</v>
      </c>
      <c r="B2050">
        <v>603979</v>
      </c>
      <c r="C2050" t="s">
        <v>5395</v>
      </c>
      <c r="D2050" t="s">
        <v>164</v>
      </c>
      <c r="E2050" t="s">
        <v>121</v>
      </c>
      <c r="F2050" t="s">
        <v>5396</v>
      </c>
      <c r="G2050" t="s">
        <v>152</v>
      </c>
      <c r="H2050" t="s">
        <v>174</v>
      </c>
      <c r="I2050" t="s">
        <v>154</v>
      </c>
      <c r="J2050">
        <v>20150630</v>
      </c>
    </row>
    <row r="2051" spans="1:10">
      <c r="A2051" t="s">
        <v>5193</v>
      </c>
      <c r="B2051">
        <v>603980</v>
      </c>
      <c r="C2051" t="s">
        <v>5194</v>
      </c>
      <c r="D2051" t="s">
        <v>423</v>
      </c>
      <c r="E2051" t="s">
        <v>88</v>
      </c>
      <c r="F2051" t="s">
        <v>5195</v>
      </c>
      <c r="G2051" t="s">
        <v>152</v>
      </c>
      <c r="H2051" t="s">
        <v>174</v>
      </c>
      <c r="I2051" t="s">
        <v>154</v>
      </c>
      <c r="J2051">
        <v>20170615</v>
      </c>
    </row>
    <row r="2052" spans="1:10">
      <c r="A2052" t="s">
        <v>2173</v>
      </c>
      <c r="B2052">
        <v>603982</v>
      </c>
      <c r="C2052" t="s">
        <v>2174</v>
      </c>
      <c r="D2052" t="s">
        <v>212</v>
      </c>
      <c r="E2052" t="s">
        <v>28</v>
      </c>
      <c r="F2052" t="s">
        <v>2175</v>
      </c>
      <c r="G2052" t="s">
        <v>152</v>
      </c>
      <c r="H2052" t="s">
        <v>174</v>
      </c>
      <c r="I2052" t="s">
        <v>154</v>
      </c>
      <c r="J2052">
        <v>20190522</v>
      </c>
    </row>
    <row r="2053" spans="1:10">
      <c r="A2053" t="s">
        <v>6678</v>
      </c>
      <c r="B2053">
        <v>603983</v>
      </c>
      <c r="C2053" t="s">
        <v>6679</v>
      </c>
      <c r="D2053" t="s">
        <v>223</v>
      </c>
      <c r="E2053" t="s">
        <v>120</v>
      </c>
      <c r="F2053" t="s">
        <v>6680</v>
      </c>
      <c r="G2053" t="s">
        <v>152</v>
      </c>
      <c r="H2053" t="s">
        <v>174</v>
      </c>
      <c r="I2053" t="s">
        <v>154</v>
      </c>
      <c r="J2053">
        <v>20190725</v>
      </c>
    </row>
    <row r="2054" spans="1:10">
      <c r="A2054" t="s">
        <v>5799</v>
      </c>
      <c r="B2054">
        <v>603985</v>
      </c>
      <c r="C2054" t="s">
        <v>5800</v>
      </c>
      <c r="D2054" t="s">
        <v>212</v>
      </c>
      <c r="E2054" t="s">
        <v>135</v>
      </c>
      <c r="F2054" t="s">
        <v>5801</v>
      </c>
      <c r="G2054" t="s">
        <v>152</v>
      </c>
      <c r="H2054" t="s">
        <v>174</v>
      </c>
      <c r="I2054" t="s">
        <v>154</v>
      </c>
      <c r="J2054">
        <v>20170505</v>
      </c>
    </row>
    <row r="2055" spans="1:10">
      <c r="A2055" t="s">
        <v>1738</v>
      </c>
      <c r="B2055">
        <v>603986</v>
      </c>
      <c r="C2055" t="s">
        <v>1739</v>
      </c>
      <c r="D2055" t="s">
        <v>164</v>
      </c>
      <c r="E2055" t="s">
        <v>31</v>
      </c>
      <c r="F2055" t="s">
        <v>1740</v>
      </c>
      <c r="G2055" t="s">
        <v>152</v>
      </c>
      <c r="H2055" t="s">
        <v>174</v>
      </c>
      <c r="I2055" t="s">
        <v>154</v>
      </c>
      <c r="J2055">
        <v>20160818</v>
      </c>
    </row>
    <row r="2056" spans="1:10">
      <c r="A2056" t="s">
        <v>3190</v>
      </c>
      <c r="B2056">
        <v>603987</v>
      </c>
      <c r="C2056" t="s">
        <v>3191</v>
      </c>
      <c r="D2056" t="s">
        <v>172</v>
      </c>
      <c r="E2056" t="s">
        <v>90</v>
      </c>
      <c r="F2056" t="s">
        <v>3192</v>
      </c>
      <c r="G2056" t="s">
        <v>152</v>
      </c>
      <c r="H2056" t="s">
        <v>174</v>
      </c>
      <c r="I2056" t="s">
        <v>154</v>
      </c>
      <c r="J2056">
        <v>20161121</v>
      </c>
    </row>
    <row r="2057" spans="1:10">
      <c r="A2057" t="s">
        <v>1741</v>
      </c>
      <c r="B2057">
        <v>603988</v>
      </c>
      <c r="C2057" t="s">
        <v>1742</v>
      </c>
      <c r="D2057" t="s">
        <v>212</v>
      </c>
      <c r="E2057" t="s">
        <v>17</v>
      </c>
      <c r="F2057" t="s">
        <v>1743</v>
      </c>
      <c r="G2057" t="s">
        <v>152</v>
      </c>
      <c r="H2057" t="s">
        <v>174</v>
      </c>
      <c r="I2057" t="s">
        <v>154</v>
      </c>
      <c r="J2057">
        <v>20141104</v>
      </c>
    </row>
    <row r="2058" spans="1:10">
      <c r="A2058" t="s">
        <v>1744</v>
      </c>
      <c r="B2058">
        <v>603989</v>
      </c>
      <c r="C2058" t="s">
        <v>1745</v>
      </c>
      <c r="D2058" t="s">
        <v>168</v>
      </c>
      <c r="E2058" t="s">
        <v>42</v>
      </c>
      <c r="F2058" t="s">
        <v>1746</v>
      </c>
      <c r="G2058" t="s">
        <v>152</v>
      </c>
      <c r="H2058" t="s">
        <v>174</v>
      </c>
      <c r="I2058" t="s">
        <v>154</v>
      </c>
      <c r="J2058">
        <v>20150515</v>
      </c>
    </row>
    <row r="2059" spans="1:10">
      <c r="A2059" t="s">
        <v>6021</v>
      </c>
      <c r="B2059">
        <v>603990</v>
      </c>
      <c r="C2059" t="s">
        <v>6022</v>
      </c>
      <c r="D2059" t="s">
        <v>212</v>
      </c>
      <c r="E2059" t="s">
        <v>123</v>
      </c>
      <c r="F2059" t="s">
        <v>6023</v>
      </c>
      <c r="G2059" t="s">
        <v>152</v>
      </c>
      <c r="H2059" t="s">
        <v>174</v>
      </c>
      <c r="I2059" t="s">
        <v>154</v>
      </c>
      <c r="J2059">
        <v>20161208</v>
      </c>
    </row>
    <row r="2060" spans="1:10">
      <c r="A2060" t="s">
        <v>791</v>
      </c>
      <c r="B2060">
        <v>603991</v>
      </c>
      <c r="C2060" t="s">
        <v>792</v>
      </c>
      <c r="D2060" t="s">
        <v>243</v>
      </c>
      <c r="E2060" t="s">
        <v>40</v>
      </c>
      <c r="F2060" t="s">
        <v>793</v>
      </c>
      <c r="G2060" t="s">
        <v>152</v>
      </c>
      <c r="H2060" t="s">
        <v>174</v>
      </c>
      <c r="I2060" t="s">
        <v>154</v>
      </c>
      <c r="J2060">
        <v>20170308</v>
      </c>
    </row>
    <row r="2061" spans="1:10">
      <c r="A2061" t="s">
        <v>2917</v>
      </c>
      <c r="B2061">
        <v>603992</v>
      </c>
      <c r="C2061" t="s">
        <v>2918</v>
      </c>
      <c r="D2061" t="s">
        <v>150</v>
      </c>
      <c r="E2061" t="s">
        <v>21</v>
      </c>
      <c r="F2061" t="s">
        <v>2919</v>
      </c>
      <c r="G2061" t="s">
        <v>152</v>
      </c>
      <c r="H2061" t="s">
        <v>174</v>
      </c>
      <c r="I2061" t="s">
        <v>154</v>
      </c>
      <c r="J2061">
        <v>20190826</v>
      </c>
    </row>
    <row r="2062" spans="1:10">
      <c r="A2062" t="s">
        <v>1207</v>
      </c>
      <c r="B2062">
        <v>603993</v>
      </c>
      <c r="C2062" t="s">
        <v>1208</v>
      </c>
      <c r="D2062" t="s">
        <v>292</v>
      </c>
      <c r="E2062" t="s">
        <v>41</v>
      </c>
      <c r="F2062" t="s">
        <v>1209</v>
      </c>
      <c r="G2062" t="s">
        <v>152</v>
      </c>
      <c r="H2062" t="s">
        <v>174</v>
      </c>
      <c r="I2062" t="s">
        <v>154</v>
      </c>
      <c r="J2062">
        <v>20121009</v>
      </c>
    </row>
    <row r="2063" spans="1:10">
      <c r="A2063" t="s">
        <v>954</v>
      </c>
      <c r="B2063">
        <v>603995</v>
      </c>
      <c r="C2063" t="s">
        <v>955</v>
      </c>
      <c r="D2063" t="s">
        <v>423</v>
      </c>
      <c r="E2063" t="s">
        <v>15</v>
      </c>
      <c r="F2063" t="s">
        <v>956</v>
      </c>
      <c r="G2063" t="s">
        <v>152</v>
      </c>
      <c r="H2063" t="s">
        <v>174</v>
      </c>
      <c r="I2063" t="s">
        <v>154</v>
      </c>
      <c r="J2063">
        <v>20191224</v>
      </c>
    </row>
    <row r="2064" spans="1:10">
      <c r="A2064" t="s">
        <v>2176</v>
      </c>
      <c r="B2064">
        <v>603997</v>
      </c>
      <c r="C2064" t="s">
        <v>2177</v>
      </c>
      <c r="D2064" t="s">
        <v>423</v>
      </c>
      <c r="E2064" t="s">
        <v>28</v>
      </c>
      <c r="F2064" t="s">
        <v>2178</v>
      </c>
      <c r="G2064" t="s">
        <v>152</v>
      </c>
      <c r="H2064" t="s">
        <v>174</v>
      </c>
      <c r="I2064" t="s">
        <v>154</v>
      </c>
      <c r="J2064">
        <v>20150302</v>
      </c>
    </row>
    <row r="2065" spans="1:10">
      <c r="A2065" t="s">
        <v>3337</v>
      </c>
      <c r="B2065">
        <v>603998</v>
      </c>
      <c r="C2065" t="s">
        <v>3338</v>
      </c>
      <c r="D2065" t="s">
        <v>168</v>
      </c>
      <c r="E2065" t="s">
        <v>67</v>
      </c>
      <c r="F2065" t="s">
        <v>3339</v>
      </c>
      <c r="G2065" t="s">
        <v>152</v>
      </c>
      <c r="H2065" t="s">
        <v>174</v>
      </c>
      <c r="I2065" t="s">
        <v>154</v>
      </c>
      <c r="J2065">
        <v>20141205</v>
      </c>
    </row>
    <row r="2066" spans="1:10">
      <c r="A2066" t="s">
        <v>6216</v>
      </c>
      <c r="B2066">
        <v>603999</v>
      </c>
      <c r="C2066" t="s">
        <v>6217</v>
      </c>
      <c r="D2066" t="s">
        <v>177</v>
      </c>
      <c r="E2066" t="s">
        <v>55</v>
      </c>
      <c r="F2066" t="s">
        <v>6218</v>
      </c>
      <c r="G2066" t="s">
        <v>152</v>
      </c>
      <c r="H2066" t="s">
        <v>174</v>
      </c>
      <c r="I2066" t="s">
        <v>154</v>
      </c>
      <c r="J2066">
        <v>20151210</v>
      </c>
    </row>
    <row r="2067" spans="1:10">
      <c r="A2067" t="s">
        <v>5802</v>
      </c>
      <c r="B2067">
        <v>605001</v>
      </c>
      <c r="C2067" t="s">
        <v>5803</v>
      </c>
      <c r="D2067" t="s">
        <v>198</v>
      </c>
      <c r="E2067" t="s">
        <v>128</v>
      </c>
      <c r="F2067" t="s">
        <v>5804</v>
      </c>
      <c r="G2067" t="s">
        <v>152</v>
      </c>
      <c r="H2067" t="s">
        <v>174</v>
      </c>
      <c r="I2067" t="s">
        <v>154</v>
      </c>
      <c r="J2067">
        <v>20200522</v>
      </c>
    </row>
    <row r="2068" spans="1:10">
      <c r="A2068" t="s">
        <v>794</v>
      </c>
      <c r="B2068">
        <v>605003</v>
      </c>
      <c r="C2068" t="s">
        <v>795</v>
      </c>
      <c r="D2068" t="s">
        <v>423</v>
      </c>
      <c r="E2068" t="s">
        <v>33</v>
      </c>
      <c r="F2068" t="s">
        <v>796</v>
      </c>
      <c r="G2068" t="s">
        <v>152</v>
      </c>
      <c r="H2068" t="s">
        <v>174</v>
      </c>
      <c r="I2068" t="s">
        <v>154</v>
      </c>
      <c r="J2068">
        <v>20200908</v>
      </c>
    </row>
    <row r="2069" spans="1:10">
      <c r="A2069" t="s">
        <v>2179</v>
      </c>
      <c r="B2069">
        <v>605005</v>
      </c>
      <c r="C2069" t="s">
        <v>2180</v>
      </c>
      <c r="D2069" t="s">
        <v>423</v>
      </c>
      <c r="E2069" t="s">
        <v>28</v>
      </c>
      <c r="F2069" t="s">
        <v>2181</v>
      </c>
      <c r="G2069" t="s">
        <v>152</v>
      </c>
      <c r="H2069" t="s">
        <v>174</v>
      </c>
      <c r="I2069" t="s">
        <v>154</v>
      </c>
      <c r="J2069">
        <v>20210119</v>
      </c>
    </row>
    <row r="2070" spans="1:10">
      <c r="A2070" t="s">
        <v>5196</v>
      </c>
      <c r="B2070">
        <v>605006</v>
      </c>
      <c r="C2070" t="s">
        <v>5197</v>
      </c>
      <c r="D2070" t="s">
        <v>198</v>
      </c>
      <c r="E2070" t="s">
        <v>45</v>
      </c>
      <c r="F2070" t="s">
        <v>5198</v>
      </c>
      <c r="G2070" t="s">
        <v>152</v>
      </c>
      <c r="H2070" t="s">
        <v>174</v>
      </c>
      <c r="I2070" t="s">
        <v>154</v>
      </c>
      <c r="J2070">
        <v>20200903</v>
      </c>
    </row>
    <row r="2071" spans="1:10">
      <c r="A2071" t="s">
        <v>2920</v>
      </c>
      <c r="B2071">
        <v>605007</v>
      </c>
      <c r="C2071" t="s">
        <v>2921</v>
      </c>
      <c r="D2071" t="s">
        <v>423</v>
      </c>
      <c r="E2071" t="s">
        <v>30</v>
      </c>
      <c r="F2071" t="s">
        <v>2922</v>
      </c>
      <c r="G2071" t="s">
        <v>152</v>
      </c>
      <c r="H2071" t="s">
        <v>174</v>
      </c>
      <c r="I2071" t="s">
        <v>154</v>
      </c>
      <c r="J2071">
        <v>20201110</v>
      </c>
    </row>
    <row r="2072" spans="1:10">
      <c r="A2072" t="s">
        <v>6718</v>
      </c>
      <c r="B2072">
        <v>605008</v>
      </c>
      <c r="C2072" t="s">
        <v>6719</v>
      </c>
      <c r="D2072" t="s">
        <v>423</v>
      </c>
      <c r="E2072" t="s">
        <v>51</v>
      </c>
      <c r="F2072" t="s">
        <v>6720</v>
      </c>
      <c r="G2072" t="s">
        <v>152</v>
      </c>
      <c r="H2072" t="s">
        <v>174</v>
      </c>
      <c r="I2072" t="s">
        <v>154</v>
      </c>
      <c r="J2072">
        <v>20200821</v>
      </c>
    </row>
    <row r="2073" spans="1:10">
      <c r="A2073" t="s">
        <v>2923</v>
      </c>
      <c r="B2073">
        <v>605009</v>
      </c>
      <c r="C2073" t="s">
        <v>2924</v>
      </c>
      <c r="D2073" t="s">
        <v>423</v>
      </c>
      <c r="E2073" t="s">
        <v>30</v>
      </c>
      <c r="F2073" t="s">
        <v>2925</v>
      </c>
      <c r="G2073" t="s">
        <v>152</v>
      </c>
      <c r="H2073" t="s">
        <v>174</v>
      </c>
      <c r="I2073" t="s">
        <v>154</v>
      </c>
      <c r="J2073">
        <v>20200911</v>
      </c>
    </row>
    <row r="2074" spans="1:10">
      <c r="A2074" t="s">
        <v>3709</v>
      </c>
      <c r="B2074">
        <v>605011</v>
      </c>
      <c r="C2074" t="s">
        <v>3710</v>
      </c>
      <c r="D2074" t="s">
        <v>423</v>
      </c>
      <c r="E2074" t="s">
        <v>91</v>
      </c>
      <c r="F2074" t="s">
        <v>3711</v>
      </c>
      <c r="G2074" t="s">
        <v>152</v>
      </c>
      <c r="H2074" t="s">
        <v>174</v>
      </c>
      <c r="I2074" t="s">
        <v>154</v>
      </c>
      <c r="J2074">
        <v>20210630</v>
      </c>
    </row>
    <row r="2075" spans="1:10">
      <c r="A2075" t="s">
        <v>2587</v>
      </c>
      <c r="B2075">
        <v>605016</v>
      </c>
      <c r="C2075" t="s">
        <v>2588</v>
      </c>
      <c r="D2075" t="s">
        <v>198</v>
      </c>
      <c r="E2075" t="s">
        <v>19</v>
      </c>
      <c r="F2075" t="s">
        <v>2589</v>
      </c>
      <c r="G2075" t="s">
        <v>152</v>
      </c>
      <c r="H2075" t="s">
        <v>174</v>
      </c>
      <c r="I2075" t="s">
        <v>154</v>
      </c>
      <c r="J2075">
        <v>20210421</v>
      </c>
    </row>
    <row r="2076" spans="1:10">
      <c r="A2076" t="s">
        <v>2182</v>
      </c>
      <c r="B2076">
        <v>605018</v>
      </c>
      <c r="C2076" t="s">
        <v>2183</v>
      </c>
      <c r="D2076" t="s">
        <v>423</v>
      </c>
      <c r="E2076" t="s">
        <v>28</v>
      </c>
      <c r="F2076" t="s">
        <v>2184</v>
      </c>
      <c r="G2076" t="s">
        <v>152</v>
      </c>
      <c r="H2076" t="s">
        <v>174</v>
      </c>
      <c r="I2076" t="s">
        <v>154</v>
      </c>
      <c r="J2076">
        <v>20200929</v>
      </c>
    </row>
    <row r="2077" spans="1:10">
      <c r="A2077" t="s">
        <v>797</v>
      </c>
      <c r="B2077">
        <v>605020</v>
      </c>
      <c r="C2077" t="s">
        <v>798</v>
      </c>
      <c r="D2077" t="s">
        <v>423</v>
      </c>
      <c r="E2077" t="s">
        <v>14</v>
      </c>
      <c r="F2077" t="s">
        <v>799</v>
      </c>
      <c r="G2077" t="s">
        <v>152</v>
      </c>
      <c r="H2077" t="s">
        <v>174</v>
      </c>
      <c r="I2077" t="s">
        <v>154</v>
      </c>
      <c r="J2077">
        <v>20210709</v>
      </c>
    </row>
    <row r="2078" spans="1:10">
      <c r="A2078" t="s">
        <v>3712</v>
      </c>
      <c r="B2078">
        <v>605028</v>
      </c>
      <c r="C2078" t="s">
        <v>3713</v>
      </c>
      <c r="D2078" t="s">
        <v>423</v>
      </c>
      <c r="E2078" t="s">
        <v>91</v>
      </c>
      <c r="F2078" t="s">
        <v>3714</v>
      </c>
      <c r="G2078" t="s">
        <v>152</v>
      </c>
      <c r="H2078" t="s">
        <v>174</v>
      </c>
      <c r="I2078" t="s">
        <v>154</v>
      </c>
      <c r="J2078">
        <v>20210712</v>
      </c>
    </row>
    <row r="2079" spans="1:10">
      <c r="A2079" t="s">
        <v>800</v>
      </c>
      <c r="B2079">
        <v>605033</v>
      </c>
      <c r="C2079" t="s">
        <v>801</v>
      </c>
      <c r="D2079" t="s">
        <v>419</v>
      </c>
      <c r="E2079" t="s">
        <v>47</v>
      </c>
      <c r="F2079" t="s">
        <v>802</v>
      </c>
      <c r="G2079" t="s">
        <v>152</v>
      </c>
      <c r="H2079" t="s">
        <v>174</v>
      </c>
      <c r="I2079" t="s">
        <v>154</v>
      </c>
      <c r="J2079">
        <v>20210916</v>
      </c>
    </row>
    <row r="2080" spans="1:10">
      <c r="A2080" t="s">
        <v>4117</v>
      </c>
      <c r="B2080">
        <v>605050</v>
      </c>
      <c r="C2080" t="s">
        <v>4118</v>
      </c>
      <c r="D2080" t="s">
        <v>172</v>
      </c>
      <c r="E2080" t="s">
        <v>50</v>
      </c>
      <c r="F2080" t="s">
        <v>4119</v>
      </c>
      <c r="G2080" t="s">
        <v>152</v>
      </c>
      <c r="H2080" t="s">
        <v>174</v>
      </c>
      <c r="I2080" t="s">
        <v>154</v>
      </c>
      <c r="J2080">
        <v>20200924</v>
      </c>
    </row>
    <row r="2081" spans="1:10">
      <c r="A2081" t="s">
        <v>803</v>
      </c>
      <c r="B2081">
        <v>605055</v>
      </c>
      <c r="C2081" t="s">
        <v>804</v>
      </c>
      <c r="D2081" t="s">
        <v>423</v>
      </c>
      <c r="E2081" t="s">
        <v>33</v>
      </c>
      <c r="F2081" t="s">
        <v>805</v>
      </c>
      <c r="G2081" t="s">
        <v>152</v>
      </c>
      <c r="H2081" t="s">
        <v>174</v>
      </c>
      <c r="I2081" t="s">
        <v>154</v>
      </c>
      <c r="J2081">
        <v>20210129</v>
      </c>
    </row>
    <row r="2082" spans="1:10">
      <c r="A2082" t="s">
        <v>1747</v>
      </c>
      <c r="B2082">
        <v>605056</v>
      </c>
      <c r="C2082" t="s">
        <v>1748</v>
      </c>
      <c r="D2082" t="s">
        <v>423</v>
      </c>
      <c r="E2082" t="s">
        <v>27</v>
      </c>
      <c r="F2082" t="s">
        <v>1749</v>
      </c>
      <c r="G2082" t="s">
        <v>152</v>
      </c>
      <c r="H2082" t="s">
        <v>174</v>
      </c>
      <c r="I2082" t="s">
        <v>154</v>
      </c>
      <c r="J2082">
        <v>20210720</v>
      </c>
    </row>
    <row r="2083" spans="1:10">
      <c r="A2083" t="s">
        <v>1750</v>
      </c>
      <c r="B2083">
        <v>605058</v>
      </c>
      <c r="C2083" t="s">
        <v>1751</v>
      </c>
      <c r="D2083" t="s">
        <v>212</v>
      </c>
      <c r="E2083" t="s">
        <v>42</v>
      </c>
      <c r="F2083" t="s">
        <v>1752</v>
      </c>
      <c r="G2083" t="s">
        <v>152</v>
      </c>
      <c r="H2083" t="s">
        <v>174</v>
      </c>
      <c r="I2083" t="s">
        <v>154</v>
      </c>
      <c r="J2083">
        <v>20201021</v>
      </c>
    </row>
    <row r="2084" spans="1:10">
      <c r="A2084" t="s">
        <v>5805</v>
      </c>
      <c r="B2084">
        <v>605060</v>
      </c>
      <c r="C2084" t="s">
        <v>5806</v>
      </c>
      <c r="D2084" t="s">
        <v>423</v>
      </c>
      <c r="E2084" t="s">
        <v>135</v>
      </c>
      <c r="F2084" t="s">
        <v>5807</v>
      </c>
      <c r="G2084" t="s">
        <v>152</v>
      </c>
      <c r="H2084" t="s">
        <v>174</v>
      </c>
      <c r="I2084" t="s">
        <v>154</v>
      </c>
      <c r="J2084">
        <v>20210301</v>
      </c>
    </row>
    <row r="2085" spans="1:10">
      <c r="A2085" t="s">
        <v>1753</v>
      </c>
      <c r="B2085">
        <v>605066</v>
      </c>
      <c r="C2085" t="s">
        <v>1754</v>
      </c>
      <c r="D2085" t="s">
        <v>423</v>
      </c>
      <c r="E2085" t="s">
        <v>17</v>
      </c>
      <c r="F2085" t="s">
        <v>1755</v>
      </c>
      <c r="G2085" t="s">
        <v>152</v>
      </c>
      <c r="H2085" t="s">
        <v>174</v>
      </c>
      <c r="I2085" t="s">
        <v>154</v>
      </c>
      <c r="J2085">
        <v>20200807</v>
      </c>
    </row>
    <row r="2086" spans="1:10">
      <c r="A2086" t="s">
        <v>2185</v>
      </c>
      <c r="B2086">
        <v>605068</v>
      </c>
      <c r="C2086" t="s">
        <v>2186</v>
      </c>
      <c r="D2086" t="s">
        <v>423</v>
      </c>
      <c r="E2086" t="s">
        <v>28</v>
      </c>
      <c r="F2086" t="s">
        <v>2187</v>
      </c>
      <c r="G2086" t="s">
        <v>152</v>
      </c>
      <c r="H2086" t="s">
        <v>174</v>
      </c>
      <c r="I2086" t="s">
        <v>154</v>
      </c>
      <c r="J2086">
        <v>20201123</v>
      </c>
    </row>
    <row r="2087" spans="1:10">
      <c r="A2087" t="s">
        <v>6654</v>
      </c>
      <c r="B2087">
        <v>605069</v>
      </c>
      <c r="C2087" t="s">
        <v>6655</v>
      </c>
      <c r="D2087" t="s">
        <v>164</v>
      </c>
      <c r="E2087" t="s">
        <v>119</v>
      </c>
      <c r="F2087" t="s">
        <v>6656</v>
      </c>
      <c r="G2087" t="s">
        <v>152</v>
      </c>
      <c r="H2087" t="s">
        <v>174</v>
      </c>
      <c r="I2087" t="s">
        <v>154</v>
      </c>
      <c r="J2087">
        <v>20210816</v>
      </c>
    </row>
    <row r="2088" spans="1:10">
      <c r="A2088" t="s">
        <v>2590</v>
      </c>
      <c r="B2088">
        <v>605077</v>
      </c>
      <c r="C2088" t="s">
        <v>2591</v>
      </c>
      <c r="D2088" t="s">
        <v>423</v>
      </c>
      <c r="E2088" t="s">
        <v>19</v>
      </c>
      <c r="F2088" t="s">
        <v>2592</v>
      </c>
      <c r="G2088" t="s">
        <v>152</v>
      </c>
      <c r="H2088" t="s">
        <v>174</v>
      </c>
      <c r="I2088" t="s">
        <v>154</v>
      </c>
      <c r="J2088">
        <v>20210209</v>
      </c>
    </row>
    <row r="2089" spans="1:10">
      <c r="A2089" t="s">
        <v>806</v>
      </c>
      <c r="B2089">
        <v>605080</v>
      </c>
      <c r="C2089" t="s">
        <v>807</v>
      </c>
      <c r="D2089" t="s">
        <v>423</v>
      </c>
      <c r="E2089" t="s">
        <v>33</v>
      </c>
      <c r="F2089" t="s">
        <v>808</v>
      </c>
      <c r="G2089" t="s">
        <v>152</v>
      </c>
      <c r="H2089" t="s">
        <v>174</v>
      </c>
      <c r="I2089" t="s">
        <v>154</v>
      </c>
      <c r="J2089">
        <v>20210506</v>
      </c>
    </row>
    <row r="2090" spans="1:10">
      <c r="A2090" t="s">
        <v>6657</v>
      </c>
      <c r="B2090">
        <v>605081</v>
      </c>
      <c r="C2090" t="s">
        <v>6658</v>
      </c>
      <c r="D2090" t="s">
        <v>172</v>
      </c>
      <c r="E2090" t="s">
        <v>119</v>
      </c>
      <c r="F2090" t="s">
        <v>6659</v>
      </c>
      <c r="G2090" t="s">
        <v>152</v>
      </c>
      <c r="H2090" t="s">
        <v>174</v>
      </c>
      <c r="I2090" t="s">
        <v>154</v>
      </c>
      <c r="J2090">
        <v>20210209</v>
      </c>
    </row>
    <row r="2091" spans="1:10">
      <c r="A2091" t="s">
        <v>1210</v>
      </c>
      <c r="B2091">
        <v>605086</v>
      </c>
      <c r="C2091" t="s">
        <v>1211</v>
      </c>
      <c r="D2091" t="s">
        <v>150</v>
      </c>
      <c r="E2091" t="s">
        <v>52</v>
      </c>
      <c r="F2091" t="s">
        <v>1212</v>
      </c>
      <c r="G2091" t="s">
        <v>152</v>
      </c>
      <c r="H2091" t="s">
        <v>174</v>
      </c>
      <c r="I2091" t="s">
        <v>154</v>
      </c>
      <c r="J2091">
        <v>20210416</v>
      </c>
    </row>
    <row r="2092" spans="1:10">
      <c r="A2092" t="s">
        <v>2188</v>
      </c>
      <c r="B2092">
        <v>605088</v>
      </c>
      <c r="C2092" t="s">
        <v>2189</v>
      </c>
      <c r="D2092" t="s">
        <v>423</v>
      </c>
      <c r="E2092" t="s">
        <v>28</v>
      </c>
      <c r="F2092" t="s">
        <v>2190</v>
      </c>
      <c r="G2092" t="s">
        <v>152</v>
      </c>
      <c r="H2092" t="s">
        <v>174</v>
      </c>
      <c r="I2092" t="s">
        <v>154</v>
      </c>
      <c r="J2092">
        <v>20200817</v>
      </c>
    </row>
    <row r="2093" spans="1:10">
      <c r="A2093" t="s">
        <v>2593</v>
      </c>
      <c r="B2093">
        <v>605089</v>
      </c>
      <c r="C2093" t="s">
        <v>2594</v>
      </c>
      <c r="D2093" t="s">
        <v>212</v>
      </c>
      <c r="E2093" t="s">
        <v>19</v>
      </c>
      <c r="F2093" t="s">
        <v>2595</v>
      </c>
      <c r="G2093" t="s">
        <v>152</v>
      </c>
      <c r="H2093" t="s">
        <v>174</v>
      </c>
      <c r="I2093" t="s">
        <v>154</v>
      </c>
      <c r="J2093">
        <v>20210427</v>
      </c>
    </row>
    <row r="2094" spans="1:10">
      <c r="A2094" t="s">
        <v>3715</v>
      </c>
      <c r="B2094">
        <v>605090</v>
      </c>
      <c r="C2094" t="s">
        <v>3716</v>
      </c>
      <c r="D2094" t="s">
        <v>406</v>
      </c>
      <c r="E2094" t="s">
        <v>91</v>
      </c>
      <c r="F2094" t="s">
        <v>3717</v>
      </c>
      <c r="G2094" t="s">
        <v>152</v>
      </c>
      <c r="H2094" t="s">
        <v>174</v>
      </c>
      <c r="I2094" t="s">
        <v>154</v>
      </c>
      <c r="J2094">
        <v>20210525</v>
      </c>
    </row>
    <row r="2095" spans="1:10">
      <c r="A2095" t="s">
        <v>6147</v>
      </c>
      <c r="B2095">
        <v>605098</v>
      </c>
      <c r="C2095" t="s">
        <v>6148</v>
      </c>
      <c r="D2095" t="s">
        <v>172</v>
      </c>
      <c r="E2095" t="s">
        <v>129</v>
      </c>
      <c r="F2095" t="s">
        <v>6149</v>
      </c>
      <c r="G2095" t="s">
        <v>152</v>
      </c>
      <c r="H2095" t="s">
        <v>174</v>
      </c>
      <c r="I2095" t="s">
        <v>154</v>
      </c>
      <c r="J2095">
        <v>20210421</v>
      </c>
    </row>
    <row r="2096" spans="1:10">
      <c r="A2096" t="s">
        <v>6150</v>
      </c>
      <c r="B2096">
        <v>605099</v>
      </c>
      <c r="C2096" t="s">
        <v>6151</v>
      </c>
      <c r="D2096" t="s">
        <v>212</v>
      </c>
      <c r="E2096" t="s">
        <v>129</v>
      </c>
      <c r="F2096" t="s">
        <v>6152</v>
      </c>
      <c r="G2096" t="s">
        <v>152</v>
      </c>
      <c r="H2096" t="s">
        <v>174</v>
      </c>
      <c r="I2096" t="s">
        <v>154</v>
      </c>
      <c r="J2096">
        <v>20200930</v>
      </c>
    </row>
    <row r="2097" spans="1:10">
      <c r="A2097" t="s">
        <v>5808</v>
      </c>
      <c r="B2097">
        <v>605100</v>
      </c>
      <c r="C2097" t="s">
        <v>5809</v>
      </c>
      <c r="D2097" t="s">
        <v>198</v>
      </c>
      <c r="E2097" t="s">
        <v>135</v>
      </c>
      <c r="F2097" t="s">
        <v>5810</v>
      </c>
      <c r="G2097" t="s">
        <v>152</v>
      </c>
      <c r="H2097" t="s">
        <v>174</v>
      </c>
      <c r="I2097" t="s">
        <v>154</v>
      </c>
      <c r="J2097">
        <v>20200811</v>
      </c>
    </row>
    <row r="2098" spans="1:10">
      <c r="A2098" t="s">
        <v>4674</v>
      </c>
      <c r="B2098">
        <v>605108</v>
      </c>
      <c r="C2098" t="s">
        <v>4675</v>
      </c>
      <c r="D2098" t="s">
        <v>160</v>
      </c>
      <c r="E2098" t="s">
        <v>86</v>
      </c>
      <c r="F2098" t="s">
        <v>4676</v>
      </c>
      <c r="G2098" t="s">
        <v>152</v>
      </c>
      <c r="H2098" t="s">
        <v>174</v>
      </c>
      <c r="I2098" t="s">
        <v>154</v>
      </c>
      <c r="J2098">
        <v>20200716</v>
      </c>
    </row>
    <row r="2099" spans="1:10">
      <c r="A2099" t="s">
        <v>1756</v>
      </c>
      <c r="B2099">
        <v>605111</v>
      </c>
      <c r="C2099" t="s">
        <v>1757</v>
      </c>
      <c r="D2099" t="s">
        <v>212</v>
      </c>
      <c r="E2099" t="s">
        <v>31</v>
      </c>
      <c r="F2099" t="s">
        <v>1758</v>
      </c>
      <c r="G2099" t="s">
        <v>152</v>
      </c>
      <c r="H2099" t="s">
        <v>174</v>
      </c>
      <c r="I2099" t="s">
        <v>154</v>
      </c>
      <c r="J2099">
        <v>20200928</v>
      </c>
    </row>
    <row r="2100" spans="1:10">
      <c r="A2100" t="s">
        <v>3079</v>
      </c>
      <c r="B2100">
        <v>605116</v>
      </c>
      <c r="C2100" t="s">
        <v>3080</v>
      </c>
      <c r="D2100" t="s">
        <v>423</v>
      </c>
      <c r="E2100" t="s">
        <v>81</v>
      </c>
      <c r="F2100" t="s">
        <v>3081</v>
      </c>
      <c r="G2100" t="s">
        <v>152</v>
      </c>
      <c r="H2100" t="s">
        <v>174</v>
      </c>
      <c r="I2100" t="s">
        <v>154</v>
      </c>
      <c r="J2100">
        <v>20200921</v>
      </c>
    </row>
    <row r="2101" spans="1:10">
      <c r="A2101" t="s">
        <v>2314</v>
      </c>
      <c r="B2101">
        <v>605117</v>
      </c>
      <c r="C2101" t="s">
        <v>2315</v>
      </c>
      <c r="D2101" t="s">
        <v>423</v>
      </c>
      <c r="E2101" t="s">
        <v>8</v>
      </c>
      <c r="F2101" t="s">
        <v>2316</v>
      </c>
      <c r="G2101" t="s">
        <v>152</v>
      </c>
      <c r="H2101" t="s">
        <v>174</v>
      </c>
      <c r="I2101" t="s">
        <v>154</v>
      </c>
      <c r="J2101">
        <v>20210420</v>
      </c>
    </row>
    <row r="2102" spans="1:10">
      <c r="A2102" t="s">
        <v>1759</v>
      </c>
      <c r="B2102">
        <v>605118</v>
      </c>
      <c r="C2102" t="s">
        <v>1760</v>
      </c>
      <c r="D2102" t="s">
        <v>150</v>
      </c>
      <c r="E2102" t="s">
        <v>42</v>
      </c>
      <c r="F2102" t="s">
        <v>1761</v>
      </c>
      <c r="G2102" t="s">
        <v>152</v>
      </c>
      <c r="H2102" t="s">
        <v>174</v>
      </c>
      <c r="I2102" t="s">
        <v>154</v>
      </c>
      <c r="J2102">
        <v>20200730</v>
      </c>
    </row>
    <row r="2103" spans="1:10">
      <c r="A2103" t="s">
        <v>5199</v>
      </c>
      <c r="B2103">
        <v>605122</v>
      </c>
      <c r="C2103" t="s">
        <v>5200</v>
      </c>
      <c r="D2103" t="s">
        <v>937</v>
      </c>
      <c r="E2103" t="s">
        <v>75</v>
      </c>
      <c r="F2103" t="s">
        <v>5201</v>
      </c>
      <c r="G2103" t="s">
        <v>152</v>
      </c>
      <c r="H2103" t="s">
        <v>174</v>
      </c>
      <c r="I2103" t="s">
        <v>154</v>
      </c>
      <c r="J2103">
        <v>20210310</v>
      </c>
    </row>
    <row r="2104" spans="1:10">
      <c r="A2104" t="s">
        <v>4120</v>
      </c>
      <c r="B2104">
        <v>605123</v>
      </c>
      <c r="C2104" t="s">
        <v>4121</v>
      </c>
      <c r="D2104" t="s">
        <v>212</v>
      </c>
      <c r="E2104" t="s">
        <v>102</v>
      </c>
      <c r="F2104" t="s">
        <v>4122</v>
      </c>
      <c r="G2104" t="s">
        <v>152</v>
      </c>
      <c r="H2104" t="s">
        <v>174</v>
      </c>
      <c r="I2104" t="s">
        <v>154</v>
      </c>
      <c r="J2104">
        <v>20200825</v>
      </c>
    </row>
    <row r="2105" spans="1:10">
      <c r="A2105" t="s">
        <v>2191</v>
      </c>
      <c r="B2105">
        <v>605128</v>
      </c>
      <c r="C2105" t="s">
        <v>2192</v>
      </c>
      <c r="D2105" t="s">
        <v>172</v>
      </c>
      <c r="E2105" t="s">
        <v>28</v>
      </c>
      <c r="F2105" t="s">
        <v>2193</v>
      </c>
      <c r="G2105" t="s">
        <v>152</v>
      </c>
      <c r="H2105" t="s">
        <v>174</v>
      </c>
      <c r="I2105" t="s">
        <v>154</v>
      </c>
      <c r="J2105">
        <v>20200915</v>
      </c>
    </row>
    <row r="2106" spans="1:10">
      <c r="A2106" t="s">
        <v>2194</v>
      </c>
      <c r="B2106">
        <v>605133</v>
      </c>
      <c r="C2106" t="s">
        <v>2195</v>
      </c>
      <c r="D2106" t="s">
        <v>212</v>
      </c>
      <c r="E2106" t="s">
        <v>28</v>
      </c>
      <c r="F2106" t="s">
        <v>2196</v>
      </c>
      <c r="G2106" t="s">
        <v>152</v>
      </c>
      <c r="H2106" t="s">
        <v>174</v>
      </c>
      <c r="I2106" t="s">
        <v>154</v>
      </c>
      <c r="J2106">
        <v>20210224</v>
      </c>
    </row>
    <row r="2107" spans="1:10">
      <c r="A2107" t="s">
        <v>6699</v>
      </c>
      <c r="B2107">
        <v>605136</v>
      </c>
      <c r="C2107" t="s">
        <v>6700</v>
      </c>
      <c r="D2107" t="s">
        <v>172</v>
      </c>
      <c r="E2107" t="s">
        <v>114</v>
      </c>
      <c r="F2107" t="s">
        <v>6701</v>
      </c>
      <c r="G2107" t="s">
        <v>152</v>
      </c>
      <c r="H2107" t="s">
        <v>174</v>
      </c>
      <c r="I2107" t="s">
        <v>154</v>
      </c>
      <c r="J2107">
        <v>20200929</v>
      </c>
    </row>
    <row r="2108" spans="1:10">
      <c r="A2108" t="s">
        <v>2710</v>
      </c>
      <c r="B2108">
        <v>605138</v>
      </c>
      <c r="C2108" t="s">
        <v>2711</v>
      </c>
      <c r="D2108" t="s">
        <v>423</v>
      </c>
      <c r="E2108" t="s">
        <v>20</v>
      </c>
      <c r="F2108" t="s">
        <v>2712</v>
      </c>
      <c r="G2108" t="s">
        <v>152</v>
      </c>
      <c r="H2108" t="s">
        <v>174</v>
      </c>
      <c r="I2108" t="s">
        <v>154</v>
      </c>
      <c r="J2108">
        <v>20211027</v>
      </c>
    </row>
    <row r="2109" spans="1:10">
      <c r="A2109" t="s">
        <v>2197</v>
      </c>
      <c r="B2109">
        <v>605151</v>
      </c>
      <c r="C2109" t="s">
        <v>2198</v>
      </c>
      <c r="D2109" t="s">
        <v>172</v>
      </c>
      <c r="E2109" t="s">
        <v>28</v>
      </c>
      <c r="F2109" t="s">
        <v>2199</v>
      </c>
      <c r="G2109" t="s">
        <v>152</v>
      </c>
      <c r="H2109" t="s">
        <v>174</v>
      </c>
      <c r="I2109" t="s">
        <v>154</v>
      </c>
      <c r="J2109">
        <v>20201215</v>
      </c>
    </row>
    <row r="2110" spans="1:10">
      <c r="A2110" t="s">
        <v>2926</v>
      </c>
      <c r="B2110">
        <v>605155</v>
      </c>
      <c r="C2110" t="s">
        <v>2927</v>
      </c>
      <c r="D2110" t="s">
        <v>423</v>
      </c>
      <c r="E2110" t="s">
        <v>21</v>
      </c>
      <c r="F2110" t="s">
        <v>2928</v>
      </c>
      <c r="G2110" t="s">
        <v>152</v>
      </c>
      <c r="H2110" t="s">
        <v>174</v>
      </c>
      <c r="I2110" t="s">
        <v>154</v>
      </c>
      <c r="J2110">
        <v>20201231</v>
      </c>
    </row>
    <row r="2111" spans="1:10">
      <c r="A2111" t="s">
        <v>957</v>
      </c>
      <c r="B2111">
        <v>605158</v>
      </c>
      <c r="C2111" t="s">
        <v>958</v>
      </c>
      <c r="D2111" t="s">
        <v>423</v>
      </c>
      <c r="E2111" t="s">
        <v>34</v>
      </c>
      <c r="F2111" t="s">
        <v>959</v>
      </c>
      <c r="G2111" t="s">
        <v>152</v>
      </c>
      <c r="H2111" t="s">
        <v>174</v>
      </c>
      <c r="I2111" t="s">
        <v>154</v>
      </c>
      <c r="J2111">
        <v>20200805</v>
      </c>
    </row>
    <row r="2112" spans="1:10">
      <c r="A2112" t="s">
        <v>3718</v>
      </c>
      <c r="B2112">
        <v>605162</v>
      </c>
      <c r="C2112" t="s">
        <v>3719</v>
      </c>
      <c r="D2112" t="s">
        <v>423</v>
      </c>
      <c r="E2112" t="s">
        <v>91</v>
      </c>
      <c r="F2112" t="s">
        <v>3720</v>
      </c>
      <c r="G2112" t="s">
        <v>152</v>
      </c>
      <c r="H2112" t="s">
        <v>174</v>
      </c>
      <c r="I2112" t="s">
        <v>154</v>
      </c>
      <c r="J2112">
        <v>20210707</v>
      </c>
    </row>
    <row r="2113" spans="1:10">
      <c r="A2113" t="s">
        <v>809</v>
      </c>
      <c r="B2113">
        <v>605166</v>
      </c>
      <c r="C2113" t="s">
        <v>810</v>
      </c>
      <c r="D2113" t="s">
        <v>423</v>
      </c>
      <c r="E2113" t="s">
        <v>24</v>
      </c>
      <c r="F2113" t="s">
        <v>811</v>
      </c>
      <c r="G2113" t="s">
        <v>152</v>
      </c>
      <c r="H2113" t="s">
        <v>174</v>
      </c>
      <c r="I2113" t="s">
        <v>154</v>
      </c>
      <c r="J2113">
        <v>20200618</v>
      </c>
    </row>
    <row r="2114" spans="1:10">
      <c r="A2114" t="s">
        <v>5397</v>
      </c>
      <c r="B2114">
        <v>605167</v>
      </c>
      <c r="C2114" t="s">
        <v>5398</v>
      </c>
      <c r="D2114" t="s">
        <v>212</v>
      </c>
      <c r="E2114" t="s">
        <v>121</v>
      </c>
      <c r="F2114" t="s">
        <v>5399</v>
      </c>
      <c r="G2114" t="s">
        <v>152</v>
      </c>
      <c r="H2114" t="s">
        <v>174</v>
      </c>
      <c r="I2114" t="s">
        <v>154</v>
      </c>
      <c r="J2114">
        <v>20210726</v>
      </c>
    </row>
    <row r="2115" spans="1:10">
      <c r="A2115" t="s">
        <v>6024</v>
      </c>
      <c r="B2115">
        <v>605168</v>
      </c>
      <c r="C2115" t="s">
        <v>6025</v>
      </c>
      <c r="D2115" t="s">
        <v>419</v>
      </c>
      <c r="E2115" t="s">
        <v>116</v>
      </c>
      <c r="F2115" t="s">
        <v>6026</v>
      </c>
      <c r="G2115" t="s">
        <v>152</v>
      </c>
      <c r="H2115" t="s">
        <v>174</v>
      </c>
      <c r="I2115" t="s">
        <v>154</v>
      </c>
      <c r="J2115">
        <v>20200528</v>
      </c>
    </row>
    <row r="2116" spans="1:10">
      <c r="A2116" t="s">
        <v>3721</v>
      </c>
      <c r="B2116">
        <v>605169</v>
      </c>
      <c r="C2116" t="s">
        <v>3722</v>
      </c>
      <c r="D2116" t="s">
        <v>202</v>
      </c>
      <c r="E2116" t="s">
        <v>91</v>
      </c>
      <c r="F2116" t="s">
        <v>3723</v>
      </c>
      <c r="G2116" t="s">
        <v>152</v>
      </c>
      <c r="H2116" t="s">
        <v>174</v>
      </c>
      <c r="I2116" t="s">
        <v>154</v>
      </c>
      <c r="J2116">
        <v>20201030</v>
      </c>
    </row>
    <row r="2117" spans="1:10">
      <c r="A2117" t="s">
        <v>3082</v>
      </c>
      <c r="B2117">
        <v>605177</v>
      </c>
      <c r="C2117" t="s">
        <v>3083</v>
      </c>
      <c r="D2117" t="s">
        <v>423</v>
      </c>
      <c r="E2117" t="s">
        <v>81</v>
      </c>
      <c r="F2117" t="s">
        <v>3084</v>
      </c>
      <c r="G2117" t="s">
        <v>152</v>
      </c>
      <c r="H2117" t="s">
        <v>174</v>
      </c>
      <c r="I2117" t="s">
        <v>154</v>
      </c>
      <c r="J2117">
        <v>20201125</v>
      </c>
    </row>
    <row r="2118" spans="1:10">
      <c r="A2118" t="s">
        <v>5400</v>
      </c>
      <c r="B2118">
        <v>605178</v>
      </c>
      <c r="C2118" t="s">
        <v>5401</v>
      </c>
      <c r="D2118" t="s">
        <v>164</v>
      </c>
      <c r="E2118" t="s">
        <v>115</v>
      </c>
      <c r="F2118" t="s">
        <v>5402</v>
      </c>
      <c r="G2118" t="s">
        <v>152</v>
      </c>
      <c r="H2118" t="s">
        <v>174</v>
      </c>
      <c r="I2118" t="s">
        <v>154</v>
      </c>
      <c r="J2118">
        <v>20200821</v>
      </c>
    </row>
    <row r="2119" spans="1:10">
      <c r="A2119" t="s">
        <v>2596</v>
      </c>
      <c r="B2119">
        <v>605179</v>
      </c>
      <c r="C2119" t="s">
        <v>2597</v>
      </c>
      <c r="D2119" t="s">
        <v>423</v>
      </c>
      <c r="E2119" t="s">
        <v>53</v>
      </c>
      <c r="F2119" t="s">
        <v>2598</v>
      </c>
      <c r="G2119" t="s">
        <v>152</v>
      </c>
      <c r="H2119" t="s">
        <v>174</v>
      </c>
      <c r="I2119" t="s">
        <v>154</v>
      </c>
      <c r="J2119">
        <v>20201228</v>
      </c>
    </row>
    <row r="2120" spans="1:10">
      <c r="A2120" t="s">
        <v>812</v>
      </c>
      <c r="B2120">
        <v>605180</v>
      </c>
      <c r="C2120" t="s">
        <v>813</v>
      </c>
      <c r="D2120" t="s">
        <v>423</v>
      </c>
      <c r="E2120" t="s">
        <v>33</v>
      </c>
      <c r="F2120" t="s">
        <v>814</v>
      </c>
      <c r="G2120" t="s">
        <v>152</v>
      </c>
      <c r="H2120" t="s">
        <v>174</v>
      </c>
      <c r="I2120" t="s">
        <v>154</v>
      </c>
      <c r="J2120">
        <v>20210430</v>
      </c>
    </row>
    <row r="2121" spans="1:10">
      <c r="A2121" t="s">
        <v>815</v>
      </c>
      <c r="B2121">
        <v>605183</v>
      </c>
      <c r="C2121" t="s">
        <v>816</v>
      </c>
      <c r="D2121" t="s">
        <v>212</v>
      </c>
      <c r="E2121" t="s">
        <v>14</v>
      </c>
      <c r="F2121" t="s">
        <v>817</v>
      </c>
      <c r="G2121" t="s">
        <v>152</v>
      </c>
      <c r="H2121" t="s">
        <v>174</v>
      </c>
      <c r="I2121" t="s">
        <v>154</v>
      </c>
      <c r="J2121">
        <v>20201207</v>
      </c>
    </row>
    <row r="2122" spans="1:10">
      <c r="A2122" t="s">
        <v>3193</v>
      </c>
      <c r="B2122">
        <v>605186</v>
      </c>
      <c r="C2122" t="s">
        <v>3194</v>
      </c>
      <c r="D2122" t="s">
        <v>172</v>
      </c>
      <c r="E2122" t="s">
        <v>90</v>
      </c>
      <c r="F2122" t="s">
        <v>3195</v>
      </c>
      <c r="G2122" t="s">
        <v>152</v>
      </c>
      <c r="H2122" t="s">
        <v>174</v>
      </c>
      <c r="I2122" t="s">
        <v>154</v>
      </c>
      <c r="J2122">
        <v>20201222</v>
      </c>
    </row>
    <row r="2123" spans="1:10">
      <c r="A2123" t="s">
        <v>4605</v>
      </c>
      <c r="B2123">
        <v>605188</v>
      </c>
      <c r="C2123" t="s">
        <v>4606</v>
      </c>
      <c r="D2123" t="s">
        <v>406</v>
      </c>
      <c r="E2123" t="s">
        <v>54</v>
      </c>
      <c r="F2123" t="s">
        <v>4607</v>
      </c>
      <c r="G2123" t="s">
        <v>152</v>
      </c>
      <c r="H2123" t="s">
        <v>174</v>
      </c>
      <c r="I2123" t="s">
        <v>154</v>
      </c>
      <c r="J2123">
        <v>20200728</v>
      </c>
    </row>
    <row r="2124" spans="1:10">
      <c r="A2124" t="s">
        <v>818</v>
      </c>
      <c r="B2124">
        <v>605189</v>
      </c>
      <c r="C2124" t="s">
        <v>819</v>
      </c>
      <c r="D2124" t="s">
        <v>160</v>
      </c>
      <c r="E2124" t="s">
        <v>33</v>
      </c>
      <c r="F2124" t="s">
        <v>820</v>
      </c>
      <c r="G2124" t="s">
        <v>152</v>
      </c>
      <c r="H2124" t="s">
        <v>174</v>
      </c>
      <c r="I2124" t="s">
        <v>154</v>
      </c>
      <c r="J2124">
        <v>20210528</v>
      </c>
    </row>
    <row r="2125" spans="1:10">
      <c r="A2125" t="s">
        <v>1762</v>
      </c>
      <c r="B2125">
        <v>605196</v>
      </c>
      <c r="C2125" t="s">
        <v>1763</v>
      </c>
      <c r="D2125" t="s">
        <v>279</v>
      </c>
      <c r="E2125" t="s">
        <v>17</v>
      </c>
      <c r="F2125" t="s">
        <v>1764</v>
      </c>
      <c r="G2125" t="s">
        <v>152</v>
      </c>
      <c r="H2125" t="s">
        <v>174</v>
      </c>
      <c r="I2125" t="s">
        <v>154</v>
      </c>
      <c r="J2125">
        <v>20210511</v>
      </c>
    </row>
    <row r="2126" spans="1:10">
      <c r="A2126" t="s">
        <v>2599</v>
      </c>
      <c r="B2126">
        <v>605198</v>
      </c>
      <c r="C2126" t="s">
        <v>2600</v>
      </c>
      <c r="D2126" t="s">
        <v>198</v>
      </c>
      <c r="E2126" t="s">
        <v>29</v>
      </c>
      <c r="F2126" t="s">
        <v>2601</v>
      </c>
      <c r="G2126" t="s">
        <v>152</v>
      </c>
      <c r="H2126" t="s">
        <v>174</v>
      </c>
      <c r="I2126" t="s">
        <v>154</v>
      </c>
      <c r="J2126">
        <v>20200918</v>
      </c>
    </row>
    <row r="2127" spans="1:10">
      <c r="A2127" t="s">
        <v>3307</v>
      </c>
      <c r="B2127">
        <v>605199</v>
      </c>
      <c r="C2127" t="s">
        <v>3308</v>
      </c>
      <c r="D2127" t="s">
        <v>250</v>
      </c>
      <c r="E2127" t="s">
        <v>67</v>
      </c>
      <c r="F2127" t="s">
        <v>3309</v>
      </c>
      <c r="G2127" t="s">
        <v>152</v>
      </c>
      <c r="H2127" t="s">
        <v>174</v>
      </c>
      <c r="I2127" t="s">
        <v>154</v>
      </c>
      <c r="J2127">
        <v>20200710</v>
      </c>
    </row>
    <row r="2128" spans="1:10">
      <c r="A2128" t="s">
        <v>1213</v>
      </c>
      <c r="B2128">
        <v>605208</v>
      </c>
      <c r="C2128" t="s">
        <v>1214</v>
      </c>
      <c r="D2128" t="s">
        <v>172</v>
      </c>
      <c r="E2128" t="s">
        <v>16</v>
      </c>
      <c r="F2128" t="s">
        <v>1215</v>
      </c>
      <c r="G2128" t="s">
        <v>152</v>
      </c>
      <c r="H2128" t="s">
        <v>174</v>
      </c>
      <c r="I2128" t="s">
        <v>154</v>
      </c>
      <c r="J2128">
        <v>20210308</v>
      </c>
    </row>
    <row r="2129" spans="1:10">
      <c r="A2129" t="s">
        <v>1765</v>
      </c>
      <c r="B2129">
        <v>605218</v>
      </c>
      <c r="C2129" t="s">
        <v>1766</v>
      </c>
      <c r="D2129" t="s">
        <v>212</v>
      </c>
      <c r="E2129" t="s">
        <v>42</v>
      </c>
      <c r="F2129" t="s">
        <v>1767</v>
      </c>
      <c r="G2129" t="s">
        <v>152</v>
      </c>
      <c r="H2129" t="s">
        <v>174</v>
      </c>
      <c r="I2129" t="s">
        <v>154</v>
      </c>
      <c r="J2129">
        <v>20200928</v>
      </c>
    </row>
    <row r="2130" spans="1:10">
      <c r="A2130" t="s">
        <v>1768</v>
      </c>
      <c r="B2130">
        <v>605222</v>
      </c>
      <c r="C2130" t="s">
        <v>1769</v>
      </c>
      <c r="D2130" t="s">
        <v>172</v>
      </c>
      <c r="E2130" t="s">
        <v>17</v>
      </c>
      <c r="F2130" t="s">
        <v>1770</v>
      </c>
      <c r="G2130" t="s">
        <v>152</v>
      </c>
      <c r="H2130" t="s">
        <v>174</v>
      </c>
      <c r="I2130" t="s">
        <v>154</v>
      </c>
      <c r="J2130">
        <v>20200731</v>
      </c>
    </row>
    <row r="2131" spans="1:10">
      <c r="A2131" t="s">
        <v>2200</v>
      </c>
      <c r="B2131">
        <v>605228</v>
      </c>
      <c r="C2131" t="s">
        <v>2201</v>
      </c>
      <c r="D2131" t="s">
        <v>423</v>
      </c>
      <c r="E2131" t="s">
        <v>28</v>
      </c>
      <c r="F2131" t="s">
        <v>2202</v>
      </c>
      <c r="G2131" t="s">
        <v>152</v>
      </c>
      <c r="H2131" t="s">
        <v>174</v>
      </c>
      <c r="I2131" t="s">
        <v>154</v>
      </c>
      <c r="J2131">
        <v>20210120</v>
      </c>
    </row>
    <row r="2132" spans="1:10">
      <c r="A2132" t="s">
        <v>2203</v>
      </c>
      <c r="B2132">
        <v>605255</v>
      </c>
      <c r="C2132" t="s">
        <v>2204</v>
      </c>
      <c r="D2132" t="s">
        <v>423</v>
      </c>
      <c r="E2132" t="s">
        <v>28</v>
      </c>
      <c r="F2132" t="s">
        <v>2205</v>
      </c>
      <c r="G2132" t="s">
        <v>152</v>
      </c>
      <c r="H2132" t="s">
        <v>174</v>
      </c>
      <c r="I2132" t="s">
        <v>154</v>
      </c>
      <c r="J2132">
        <v>20200825</v>
      </c>
    </row>
    <row r="2133" spans="1:10">
      <c r="A2133" t="s">
        <v>1771</v>
      </c>
      <c r="B2133">
        <v>605258</v>
      </c>
      <c r="C2133" t="s">
        <v>1772</v>
      </c>
      <c r="D2133" t="s">
        <v>212</v>
      </c>
      <c r="E2133" t="s">
        <v>42</v>
      </c>
      <c r="F2133" t="s">
        <v>1773</v>
      </c>
      <c r="G2133" t="s">
        <v>152</v>
      </c>
      <c r="H2133" t="s">
        <v>174</v>
      </c>
      <c r="I2133" t="s">
        <v>154</v>
      </c>
      <c r="J2133">
        <v>20201203</v>
      </c>
    </row>
    <row r="2134" spans="1:10">
      <c r="A2134" t="s">
        <v>5811</v>
      </c>
      <c r="B2134">
        <v>605259</v>
      </c>
      <c r="C2134" t="s">
        <v>5812</v>
      </c>
      <c r="D2134" t="s">
        <v>423</v>
      </c>
      <c r="E2134" t="s">
        <v>133</v>
      </c>
      <c r="F2134" t="s">
        <v>5813</v>
      </c>
      <c r="G2134" t="s">
        <v>152</v>
      </c>
      <c r="H2134" t="s">
        <v>174</v>
      </c>
      <c r="I2134" t="s">
        <v>154</v>
      </c>
      <c r="J2134">
        <v>20210615</v>
      </c>
    </row>
    <row r="2135" spans="1:10">
      <c r="A2135" t="s">
        <v>3274</v>
      </c>
      <c r="B2135">
        <v>605266</v>
      </c>
      <c r="C2135" t="s">
        <v>3275</v>
      </c>
      <c r="D2135" t="s">
        <v>184</v>
      </c>
      <c r="E2135" t="s">
        <v>95</v>
      </c>
      <c r="F2135" t="s">
        <v>3276</v>
      </c>
      <c r="G2135" t="s">
        <v>152</v>
      </c>
      <c r="H2135" t="s">
        <v>174</v>
      </c>
      <c r="I2135" t="s">
        <v>154</v>
      </c>
      <c r="J2135">
        <v>20201201</v>
      </c>
    </row>
    <row r="2136" spans="1:10">
      <c r="A2136" t="s">
        <v>2929</v>
      </c>
      <c r="B2136">
        <v>605268</v>
      </c>
      <c r="C2136" t="s">
        <v>2930</v>
      </c>
      <c r="D2136" t="s">
        <v>423</v>
      </c>
      <c r="E2136" t="s">
        <v>21</v>
      </c>
      <c r="F2136" t="s">
        <v>2931</v>
      </c>
      <c r="G2136" t="s">
        <v>152</v>
      </c>
      <c r="H2136" t="s">
        <v>174</v>
      </c>
      <c r="I2136" t="s">
        <v>154</v>
      </c>
      <c r="J2136">
        <v>20210224</v>
      </c>
    </row>
    <row r="2137" spans="1:10">
      <c r="A2137" t="s">
        <v>1774</v>
      </c>
      <c r="B2137">
        <v>605277</v>
      </c>
      <c r="C2137" t="s">
        <v>1775</v>
      </c>
      <c r="D2137" t="s">
        <v>423</v>
      </c>
      <c r="E2137" t="s">
        <v>42</v>
      </c>
      <c r="F2137" t="s">
        <v>1776</v>
      </c>
      <c r="G2137" t="s">
        <v>152</v>
      </c>
      <c r="H2137" t="s">
        <v>174</v>
      </c>
      <c r="I2137" t="s">
        <v>154</v>
      </c>
      <c r="J2137">
        <v>20210106</v>
      </c>
    </row>
    <row r="2138" spans="1:10">
      <c r="A2138" t="s">
        <v>5814</v>
      </c>
      <c r="B2138">
        <v>605286</v>
      </c>
      <c r="C2138" t="s">
        <v>5815</v>
      </c>
      <c r="D2138" t="s">
        <v>212</v>
      </c>
      <c r="E2138" t="s">
        <v>128</v>
      </c>
      <c r="F2138" t="s">
        <v>5816</v>
      </c>
      <c r="G2138" t="s">
        <v>152</v>
      </c>
      <c r="H2138" t="s">
        <v>174</v>
      </c>
      <c r="I2138" t="s">
        <v>154</v>
      </c>
      <c r="J2138">
        <v>20210322</v>
      </c>
    </row>
    <row r="2139" spans="1:10">
      <c r="A2139" t="s">
        <v>5403</v>
      </c>
      <c r="B2139">
        <v>605287</v>
      </c>
      <c r="C2139" t="s">
        <v>5404</v>
      </c>
      <c r="D2139" t="s">
        <v>198</v>
      </c>
      <c r="E2139" t="s">
        <v>115</v>
      </c>
      <c r="F2139" t="s">
        <v>5405</v>
      </c>
      <c r="G2139" t="s">
        <v>152</v>
      </c>
      <c r="H2139" t="s">
        <v>174</v>
      </c>
      <c r="I2139" t="s">
        <v>154</v>
      </c>
      <c r="J2139">
        <v>20210706</v>
      </c>
    </row>
    <row r="2140" spans="1:10">
      <c r="A2140" t="s">
        <v>1777</v>
      </c>
      <c r="B2140">
        <v>605288</v>
      </c>
      <c r="C2140" t="s">
        <v>1778</v>
      </c>
      <c r="D2140" t="s">
        <v>212</v>
      </c>
      <c r="E2140" t="s">
        <v>17</v>
      </c>
      <c r="F2140" t="s">
        <v>1779</v>
      </c>
      <c r="G2140" t="s">
        <v>152</v>
      </c>
      <c r="H2140" t="s">
        <v>174</v>
      </c>
      <c r="I2140" t="s">
        <v>154</v>
      </c>
      <c r="J2140">
        <v>20200601</v>
      </c>
    </row>
    <row r="2141" spans="1:10">
      <c r="A2141" t="s">
        <v>5406</v>
      </c>
      <c r="B2141">
        <v>605289</v>
      </c>
      <c r="C2141" t="s">
        <v>5407</v>
      </c>
      <c r="D2141" t="s">
        <v>172</v>
      </c>
      <c r="E2141" t="s">
        <v>121</v>
      </c>
      <c r="F2141" t="s">
        <v>5408</v>
      </c>
      <c r="G2141" t="s">
        <v>152</v>
      </c>
      <c r="H2141" t="s">
        <v>174</v>
      </c>
      <c r="I2141" t="s">
        <v>154</v>
      </c>
      <c r="J2141">
        <v>20210426</v>
      </c>
    </row>
    <row r="2142" spans="1:10">
      <c r="A2142" t="s">
        <v>300</v>
      </c>
      <c r="B2142">
        <v>605296</v>
      </c>
      <c r="C2142" t="s">
        <v>301</v>
      </c>
      <c r="D2142" t="s">
        <v>184</v>
      </c>
      <c r="E2142" t="s">
        <v>46</v>
      </c>
      <c r="F2142" t="s">
        <v>302</v>
      </c>
      <c r="G2142" t="s">
        <v>152</v>
      </c>
      <c r="H2142" t="s">
        <v>174</v>
      </c>
      <c r="I2142" t="s">
        <v>154</v>
      </c>
      <c r="J2142">
        <v>20210528</v>
      </c>
    </row>
    <row r="2143" spans="1:10">
      <c r="A2143" t="s">
        <v>5817</v>
      </c>
      <c r="B2143">
        <v>605298</v>
      </c>
      <c r="C2143" t="s">
        <v>5818</v>
      </c>
      <c r="D2143" t="s">
        <v>212</v>
      </c>
      <c r="E2143" t="s">
        <v>128</v>
      </c>
      <c r="F2143" t="s">
        <v>5819</v>
      </c>
      <c r="G2143" t="s">
        <v>152</v>
      </c>
      <c r="H2143" t="s">
        <v>174</v>
      </c>
      <c r="I2143" t="s">
        <v>154</v>
      </c>
      <c r="J2143">
        <v>20210301</v>
      </c>
    </row>
    <row r="2144" spans="1:10">
      <c r="A2144" t="s">
        <v>6153</v>
      </c>
      <c r="B2144">
        <v>605299</v>
      </c>
      <c r="C2144" t="s">
        <v>6154</v>
      </c>
      <c r="D2144" t="s">
        <v>150</v>
      </c>
      <c r="E2144" t="s">
        <v>129</v>
      </c>
      <c r="F2144" t="s">
        <v>6155</v>
      </c>
      <c r="G2144" t="s">
        <v>152</v>
      </c>
      <c r="H2144" t="s">
        <v>174</v>
      </c>
      <c r="I2144" t="s">
        <v>154</v>
      </c>
      <c r="J2144">
        <v>20201215</v>
      </c>
    </row>
    <row r="2145" spans="1:10">
      <c r="A2145" t="s">
        <v>2602</v>
      </c>
      <c r="B2145">
        <v>605300</v>
      </c>
      <c r="C2145" t="s">
        <v>2603</v>
      </c>
      <c r="D2145" t="s">
        <v>212</v>
      </c>
      <c r="E2145" t="s">
        <v>53</v>
      </c>
      <c r="F2145" t="s">
        <v>2604</v>
      </c>
      <c r="G2145" t="s">
        <v>152</v>
      </c>
      <c r="H2145" t="s">
        <v>174</v>
      </c>
      <c r="I2145" t="s">
        <v>154</v>
      </c>
      <c r="J2145">
        <v>20210430</v>
      </c>
    </row>
    <row r="2146" spans="1:10">
      <c r="A2146" t="s">
        <v>5409</v>
      </c>
      <c r="B2146">
        <v>605303</v>
      </c>
      <c r="C2146" t="s">
        <v>5410</v>
      </c>
      <c r="D2146" t="s">
        <v>423</v>
      </c>
      <c r="E2146" t="s">
        <v>121</v>
      </c>
      <c r="F2146" t="s">
        <v>5411</v>
      </c>
      <c r="G2146" t="s">
        <v>152</v>
      </c>
      <c r="H2146" t="s">
        <v>174</v>
      </c>
      <c r="I2146" t="s">
        <v>154</v>
      </c>
      <c r="J2146">
        <v>20210301</v>
      </c>
    </row>
    <row r="2147" spans="1:10">
      <c r="A2147" t="s">
        <v>5820</v>
      </c>
      <c r="B2147">
        <v>605305</v>
      </c>
      <c r="C2147" t="s">
        <v>5821</v>
      </c>
      <c r="D2147" t="s">
        <v>164</v>
      </c>
      <c r="E2147" t="s">
        <v>122</v>
      </c>
      <c r="F2147" t="s">
        <v>5822</v>
      </c>
      <c r="G2147" t="s">
        <v>152</v>
      </c>
      <c r="H2147" t="s">
        <v>174</v>
      </c>
      <c r="I2147" t="s">
        <v>154</v>
      </c>
      <c r="J2147">
        <v>20210506</v>
      </c>
    </row>
    <row r="2148" spans="1:10">
      <c r="A2148" t="s">
        <v>5202</v>
      </c>
      <c r="B2148">
        <v>605318</v>
      </c>
      <c r="C2148" t="s">
        <v>5203</v>
      </c>
      <c r="D2148" t="s">
        <v>423</v>
      </c>
      <c r="E2148" t="s">
        <v>94</v>
      </c>
      <c r="F2148" t="s">
        <v>5204</v>
      </c>
      <c r="G2148" t="s">
        <v>152</v>
      </c>
      <c r="H2148" t="s">
        <v>174</v>
      </c>
      <c r="I2148" t="s">
        <v>154</v>
      </c>
      <c r="J2148">
        <v>20200803</v>
      </c>
    </row>
    <row r="2149" spans="1:10">
      <c r="A2149" t="s">
        <v>2206</v>
      </c>
      <c r="B2149">
        <v>605319</v>
      </c>
      <c r="C2149" t="s">
        <v>2207</v>
      </c>
      <c r="D2149" t="s">
        <v>212</v>
      </c>
      <c r="E2149" t="s">
        <v>28</v>
      </c>
      <c r="F2149" t="s">
        <v>2208</v>
      </c>
      <c r="G2149" t="s">
        <v>152</v>
      </c>
      <c r="H2149" t="s">
        <v>174</v>
      </c>
      <c r="I2149" t="s">
        <v>154</v>
      </c>
      <c r="J2149">
        <v>20210607</v>
      </c>
    </row>
    <row r="2150" spans="1:10">
      <c r="A2150" t="s">
        <v>2209</v>
      </c>
      <c r="B2150">
        <v>605333</v>
      </c>
      <c r="C2150" t="s">
        <v>2210</v>
      </c>
      <c r="D2150" t="s">
        <v>212</v>
      </c>
      <c r="E2150" t="s">
        <v>28</v>
      </c>
      <c r="F2150" t="s">
        <v>2211</v>
      </c>
      <c r="G2150" t="s">
        <v>152</v>
      </c>
      <c r="H2150" t="s">
        <v>174</v>
      </c>
      <c r="I2150" t="s">
        <v>154</v>
      </c>
      <c r="J2150">
        <v>20200818</v>
      </c>
    </row>
    <row r="2151" spans="1:10">
      <c r="A2151" t="s">
        <v>2317</v>
      </c>
      <c r="B2151">
        <v>605336</v>
      </c>
      <c r="C2151" t="s">
        <v>2318</v>
      </c>
      <c r="D2151" t="s">
        <v>423</v>
      </c>
      <c r="E2151" t="s">
        <v>8</v>
      </c>
      <c r="F2151" t="s">
        <v>2319</v>
      </c>
      <c r="G2151" t="s">
        <v>152</v>
      </c>
      <c r="H2151" t="s">
        <v>174</v>
      </c>
      <c r="I2151" t="s">
        <v>154</v>
      </c>
      <c r="J2151">
        <v>20201019</v>
      </c>
    </row>
    <row r="2152" spans="1:10">
      <c r="A2152" t="s">
        <v>2605</v>
      </c>
      <c r="B2152">
        <v>605337</v>
      </c>
      <c r="C2152" t="s">
        <v>2606</v>
      </c>
      <c r="D2152" t="s">
        <v>423</v>
      </c>
      <c r="E2152" t="s">
        <v>53</v>
      </c>
      <c r="F2152" t="s">
        <v>2607</v>
      </c>
      <c r="G2152" t="s">
        <v>152</v>
      </c>
      <c r="H2152" t="s">
        <v>174</v>
      </c>
      <c r="I2152" t="s">
        <v>154</v>
      </c>
      <c r="J2152">
        <v>20210208</v>
      </c>
    </row>
    <row r="2153" spans="1:10">
      <c r="A2153" t="s">
        <v>2608</v>
      </c>
      <c r="B2153">
        <v>605338</v>
      </c>
      <c r="C2153" t="s">
        <v>2609</v>
      </c>
      <c r="D2153" t="s">
        <v>172</v>
      </c>
      <c r="E2153" t="s">
        <v>19</v>
      </c>
      <c r="F2153" t="s">
        <v>2610</v>
      </c>
      <c r="G2153" t="s">
        <v>152</v>
      </c>
      <c r="H2153" t="s">
        <v>174</v>
      </c>
      <c r="I2153" t="s">
        <v>154</v>
      </c>
      <c r="J2153">
        <v>20201012</v>
      </c>
    </row>
    <row r="2154" spans="1:10">
      <c r="A2154" t="s">
        <v>2611</v>
      </c>
      <c r="B2154">
        <v>605339</v>
      </c>
      <c r="C2154" t="s">
        <v>2612</v>
      </c>
      <c r="D2154" t="s">
        <v>172</v>
      </c>
      <c r="E2154" t="s">
        <v>19</v>
      </c>
      <c r="F2154" t="s">
        <v>2613</v>
      </c>
      <c r="G2154" t="s">
        <v>152</v>
      </c>
      <c r="H2154" t="s">
        <v>174</v>
      </c>
      <c r="I2154" t="s">
        <v>154</v>
      </c>
      <c r="J2154">
        <v>20210518</v>
      </c>
    </row>
    <row r="2155" spans="1:10">
      <c r="A2155" t="s">
        <v>1780</v>
      </c>
      <c r="B2155">
        <v>605358</v>
      </c>
      <c r="C2155" t="s">
        <v>1781</v>
      </c>
      <c r="D2155" t="s">
        <v>423</v>
      </c>
      <c r="E2155" t="s">
        <v>31</v>
      </c>
      <c r="F2155" t="s">
        <v>1782</v>
      </c>
      <c r="G2155" t="s">
        <v>152</v>
      </c>
      <c r="H2155" t="s">
        <v>174</v>
      </c>
      <c r="I2155" t="s">
        <v>154</v>
      </c>
      <c r="J2155">
        <v>20200911</v>
      </c>
    </row>
    <row r="2156" spans="1:10">
      <c r="A2156" t="s">
        <v>2320</v>
      </c>
      <c r="B2156">
        <v>605365</v>
      </c>
      <c r="C2156" t="s">
        <v>2321</v>
      </c>
      <c r="D2156" t="s">
        <v>150</v>
      </c>
      <c r="E2156" t="s">
        <v>8</v>
      </c>
      <c r="F2156" t="s">
        <v>2322</v>
      </c>
      <c r="G2156" t="s">
        <v>152</v>
      </c>
      <c r="H2156" t="s">
        <v>174</v>
      </c>
      <c r="I2156" t="s">
        <v>154</v>
      </c>
      <c r="J2156">
        <v>20210720</v>
      </c>
    </row>
    <row r="2157" spans="1:10">
      <c r="A2157" t="s">
        <v>821</v>
      </c>
      <c r="B2157">
        <v>605366</v>
      </c>
      <c r="C2157" t="s">
        <v>822</v>
      </c>
      <c r="D2157" t="s">
        <v>406</v>
      </c>
      <c r="E2157" t="s">
        <v>14</v>
      </c>
      <c r="F2157" t="s">
        <v>823</v>
      </c>
      <c r="G2157" t="s">
        <v>152</v>
      </c>
      <c r="H2157" t="s">
        <v>174</v>
      </c>
      <c r="I2157" t="s">
        <v>154</v>
      </c>
      <c r="J2157">
        <v>20200812</v>
      </c>
    </row>
    <row r="2158" spans="1:10">
      <c r="A2158" t="s">
        <v>3724</v>
      </c>
      <c r="B2158">
        <v>605368</v>
      </c>
      <c r="C2158" t="s">
        <v>3725</v>
      </c>
      <c r="D2158" t="s">
        <v>292</v>
      </c>
      <c r="E2158" t="s">
        <v>91</v>
      </c>
      <c r="F2158" t="s">
        <v>3726</v>
      </c>
      <c r="G2158" t="s">
        <v>152</v>
      </c>
      <c r="H2158" t="s">
        <v>174</v>
      </c>
      <c r="I2158" t="s">
        <v>154</v>
      </c>
      <c r="J2158">
        <v>20210129</v>
      </c>
    </row>
    <row r="2159" spans="1:10">
      <c r="A2159" t="s">
        <v>3214</v>
      </c>
      <c r="B2159">
        <v>605369</v>
      </c>
      <c r="C2159" t="s">
        <v>3215</v>
      </c>
      <c r="D2159" t="s">
        <v>423</v>
      </c>
      <c r="E2159" t="s">
        <v>90</v>
      </c>
      <c r="F2159" t="s">
        <v>3216</v>
      </c>
      <c r="G2159" t="s">
        <v>152</v>
      </c>
      <c r="H2159" t="s">
        <v>174</v>
      </c>
      <c r="I2159" t="s">
        <v>154</v>
      </c>
      <c r="J2159">
        <v>20200916</v>
      </c>
    </row>
    <row r="2160" spans="1:10">
      <c r="A2160" t="s">
        <v>1216</v>
      </c>
      <c r="B2160">
        <v>605376</v>
      </c>
      <c r="C2160" t="s">
        <v>1217</v>
      </c>
      <c r="D2160" t="s">
        <v>212</v>
      </c>
      <c r="E2160" t="s">
        <v>41</v>
      </c>
      <c r="F2160" t="s">
        <v>1218</v>
      </c>
      <c r="G2160" t="s">
        <v>152</v>
      </c>
      <c r="H2160" t="s">
        <v>174</v>
      </c>
      <c r="I2160" t="s">
        <v>154</v>
      </c>
      <c r="J2160">
        <v>20201208</v>
      </c>
    </row>
    <row r="2161" spans="1:10">
      <c r="A2161" t="s">
        <v>2932</v>
      </c>
      <c r="B2161">
        <v>605377</v>
      </c>
      <c r="C2161" t="s">
        <v>2933</v>
      </c>
      <c r="D2161" t="s">
        <v>423</v>
      </c>
      <c r="E2161" t="s">
        <v>30</v>
      </c>
      <c r="F2161" t="s">
        <v>2934</v>
      </c>
      <c r="G2161" t="s">
        <v>152</v>
      </c>
      <c r="H2161" t="s">
        <v>174</v>
      </c>
      <c r="I2161" t="s">
        <v>154</v>
      </c>
      <c r="J2161">
        <v>20201228</v>
      </c>
    </row>
    <row r="2162" spans="1:10">
      <c r="A2162" t="s">
        <v>1783</v>
      </c>
      <c r="B2162">
        <v>605378</v>
      </c>
      <c r="C2162" t="s">
        <v>1784</v>
      </c>
      <c r="D2162" t="s">
        <v>423</v>
      </c>
      <c r="E2162" t="s">
        <v>17</v>
      </c>
      <c r="F2162" t="s">
        <v>1785</v>
      </c>
      <c r="G2162" t="s">
        <v>152</v>
      </c>
      <c r="H2162" t="s">
        <v>174</v>
      </c>
      <c r="I2162" t="s">
        <v>154</v>
      </c>
      <c r="J2162">
        <v>20210412</v>
      </c>
    </row>
    <row r="2163" spans="1:10">
      <c r="A2163" t="s">
        <v>2614</v>
      </c>
      <c r="B2163">
        <v>605388</v>
      </c>
      <c r="C2163" t="s">
        <v>2615</v>
      </c>
      <c r="D2163" t="s">
        <v>316</v>
      </c>
      <c r="E2163" t="s">
        <v>53</v>
      </c>
      <c r="F2163" t="s">
        <v>2616</v>
      </c>
      <c r="G2163" t="s">
        <v>152</v>
      </c>
      <c r="H2163" t="s">
        <v>174</v>
      </c>
      <c r="I2163" t="s">
        <v>154</v>
      </c>
      <c r="J2163">
        <v>20200818</v>
      </c>
    </row>
    <row r="2164" spans="1:10">
      <c r="A2164" t="s">
        <v>5823</v>
      </c>
      <c r="B2164">
        <v>605389</v>
      </c>
      <c r="C2164" t="s">
        <v>5824</v>
      </c>
      <c r="D2164" t="s">
        <v>212</v>
      </c>
      <c r="E2164" t="s">
        <v>135</v>
      </c>
      <c r="F2164" t="s">
        <v>5825</v>
      </c>
      <c r="G2164" t="s">
        <v>152</v>
      </c>
      <c r="H2164" t="s">
        <v>174</v>
      </c>
      <c r="I2164" t="s">
        <v>154</v>
      </c>
      <c r="J2164">
        <v>20210322</v>
      </c>
    </row>
    <row r="2165" spans="1:10">
      <c r="A2165" t="s">
        <v>6027</v>
      </c>
      <c r="B2165">
        <v>605398</v>
      </c>
      <c r="C2165" t="s">
        <v>6028</v>
      </c>
      <c r="D2165" t="s">
        <v>172</v>
      </c>
      <c r="E2165" t="s">
        <v>123</v>
      </c>
      <c r="F2165" t="s">
        <v>6029</v>
      </c>
      <c r="G2165" t="s">
        <v>152</v>
      </c>
      <c r="H2165" t="s">
        <v>174</v>
      </c>
      <c r="I2165" t="s">
        <v>154</v>
      </c>
      <c r="J2165">
        <v>20210121</v>
      </c>
    </row>
    <row r="2166" spans="1:10">
      <c r="A2166" t="s">
        <v>824</v>
      </c>
      <c r="B2166">
        <v>605399</v>
      </c>
      <c r="C2166" t="s">
        <v>825</v>
      </c>
      <c r="D2166" t="s">
        <v>406</v>
      </c>
      <c r="E2166" t="s">
        <v>14</v>
      </c>
      <c r="F2166" t="s">
        <v>826</v>
      </c>
      <c r="G2166" t="s">
        <v>152</v>
      </c>
      <c r="H2166" t="s">
        <v>174</v>
      </c>
      <c r="I2166" t="s">
        <v>154</v>
      </c>
      <c r="J2166">
        <v>20200804</v>
      </c>
    </row>
    <row r="2167" spans="1:10">
      <c r="A2167" t="s">
        <v>827</v>
      </c>
      <c r="B2167">
        <v>605488</v>
      </c>
      <c r="C2167" t="s">
        <v>828</v>
      </c>
      <c r="D2167" t="s">
        <v>423</v>
      </c>
      <c r="E2167" t="s">
        <v>40</v>
      </c>
      <c r="F2167" t="s">
        <v>829</v>
      </c>
      <c r="G2167" t="s">
        <v>152</v>
      </c>
      <c r="H2167" t="s">
        <v>174</v>
      </c>
      <c r="I2167" t="s">
        <v>154</v>
      </c>
      <c r="J2167">
        <v>20210513</v>
      </c>
    </row>
    <row r="2168" spans="1:10">
      <c r="A2168" t="s">
        <v>2617</v>
      </c>
      <c r="B2168">
        <v>605499</v>
      </c>
      <c r="C2168" t="s">
        <v>2618</v>
      </c>
      <c r="D2168" t="s">
        <v>243</v>
      </c>
      <c r="E2168" t="s">
        <v>29</v>
      </c>
      <c r="F2168" t="s">
        <v>2619</v>
      </c>
      <c r="G2168" t="s">
        <v>152</v>
      </c>
      <c r="H2168" t="s">
        <v>174</v>
      </c>
      <c r="I2168" t="s">
        <v>154</v>
      </c>
      <c r="J2168">
        <v>20210527</v>
      </c>
    </row>
    <row r="2169" spans="1:10">
      <c r="A2169" t="s">
        <v>2935</v>
      </c>
      <c r="B2169">
        <v>605500</v>
      </c>
      <c r="C2169" t="s">
        <v>2936</v>
      </c>
      <c r="D2169" t="s">
        <v>423</v>
      </c>
      <c r="E2169" t="s">
        <v>30</v>
      </c>
      <c r="F2169" t="s">
        <v>2937</v>
      </c>
      <c r="G2169" t="s">
        <v>152</v>
      </c>
      <c r="H2169" t="s">
        <v>174</v>
      </c>
      <c r="I2169" t="s">
        <v>154</v>
      </c>
      <c r="J2169">
        <v>20201222</v>
      </c>
    </row>
    <row r="2170" spans="1:10">
      <c r="A2170" t="s">
        <v>3085</v>
      </c>
      <c r="B2170">
        <v>605507</v>
      </c>
      <c r="C2170" t="s">
        <v>3086</v>
      </c>
      <c r="D2170" t="s">
        <v>423</v>
      </c>
      <c r="E2170" t="s">
        <v>81</v>
      </c>
      <c r="F2170" t="s">
        <v>3087</v>
      </c>
      <c r="G2170" t="s">
        <v>152</v>
      </c>
      <c r="H2170" t="s">
        <v>174</v>
      </c>
      <c r="I2170" t="s">
        <v>154</v>
      </c>
      <c r="J2170">
        <v>20210802</v>
      </c>
    </row>
    <row r="2171" spans="1:10">
      <c r="A2171" t="s">
        <v>2323</v>
      </c>
      <c r="B2171">
        <v>605555</v>
      </c>
      <c r="C2171" t="s">
        <v>2324</v>
      </c>
      <c r="D2171" t="s">
        <v>423</v>
      </c>
      <c r="E2171" t="s">
        <v>8</v>
      </c>
      <c r="F2171" t="s">
        <v>2325</v>
      </c>
      <c r="G2171" t="s">
        <v>152</v>
      </c>
      <c r="H2171" t="s">
        <v>174</v>
      </c>
      <c r="I2171" t="s">
        <v>154</v>
      </c>
      <c r="J2171">
        <v>20211021</v>
      </c>
    </row>
    <row r="2172" spans="1:10">
      <c r="A2172" t="s">
        <v>5205</v>
      </c>
      <c r="B2172">
        <v>605566</v>
      </c>
      <c r="C2172" t="s">
        <v>5206</v>
      </c>
      <c r="D2172" t="s">
        <v>423</v>
      </c>
      <c r="E2172" t="s">
        <v>88</v>
      </c>
      <c r="F2172" t="s">
        <v>5207</v>
      </c>
      <c r="G2172" t="s">
        <v>152</v>
      </c>
      <c r="H2172" t="s">
        <v>174</v>
      </c>
      <c r="I2172" t="s">
        <v>154</v>
      </c>
      <c r="J2172">
        <v>20211025</v>
      </c>
    </row>
    <row r="2173" spans="1:10">
      <c r="A2173" t="s">
        <v>2620</v>
      </c>
      <c r="B2173">
        <v>605567</v>
      </c>
      <c r="C2173" t="s">
        <v>2621</v>
      </c>
      <c r="D2173" t="s">
        <v>198</v>
      </c>
      <c r="E2173" t="s">
        <v>19</v>
      </c>
      <c r="F2173" t="s">
        <v>2622</v>
      </c>
      <c r="G2173" t="s">
        <v>152</v>
      </c>
      <c r="H2173" t="s">
        <v>174</v>
      </c>
      <c r="I2173" t="s">
        <v>154</v>
      </c>
      <c r="J2173">
        <v>20211013</v>
      </c>
    </row>
    <row r="2174" spans="1:10">
      <c r="A2174" t="s">
        <v>6219</v>
      </c>
      <c r="B2174">
        <v>605577</v>
      </c>
      <c r="C2174" t="s">
        <v>6220</v>
      </c>
      <c r="D2174" t="s">
        <v>194</v>
      </c>
      <c r="E2174" t="s">
        <v>55</v>
      </c>
      <c r="F2174" t="s">
        <v>6221</v>
      </c>
      <c r="G2174" t="s">
        <v>152</v>
      </c>
      <c r="H2174" t="s">
        <v>174</v>
      </c>
      <c r="I2174" t="s">
        <v>154</v>
      </c>
      <c r="J2174">
        <v>20210824</v>
      </c>
    </row>
    <row r="2175" spans="1:10">
      <c r="A2175" t="s">
        <v>3727</v>
      </c>
      <c r="B2175">
        <v>605580</v>
      </c>
      <c r="C2175" t="s">
        <v>3728</v>
      </c>
      <c r="D2175" t="s">
        <v>423</v>
      </c>
      <c r="E2175" t="s">
        <v>91</v>
      </c>
      <c r="F2175" t="s">
        <v>3729</v>
      </c>
      <c r="G2175" t="s">
        <v>152</v>
      </c>
      <c r="H2175" t="s">
        <v>174</v>
      </c>
      <c r="I2175" t="s">
        <v>154</v>
      </c>
      <c r="J2175">
        <v>20210819</v>
      </c>
    </row>
    <row r="2176" spans="1:10">
      <c r="A2176" t="s">
        <v>1786</v>
      </c>
      <c r="B2176">
        <v>605588</v>
      </c>
      <c r="C2176" t="s">
        <v>1787</v>
      </c>
      <c r="D2176" t="s">
        <v>212</v>
      </c>
      <c r="E2176" t="s">
        <v>31</v>
      </c>
      <c r="F2176" t="s">
        <v>1788</v>
      </c>
      <c r="G2176" t="s">
        <v>152</v>
      </c>
      <c r="H2176" t="s">
        <v>174</v>
      </c>
      <c r="I2176" t="s">
        <v>154</v>
      </c>
      <c r="J2176">
        <v>20210812</v>
      </c>
    </row>
    <row r="2177" spans="1:10">
      <c r="A2177" t="s">
        <v>830</v>
      </c>
      <c r="B2177">
        <v>605589</v>
      </c>
      <c r="C2177" t="s">
        <v>831</v>
      </c>
      <c r="D2177" t="s">
        <v>198</v>
      </c>
      <c r="E2177" t="s">
        <v>14</v>
      </c>
      <c r="F2177" t="s">
        <v>832</v>
      </c>
      <c r="G2177" t="s">
        <v>152</v>
      </c>
      <c r="H2177" t="s">
        <v>174</v>
      </c>
      <c r="I2177" t="s">
        <v>154</v>
      </c>
      <c r="J2177">
        <v>20210810</v>
      </c>
    </row>
    <row r="2178" spans="1:10">
      <c r="A2178" t="s">
        <v>5412</v>
      </c>
      <c r="B2178">
        <v>605598</v>
      </c>
      <c r="C2178" t="s">
        <v>5413</v>
      </c>
      <c r="D2178" t="s">
        <v>172</v>
      </c>
      <c r="E2178" t="s">
        <v>121</v>
      </c>
      <c r="F2178" t="s">
        <v>5414</v>
      </c>
      <c r="G2178" t="s">
        <v>152</v>
      </c>
      <c r="H2178" t="s">
        <v>174</v>
      </c>
      <c r="I2178" t="s">
        <v>154</v>
      </c>
      <c r="J2178">
        <v>20210917</v>
      </c>
    </row>
    <row r="2179" spans="1:10">
      <c r="A2179" t="s">
        <v>1219</v>
      </c>
      <c r="B2179">
        <v>605599</v>
      </c>
      <c r="C2179" t="s">
        <v>1220</v>
      </c>
      <c r="D2179" t="s">
        <v>164</v>
      </c>
      <c r="E2179" t="s">
        <v>48</v>
      </c>
      <c r="F2179" t="s">
        <v>1221</v>
      </c>
      <c r="G2179" t="s">
        <v>152</v>
      </c>
      <c r="H2179" t="s">
        <v>174</v>
      </c>
      <c r="I2179" t="s">
        <v>154</v>
      </c>
      <c r="J2179">
        <v>20210909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0.行业分类</vt:lpstr>
      <vt:lpstr>1.农林牧渔</vt:lpstr>
      <vt:lpstr>2.基础化工</vt:lpstr>
      <vt:lpstr>3.钢铁</vt:lpstr>
      <vt:lpstr>4.有色金属</vt:lpstr>
      <vt:lpstr>5.电子</vt:lpstr>
      <vt:lpstr>6.汽车</vt:lpstr>
      <vt:lpstr>7.家用电器</vt:lpstr>
      <vt:lpstr>8.食品饮料</vt:lpstr>
      <vt:lpstr>9.纺织服饰</vt:lpstr>
      <vt:lpstr>10.轻工制造</vt:lpstr>
      <vt:lpstr>11.医药生物</vt:lpstr>
      <vt:lpstr>12.公用事业</vt:lpstr>
      <vt:lpstr>13.交通运输</vt:lpstr>
      <vt:lpstr>14.房地产</vt:lpstr>
      <vt:lpstr>15.商贸零售</vt:lpstr>
      <vt:lpstr>16.社会服务</vt:lpstr>
      <vt:lpstr>17.银行</vt:lpstr>
      <vt:lpstr>18.非银金融</vt:lpstr>
      <vt:lpstr>19.综合</vt:lpstr>
      <vt:lpstr>20.建筑材料</vt:lpstr>
      <vt:lpstr>21.建筑装饰</vt:lpstr>
      <vt:lpstr>22.机械设备</vt:lpstr>
      <vt:lpstr>23.计算机</vt:lpstr>
      <vt:lpstr>24.传媒</vt:lpstr>
      <vt:lpstr>25.通信</vt:lpstr>
      <vt:lpstr>26.煤炭</vt:lpstr>
      <vt:lpstr>27.石油石化</vt:lpstr>
      <vt:lpstr>28.环保</vt:lpstr>
      <vt:lpstr>29.美容护理</vt:lpstr>
      <vt:lpstr>30.其他商业</vt:lpstr>
      <vt:lpstr>主板股票全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樊俊材</cp:lastModifiedBy>
  <dcterms:created xsi:type="dcterms:W3CDTF">2023-01-20T00:27:00Z</dcterms:created>
  <dcterms:modified xsi:type="dcterms:W3CDTF">2023-05-26T07:18:22Z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2B6D0C52594E49EB8C8CAA06501FD61C</vt:lpwstr>
  </property>
  <property fmtid="{D5CDD505-2E9C-101B-9397-08002B2CF9AE}" pid="3" name="KSOProductBuildVer">
    <vt:lpwstr>2052-11.1.0.14309</vt:lpwstr>
  </property>
</Properties>
</file>