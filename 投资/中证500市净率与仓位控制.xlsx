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<sst xmlns="http://schemas.openxmlformats.org/spreadsheetml/2006/main" count="31" uniqueCount="17">
  <si>
    <t>单纯看市净率百分位无用。需要同时考虑估值因子与动量因子。</t>
  </si>
  <si>
    <t>要理解它是在做钟摆运动</t>
  </si>
  <si>
    <t>每次上升都会突破60%，跌破10%</t>
  </si>
  <si>
    <t>年化</t>
  </si>
  <si>
    <t>总结：市净率下降趋势下不交易</t>
  </si>
  <si>
    <t>日期</t>
  </si>
  <si>
    <t>中证500市净率百分位（近五年）</t>
  </si>
  <si>
    <t>中证500</t>
  </si>
  <si>
    <t>仓位1</t>
  </si>
  <si>
    <t>收益1</t>
  </si>
  <si>
    <t>指数收益率</t>
  </si>
  <si>
    <t>收益差</t>
  </si>
  <si>
    <t>仓位2</t>
  </si>
  <si>
    <t>收益2</t>
  </si>
  <si>
    <t>收益率</t>
  </si>
  <si>
    <t>仓位3</t>
  </si>
  <si>
    <t>收益3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</si>
</sst>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0" fontId="1" fillId="0" borderId="3" xfId="0" applyFont="1" applyBorder="1" applyAlignment="1">
      <alignment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9" fontId="0" fillId="0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0" fontId="1" fillId="0" borderId="3" xfId="0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9" fontId="0" fillId="0" borderId="1" xfId="0" applyNumberFormat="1" applyFill="1" applyBorder="1">
      <alignment vertical="center"/>
    </xf>
    <xf numFmtId="9" fontId="0" fillId="4" borderId="1" xfId="0" applyNumberFormat="1" applyFill="1" applyBorder="1">
      <alignment vertical="center"/>
    </xf>
    <xf numFmtId="0" fontId="0" fillId="0" borderId="0" xfId="0" applyFill="1" applyAlignment="1">
      <alignment vertical="center"/>
    </xf>
    <xf numFmtId="177" fontId="0" fillId="0" borderId="1" xfId="0" applyNumberFormat="1" applyFill="1" applyBorder="1">
      <alignment vertical="center"/>
    </xf>
    <xf numFmtId="177" fontId="0" fillId="5" borderId="1" xfId="0" applyNumberFormat="1" applyFill="1" applyBorder="1">
      <alignment vertical="center"/>
    </xf>
    <xf numFmtId="9" fontId="0" fillId="6" borderId="1" xfId="0" applyNumberFormat="1" applyFill="1" applyBorder="1">
      <alignment vertical="center"/>
    </xf>
    <xf numFmtId="0" fontId="1" fillId="0" borderId="3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收益3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Sheet1!$A$7:$A$130</c:f>
              <c:numCache>
                <c:formatCode>yyyy"年"m"月";@</c:formatCode>
                <c:ptCount val="124"/>
                <c:pt idx="0" c:formatCode="yyyy&quot;年&quot;m&quot;月&quot;;@">
                  <c:v>41214</c:v>
                </c:pt>
                <c:pt idx="1" c:formatCode="yyyy&quot;年&quot;m&quot;月&quot;;@">
                  <c:v>41609</c:v>
                </c:pt>
                <c:pt idx="2" c:formatCode="yyyy&quot;年&quot;m&quot;月&quot;;@">
                  <c:v>41275</c:v>
                </c:pt>
                <c:pt idx="3" c:formatCode="yyyy&quot;年&quot;m&quot;月&quot;;@">
                  <c:v>41306</c:v>
                </c:pt>
                <c:pt idx="4" c:formatCode="yyyy&quot;年&quot;m&quot;月&quot;;@">
                  <c:v>41334</c:v>
                </c:pt>
                <c:pt idx="5" c:formatCode="yyyy&quot;年&quot;m&quot;月&quot;;@">
                  <c:v>41365</c:v>
                </c:pt>
                <c:pt idx="6" c:formatCode="yyyy&quot;年&quot;m&quot;月&quot;;@">
                  <c:v>41395</c:v>
                </c:pt>
                <c:pt idx="7" c:formatCode="yyyy&quot;年&quot;m&quot;月&quot;;@">
                  <c:v>41426</c:v>
                </c:pt>
                <c:pt idx="8" c:formatCode="yyyy&quot;年&quot;m&quot;月&quot;;@">
                  <c:v>41456</c:v>
                </c:pt>
                <c:pt idx="9" c:formatCode="yyyy&quot;年&quot;m&quot;月&quot;;@">
                  <c:v>41487</c:v>
                </c:pt>
                <c:pt idx="10" c:formatCode="yyyy&quot;年&quot;m&quot;月&quot;;@">
                  <c:v>41518</c:v>
                </c:pt>
                <c:pt idx="11" c:formatCode="yyyy&quot;年&quot;m&quot;月&quot;;@">
                  <c:v>41548</c:v>
                </c:pt>
                <c:pt idx="12" c:formatCode="yyyy&quot;年&quot;m&quot;月&quot;;@">
                  <c:v>41579</c:v>
                </c:pt>
                <c:pt idx="13" c:formatCode="yyyy&quot;年&quot;m&quot;月&quot;;@">
                  <c:v>41609</c:v>
                </c:pt>
                <c:pt idx="14" c:formatCode="yyyy&quot;年&quot;m&quot;月&quot;;@">
                  <c:v>41640</c:v>
                </c:pt>
                <c:pt idx="15" c:formatCode="yyyy&quot;年&quot;m&quot;月&quot;;@">
                  <c:v>41671</c:v>
                </c:pt>
                <c:pt idx="16" c:formatCode="yyyy&quot;年&quot;m&quot;月&quot;;@">
                  <c:v>41699</c:v>
                </c:pt>
                <c:pt idx="17" c:formatCode="yyyy&quot;年&quot;m&quot;月&quot;;@">
                  <c:v>41730</c:v>
                </c:pt>
                <c:pt idx="18" c:formatCode="yyyy&quot;年&quot;m&quot;月&quot;;@">
                  <c:v>41760</c:v>
                </c:pt>
                <c:pt idx="19" c:formatCode="yyyy&quot;年&quot;m&quot;月&quot;;@">
                  <c:v>41791</c:v>
                </c:pt>
                <c:pt idx="20" c:formatCode="yyyy&quot;年&quot;m&quot;月&quot;;@">
                  <c:v>41821</c:v>
                </c:pt>
                <c:pt idx="21" c:formatCode="yyyy&quot;年&quot;m&quot;月&quot;;@">
                  <c:v>41852</c:v>
                </c:pt>
                <c:pt idx="22" c:formatCode="yyyy&quot;年&quot;m&quot;月&quot;;@">
                  <c:v>41883</c:v>
                </c:pt>
                <c:pt idx="23" c:formatCode="yyyy&quot;年&quot;m&quot;月&quot;;@">
                  <c:v>41913</c:v>
                </c:pt>
                <c:pt idx="24" c:formatCode="yyyy&quot;年&quot;m&quot;月&quot;;@">
                  <c:v>41944</c:v>
                </c:pt>
                <c:pt idx="25" c:formatCode="yyyy&quot;年&quot;m&quot;月&quot;;@">
                  <c:v>41974</c:v>
                </c:pt>
                <c:pt idx="26" c:formatCode="yyyy&quot;年&quot;m&quot;月&quot;;@">
                  <c:v>42005</c:v>
                </c:pt>
                <c:pt idx="27" c:formatCode="yyyy&quot;年&quot;m&quot;月&quot;;@">
                  <c:v>42036</c:v>
                </c:pt>
                <c:pt idx="28" c:formatCode="yyyy&quot;年&quot;m&quot;月&quot;;@">
                  <c:v>42064</c:v>
                </c:pt>
                <c:pt idx="29" c:formatCode="yyyy&quot;年&quot;m&quot;月&quot;;@">
                  <c:v>42095</c:v>
                </c:pt>
                <c:pt idx="30" c:formatCode="yyyy&quot;年&quot;m&quot;月&quot;;@">
                  <c:v>42125</c:v>
                </c:pt>
                <c:pt idx="31" c:formatCode="yyyy&quot;年&quot;m&quot;月&quot;;@">
                  <c:v>42156</c:v>
                </c:pt>
                <c:pt idx="32" c:formatCode="yyyy&quot;年&quot;m&quot;月&quot;;@">
                  <c:v>42186</c:v>
                </c:pt>
                <c:pt idx="33" c:formatCode="yyyy&quot;年&quot;m&quot;月&quot;;@">
                  <c:v>42217</c:v>
                </c:pt>
                <c:pt idx="34" c:formatCode="yyyy&quot;年&quot;m&quot;月&quot;;@">
                  <c:v>42248</c:v>
                </c:pt>
                <c:pt idx="35" c:formatCode="yyyy&quot;年&quot;m&quot;月&quot;;@">
                  <c:v>42278</c:v>
                </c:pt>
                <c:pt idx="36" c:formatCode="yyyy&quot;年&quot;m&quot;月&quot;;@">
                  <c:v>42309</c:v>
                </c:pt>
                <c:pt idx="37" c:formatCode="yyyy&quot;年&quot;m&quot;月&quot;;@">
                  <c:v>42339</c:v>
                </c:pt>
                <c:pt idx="38" c:formatCode="yyyy&quot;年&quot;m&quot;月&quot;;@">
                  <c:v>42370</c:v>
                </c:pt>
                <c:pt idx="39" c:formatCode="yyyy&quot;年&quot;m&quot;月&quot;;@">
                  <c:v>42401</c:v>
                </c:pt>
                <c:pt idx="40" c:formatCode="yyyy&quot;年&quot;m&quot;月&quot;;@">
                  <c:v>42430</c:v>
                </c:pt>
                <c:pt idx="41" c:formatCode="yyyy&quot;年&quot;m&quot;月&quot;;@">
                  <c:v>42461</c:v>
                </c:pt>
                <c:pt idx="42" c:formatCode="yyyy&quot;年&quot;m&quot;月&quot;;@">
                  <c:v>42491</c:v>
                </c:pt>
                <c:pt idx="43" c:formatCode="yyyy&quot;年&quot;m&quot;月&quot;;@">
                  <c:v>42522</c:v>
                </c:pt>
                <c:pt idx="44" c:formatCode="yyyy&quot;年&quot;m&quot;月&quot;;@">
                  <c:v>42552</c:v>
                </c:pt>
                <c:pt idx="45" c:formatCode="yyyy&quot;年&quot;m&quot;月&quot;;@">
                  <c:v>42583</c:v>
                </c:pt>
                <c:pt idx="46" c:formatCode="yyyy&quot;年&quot;m&quot;月&quot;;@">
                  <c:v>42614</c:v>
                </c:pt>
                <c:pt idx="47" c:formatCode="yyyy&quot;年&quot;m&quot;月&quot;;@">
                  <c:v>42644</c:v>
                </c:pt>
                <c:pt idx="48" c:formatCode="yyyy&quot;年&quot;m&quot;月&quot;;@">
                  <c:v>42675</c:v>
                </c:pt>
                <c:pt idx="49" c:formatCode="yyyy&quot;年&quot;m&quot;月&quot;;@">
                  <c:v>42705</c:v>
                </c:pt>
                <c:pt idx="50" c:formatCode="yyyy&quot;年&quot;m&quot;月&quot;;@">
                  <c:v>42736</c:v>
                </c:pt>
                <c:pt idx="51" c:formatCode="yyyy&quot;年&quot;m&quot;月&quot;;@">
                  <c:v>42767</c:v>
                </c:pt>
                <c:pt idx="52" c:formatCode="yyyy&quot;年&quot;m&quot;月&quot;;@">
                  <c:v>42795</c:v>
                </c:pt>
                <c:pt idx="53" c:formatCode="yyyy&quot;年&quot;m&quot;月&quot;;@">
                  <c:v>42826</c:v>
                </c:pt>
                <c:pt idx="54" c:formatCode="yyyy&quot;年&quot;m&quot;月&quot;;@">
                  <c:v>42856</c:v>
                </c:pt>
                <c:pt idx="55" c:formatCode="yyyy&quot;年&quot;m&quot;月&quot;;@">
                  <c:v>42887</c:v>
                </c:pt>
                <c:pt idx="56" c:formatCode="yyyy&quot;年&quot;m&quot;月&quot;;@">
                  <c:v>42917</c:v>
                </c:pt>
                <c:pt idx="57" c:formatCode="yyyy&quot;年&quot;m&quot;月&quot;;@">
                  <c:v>42948</c:v>
                </c:pt>
                <c:pt idx="58" c:formatCode="yyyy&quot;年&quot;m&quot;月&quot;;@">
                  <c:v>42979</c:v>
                </c:pt>
                <c:pt idx="59" c:formatCode="yyyy&quot;年&quot;m&quot;月&quot;;@">
                  <c:v>43009</c:v>
                </c:pt>
                <c:pt idx="60" c:formatCode="yyyy&quot;年&quot;m&quot;月&quot;;@">
                  <c:v>43040</c:v>
                </c:pt>
                <c:pt idx="61" c:formatCode="yyyy&quot;年&quot;m&quot;月&quot;;@">
                  <c:v>43070</c:v>
                </c:pt>
                <c:pt idx="62" c:formatCode="yyyy&quot;年&quot;m&quot;月&quot;;@">
                  <c:v>43101</c:v>
                </c:pt>
                <c:pt idx="63" c:formatCode="yyyy&quot;年&quot;m&quot;月&quot;;@">
                  <c:v>43132</c:v>
                </c:pt>
                <c:pt idx="64" c:formatCode="yyyy&quot;年&quot;m&quot;月&quot;;@">
                  <c:v>43160</c:v>
                </c:pt>
                <c:pt idx="65" c:formatCode="yyyy&quot;年&quot;m&quot;月&quot;;@">
                  <c:v>43191</c:v>
                </c:pt>
                <c:pt idx="66" c:formatCode="yyyy&quot;年&quot;m&quot;月&quot;;@">
                  <c:v>43221</c:v>
                </c:pt>
                <c:pt idx="67" c:formatCode="yyyy&quot;年&quot;m&quot;月&quot;;@">
                  <c:v>43252</c:v>
                </c:pt>
                <c:pt idx="68" c:formatCode="yyyy&quot;年&quot;m&quot;月&quot;;@">
                  <c:v>43282</c:v>
                </c:pt>
                <c:pt idx="69" c:formatCode="yyyy&quot;年&quot;m&quot;月&quot;;@">
                  <c:v>43313</c:v>
                </c:pt>
                <c:pt idx="70" c:formatCode="yyyy&quot;年&quot;m&quot;月&quot;;@">
                  <c:v>43344</c:v>
                </c:pt>
                <c:pt idx="71" c:formatCode="yyyy&quot;年&quot;m&quot;月&quot;;@">
                  <c:v>43374</c:v>
                </c:pt>
                <c:pt idx="72" c:formatCode="yyyy&quot;年&quot;m&quot;月&quot;;@">
                  <c:v>43405</c:v>
                </c:pt>
                <c:pt idx="73" c:formatCode="yyyy&quot;年&quot;m&quot;月&quot;;@">
                  <c:v>43435</c:v>
                </c:pt>
                <c:pt idx="74" c:formatCode="yyyy&quot;年&quot;m&quot;月&quot;;@">
                  <c:v>43466</c:v>
                </c:pt>
                <c:pt idx="75" c:formatCode="yyyy&quot;年&quot;m&quot;月&quot;;@">
                  <c:v>43497</c:v>
                </c:pt>
                <c:pt idx="76" c:formatCode="yyyy&quot;年&quot;m&quot;月&quot;;@">
                  <c:v>43525</c:v>
                </c:pt>
                <c:pt idx="77" c:formatCode="yyyy&quot;年&quot;m&quot;月&quot;;@">
                  <c:v>43556</c:v>
                </c:pt>
                <c:pt idx="78" c:formatCode="yyyy&quot;年&quot;m&quot;月&quot;;@">
                  <c:v>43586</c:v>
                </c:pt>
                <c:pt idx="79" c:formatCode="yyyy&quot;年&quot;m&quot;月&quot;;@">
                  <c:v>43617</c:v>
                </c:pt>
                <c:pt idx="80" c:formatCode="yyyy&quot;年&quot;m&quot;月&quot;;@">
                  <c:v>43647</c:v>
                </c:pt>
                <c:pt idx="81" c:formatCode="yyyy&quot;年&quot;m&quot;月&quot;;@">
                  <c:v>43678</c:v>
                </c:pt>
                <c:pt idx="82" c:formatCode="yyyy&quot;年&quot;m&quot;月&quot;;@">
                  <c:v>43709</c:v>
                </c:pt>
                <c:pt idx="83" c:formatCode="yyyy&quot;年&quot;m&quot;月&quot;;@">
                  <c:v>43739</c:v>
                </c:pt>
                <c:pt idx="84" c:formatCode="yyyy&quot;年&quot;m&quot;月&quot;;@">
                  <c:v>43770</c:v>
                </c:pt>
                <c:pt idx="85" c:formatCode="yyyy&quot;年&quot;m&quot;月&quot;;@">
                  <c:v>43800</c:v>
                </c:pt>
                <c:pt idx="86" c:formatCode="yyyy&quot;年&quot;m&quot;月&quot;;@">
                  <c:v>43831</c:v>
                </c:pt>
                <c:pt idx="87" c:formatCode="yyyy&quot;年&quot;m&quot;月&quot;;@">
                  <c:v>43862</c:v>
                </c:pt>
                <c:pt idx="88" c:formatCode="yyyy&quot;年&quot;m&quot;月&quot;;@">
                  <c:v>43891</c:v>
                </c:pt>
                <c:pt idx="89" c:formatCode="yyyy&quot;年&quot;m&quot;月&quot;;@">
                  <c:v>43922</c:v>
                </c:pt>
                <c:pt idx="90" c:formatCode="yyyy&quot;年&quot;m&quot;月&quot;;@">
                  <c:v>43952</c:v>
                </c:pt>
                <c:pt idx="91" c:formatCode="yyyy&quot;年&quot;m&quot;月&quot;;@">
                  <c:v>43983</c:v>
                </c:pt>
                <c:pt idx="92" c:formatCode="yyyy&quot;年&quot;m&quot;月&quot;;@">
                  <c:v>44013</c:v>
                </c:pt>
                <c:pt idx="93" c:formatCode="yyyy&quot;年&quot;m&quot;月&quot;;@">
                  <c:v>44044</c:v>
                </c:pt>
                <c:pt idx="94" c:formatCode="yyyy&quot;年&quot;m&quot;月&quot;;@">
                  <c:v>44075</c:v>
                </c:pt>
                <c:pt idx="95" c:formatCode="yyyy&quot;年&quot;m&quot;月&quot;;@">
                  <c:v>44105</c:v>
                </c:pt>
                <c:pt idx="96" c:formatCode="yyyy&quot;年&quot;m&quot;月&quot;;@">
                  <c:v>44136</c:v>
                </c:pt>
                <c:pt idx="97" c:formatCode="yyyy&quot;年&quot;m&quot;月&quot;;@">
                  <c:v>44166</c:v>
                </c:pt>
                <c:pt idx="98" c:formatCode="yyyy&quot;年&quot;m&quot;月&quot;;@">
                  <c:v>44197</c:v>
                </c:pt>
                <c:pt idx="99" c:formatCode="yyyy&quot;年&quot;m&quot;月&quot;;@">
                  <c:v>44228</c:v>
                </c:pt>
                <c:pt idx="100" c:formatCode="yyyy&quot;年&quot;m&quot;月&quot;;@">
                  <c:v>44256</c:v>
                </c:pt>
                <c:pt idx="101" c:formatCode="yyyy&quot;年&quot;m&quot;月&quot;;@">
                  <c:v>44287</c:v>
                </c:pt>
                <c:pt idx="102" c:formatCode="yyyy&quot;年&quot;m&quot;月&quot;;@">
                  <c:v>44317</c:v>
                </c:pt>
                <c:pt idx="103" c:formatCode="yyyy&quot;年&quot;m&quot;月&quot;;@">
                  <c:v>44348</c:v>
                </c:pt>
                <c:pt idx="104" c:formatCode="yyyy&quot;年&quot;m&quot;月&quot;;@">
                  <c:v>44378</c:v>
                </c:pt>
                <c:pt idx="105" c:formatCode="yyyy&quot;年&quot;m&quot;月&quot;;@">
                  <c:v>44409</c:v>
                </c:pt>
                <c:pt idx="106" c:formatCode="yyyy&quot;年&quot;m&quot;月&quot;;@">
                  <c:v>44440</c:v>
                </c:pt>
                <c:pt idx="107" c:formatCode="yyyy&quot;年&quot;m&quot;月&quot;;@">
                  <c:v>44470</c:v>
                </c:pt>
                <c:pt idx="108" c:formatCode="yyyy&quot;年&quot;m&quot;月&quot;;@">
                  <c:v>44501</c:v>
                </c:pt>
                <c:pt idx="109" c:formatCode="yyyy&quot;年&quot;m&quot;月&quot;;@">
                  <c:v>44531</c:v>
                </c:pt>
                <c:pt idx="110" c:formatCode="yyyy&quot;年&quot;m&quot;月&quot;;@">
                  <c:v>44562</c:v>
                </c:pt>
                <c:pt idx="111" c:formatCode="yyyy&quot;年&quot;m&quot;月&quot;;@">
                  <c:v>44593</c:v>
                </c:pt>
                <c:pt idx="112" c:formatCode="yyyy&quot;年&quot;m&quot;月&quot;;@">
                  <c:v>44621</c:v>
                </c:pt>
                <c:pt idx="113" c:formatCode="yyyy&quot;年&quot;m&quot;月&quot;;@">
                  <c:v>44652</c:v>
                </c:pt>
                <c:pt idx="114" c:formatCode="yyyy&quot;年&quot;m&quot;月&quot;;@">
                  <c:v>44682</c:v>
                </c:pt>
                <c:pt idx="115" c:formatCode="yyyy&quot;年&quot;m&quot;月&quot;;@">
                  <c:v>44713</c:v>
                </c:pt>
                <c:pt idx="116" c:formatCode="yyyy&quot;年&quot;m&quot;月&quot;;@">
                  <c:v>44743</c:v>
                </c:pt>
                <c:pt idx="117" c:formatCode="yyyy&quot;年&quot;m&quot;月&quot;;@">
                  <c:v>44774</c:v>
                </c:pt>
                <c:pt idx="118" c:formatCode="yyyy&quot;年&quot;m&quot;月&quot;;@">
                  <c:v>44805</c:v>
                </c:pt>
                <c:pt idx="119" c:formatCode="yyyy&quot;年&quot;m&quot;月&quot;;@">
                  <c:v>44835</c:v>
                </c:pt>
                <c:pt idx="120" c:formatCode="yyyy&quot;年&quot;m&quot;月&quot;;@">
                  <c:v>44866</c:v>
                </c:pt>
                <c:pt idx="121" c:formatCode="yyyy&quot;年&quot;m&quot;月&quot;;@">
                  <c:v>44896</c:v>
                </c:pt>
                <c:pt idx="122" c:formatCode="yyyy&quot;年&quot;m&quot;月&quot;;@">
                  <c:v>44927</c:v>
                </c:pt>
                <c:pt idx="123" c:formatCode="yyyy&quot;年&quot;m&quot;月&quot;;@">
                  <c:v>44958</c:v>
                </c:pt>
              </c:numCache>
            </c:numRef>
          </c:cat>
          <c:val>
            <c:numRef>
              <c:f>Sheet1!$S$7:$S$130</c:f>
              <c:numCache>
                <c:formatCode>0.000_ </c:formatCode>
                <c:ptCount val="124"/>
                <c:pt idx="0">
                  <c:v>1</c:v>
                </c:pt>
                <c:pt idx="1">
                  <c:v>1.13039772727273</c:v>
                </c:pt>
                <c:pt idx="2">
                  <c:v>1.18700390353921</c:v>
                </c:pt>
                <c:pt idx="3">
                  <c:v>1.22193183449393</c:v>
                </c:pt>
                <c:pt idx="4">
                  <c:v>1.17831076457075</c:v>
                </c:pt>
                <c:pt idx="5">
                  <c:v>1.1564332220896</c:v>
                </c:pt>
                <c:pt idx="6">
                  <c:v>1.28667363724148</c:v>
                </c:pt>
                <c:pt idx="7">
                  <c:v>1.12427338227281</c:v>
                </c:pt>
                <c:pt idx="8">
                  <c:v>1.17848872930049</c:v>
                </c:pt>
                <c:pt idx="9">
                  <c:v>1.24280741446814</c:v>
                </c:pt>
                <c:pt idx="10">
                  <c:v>1.29924932324748</c:v>
                </c:pt>
                <c:pt idx="11">
                  <c:v>1.25656737233915</c:v>
                </c:pt>
                <c:pt idx="12">
                  <c:v>1.3196495587663</c:v>
                </c:pt>
                <c:pt idx="13">
                  <c:v>1.28834717693646</c:v>
                </c:pt>
                <c:pt idx="14">
                  <c:v>1.30342107443627</c:v>
                </c:pt>
                <c:pt idx="15">
                  <c:v>1.32757714068065</c:v>
                </c:pt>
                <c:pt idx="16">
                  <c:v>1.29150712025461</c:v>
                </c:pt>
                <c:pt idx="17">
                  <c:v>1.27159638548402</c:v>
                </c:pt>
                <c:pt idx="18">
                  <c:v>1.2886140322786</c:v>
                </c:pt>
                <c:pt idx="19">
                  <c:v>1.31419111936483</c:v>
                </c:pt>
                <c:pt idx="20">
                  <c:v>1.40341143389051</c:v>
                </c:pt>
                <c:pt idx="21">
                  <c:v>1.44824675336646</c:v>
                </c:pt>
                <c:pt idx="22">
                  <c:v>1.57622374227926</c:v>
                </c:pt>
                <c:pt idx="23">
                  <c:v>1.59417909817178</c:v>
                </c:pt>
                <c:pt idx="24">
                  <c:v>1.66042737517563</c:v>
                </c:pt>
                <c:pt idx="25">
                  <c:v>1.67992829534929</c:v>
                </c:pt>
                <c:pt idx="26">
                  <c:v>1.69949904963558</c:v>
                </c:pt>
                <c:pt idx="27">
                  <c:v>1.72279473973357</c:v>
                </c:pt>
                <c:pt idx="28">
                  <c:v>1.7935043277552</c:v>
                </c:pt>
                <c:pt idx="29">
                  <c:v>1.85364223655295</c:v>
                </c:pt>
                <c:pt idx="30">
                  <c:v>1.91917305313389</c:v>
                </c:pt>
                <c:pt idx="31">
                  <c:v>1.8783477784736</c:v>
                </c:pt>
                <c:pt idx="32">
                  <c:v>1.82861564214258</c:v>
                </c:pt>
                <c:pt idx="33">
                  <c:v>1.77437483650274</c:v>
                </c:pt>
                <c:pt idx="34">
                  <c:v>1.74967756632744</c:v>
                </c:pt>
                <c:pt idx="35">
                  <c:v>1.80459966795215</c:v>
                </c:pt>
                <c:pt idx="36">
                  <c:v>1.82110701669344</c:v>
                </c:pt>
                <c:pt idx="37">
                  <c:v>1.83138270153386</c:v>
                </c:pt>
                <c:pt idx="38">
                  <c:v>1.72809242864703</c:v>
                </c:pt>
                <c:pt idx="39">
                  <c:v>1.72057211418336</c:v>
                </c:pt>
                <c:pt idx="40">
                  <c:v>1.77235007874103</c:v>
                </c:pt>
                <c:pt idx="41">
                  <c:v>1.7625596802557</c:v>
                </c:pt>
                <c:pt idx="42">
                  <c:v>1.76032150923316</c:v>
                </c:pt>
                <c:pt idx="43">
                  <c:v>1.77074076551784</c:v>
                </c:pt>
                <c:pt idx="44">
                  <c:v>1.77531004595148</c:v>
                </c:pt>
                <c:pt idx="45">
                  <c:v>1.78859195277704</c:v>
                </c:pt>
                <c:pt idx="46">
                  <c:v>1.78269855063236</c:v>
                </c:pt>
                <c:pt idx="47">
                  <c:v>1.78968510626695</c:v>
                </c:pt>
                <c:pt idx="48">
                  <c:v>1.79706353525435</c:v>
                </c:pt>
                <c:pt idx="49">
                  <c:v>1.77948860865293</c:v>
                </c:pt>
                <c:pt idx="50">
                  <c:v>1.77721559111034</c:v>
                </c:pt>
                <c:pt idx="51">
                  <c:v>1.79018129701367</c:v>
                </c:pt>
                <c:pt idx="52">
                  <c:v>1.78746133163216</c:v>
                </c:pt>
                <c:pt idx="53">
                  <c:v>1.77684993800585</c:v>
                </c:pt>
                <c:pt idx="54">
                  <c:v>1.75470725805067</c:v>
                </c:pt>
                <c:pt idx="55">
                  <c:v>1.77362820856673</c:v>
                </c:pt>
                <c:pt idx="56">
                  <c:v>1.78287488544424</c:v>
                </c:pt>
                <c:pt idx="57">
                  <c:v>1.79261303978836</c:v>
                </c:pt>
                <c:pt idx="58">
                  <c:v>1.79998297902459</c:v>
                </c:pt>
                <c:pt idx="59">
                  <c:v>1.79763861227923</c:v>
                </c:pt>
                <c:pt idx="60">
                  <c:v>1.78136121386926</c:v>
                </c:pt>
                <c:pt idx="61">
                  <c:v>1.78062170578111</c:v>
                </c:pt>
                <c:pt idx="62">
                  <c:v>1.77714593221143</c:v>
                </c:pt>
                <c:pt idx="63">
                  <c:v>1.7676126885615</c:v>
                </c:pt>
                <c:pt idx="64">
                  <c:v>1.77295397212979</c:v>
                </c:pt>
                <c:pt idx="65">
                  <c:v>1.7582228530941</c:v>
                </c:pt>
                <c:pt idx="66">
                  <c:v>1.75186204686789</c:v>
                </c:pt>
                <c:pt idx="67">
                  <c:v>1.71916305767192</c:v>
                </c:pt>
                <c:pt idx="68">
                  <c:v>1.71725177806017</c:v>
                </c:pt>
                <c:pt idx="69">
                  <c:v>1.69236023339747</c:v>
                </c:pt>
                <c:pt idx="70">
                  <c:v>1.69151616345562</c:v>
                </c:pt>
                <c:pt idx="71">
                  <c:v>1.6543028078596</c:v>
                </c:pt>
                <c:pt idx="72">
                  <c:v>1.66235746572558</c:v>
                </c:pt>
                <c:pt idx="73">
                  <c:v>1.64655443314464</c:v>
                </c:pt>
                <c:pt idx="74">
                  <c:v>1.64718650778309</c:v>
                </c:pt>
                <c:pt idx="75">
                  <c:v>1.71416262584381</c:v>
                </c:pt>
                <c:pt idx="76">
                  <c:v>1.85661721540647</c:v>
                </c:pt>
                <c:pt idx="77">
                  <c:v>1.79235355841025</c:v>
                </c:pt>
                <c:pt idx="78">
                  <c:v>1.68562966083014</c:v>
                </c:pt>
                <c:pt idx="79">
                  <c:v>1.69606189651606</c:v>
                </c:pt>
                <c:pt idx="80">
                  <c:v>1.68317867887787</c:v>
                </c:pt>
                <c:pt idx="81">
                  <c:v>1.67850985774128</c:v>
                </c:pt>
                <c:pt idx="82">
                  <c:v>1.69335055071189</c:v>
                </c:pt>
                <c:pt idx="83">
                  <c:v>1.68704333408576</c:v>
                </c:pt>
                <c:pt idx="84">
                  <c:v>1.68073021687055</c:v>
                </c:pt>
                <c:pt idx="85">
                  <c:v>1.77606546578826</c:v>
                </c:pt>
                <c:pt idx="86">
                  <c:v>1.812935514</c:v>
                </c:pt>
                <c:pt idx="87">
                  <c:v>1.83289567439219</c:v>
                </c:pt>
                <c:pt idx="88">
                  <c:v>1.72260585945904</c:v>
                </c:pt>
                <c:pt idx="89">
                  <c:v>1.80789894069708</c:v>
                </c:pt>
                <c:pt idx="90">
                  <c:v>1.82221893230656</c:v>
                </c:pt>
                <c:pt idx="91">
                  <c:v>1.94572263500673</c:v>
                </c:pt>
                <c:pt idx="92">
                  <c:v>2.13551686202308</c:v>
                </c:pt>
                <c:pt idx="93">
                  <c:v>2.15862809482077</c:v>
                </c:pt>
                <c:pt idx="94">
                  <c:v>2.03535191328092</c:v>
                </c:pt>
                <c:pt idx="95">
                  <c:v>2.01405171883961</c:v>
                </c:pt>
                <c:pt idx="96">
                  <c:v>2.06915717578446</c:v>
                </c:pt>
                <c:pt idx="97">
                  <c:v>2.05579932566231</c:v>
                </c:pt>
                <c:pt idx="98">
                  <c:v>2.07599987414864</c:v>
                </c:pt>
                <c:pt idx="99">
                  <c:v>2.08071062079026</c:v>
                </c:pt>
                <c:pt idx="100">
                  <c:v>2.05193900944055</c:v>
                </c:pt>
                <c:pt idx="101">
                  <c:v>2.11257193699805</c:v>
                </c:pt>
                <c:pt idx="102">
                  <c:v>2.17616084094593</c:v>
                </c:pt>
                <c:pt idx="103">
                  <c:v>2.19659974199331</c:v>
                </c:pt>
                <c:pt idx="104">
                  <c:v>2.18601682901778</c:v>
                </c:pt>
                <c:pt idx="105">
                  <c:v>2.31213194207357</c:v>
                </c:pt>
                <c:pt idx="106">
                  <c:v>2.27363359078447</c:v>
                </c:pt>
                <c:pt idx="107">
                  <c:v>2.26844878445413</c:v>
                </c:pt>
                <c:pt idx="108">
                  <c:v>2.28330691404047</c:v>
                </c:pt>
                <c:pt idx="109">
                  <c:v>2.28695869402157</c:v>
                </c:pt>
                <c:pt idx="110">
                  <c:v>2.24122577635422</c:v>
                </c:pt>
                <c:pt idx="111">
                  <c:v>2.25982318173248</c:v>
                </c:pt>
                <c:pt idx="112">
                  <c:v>2.22500086625153</c:v>
                </c:pt>
                <c:pt idx="113">
                  <c:v>2.17596290249573</c:v>
                </c:pt>
                <c:pt idx="114">
                  <c:v>2.29906641851467</c:v>
                </c:pt>
                <c:pt idx="115">
                  <c:v>2.42970039490024</c:v>
                </c:pt>
                <c:pt idx="116">
                  <c:v>2.38151296841322</c:v>
                </c:pt>
                <c:pt idx="117">
                  <c:v>2.33974000500159</c:v>
                </c:pt>
                <c:pt idx="118">
                  <c:v>2.20534558236212</c:v>
                </c:pt>
                <c:pt idx="119">
                  <c:v>2.23406061759624</c:v>
                </c:pt>
                <c:pt idx="120">
                  <c:v>2.34147403664788</c:v>
                </c:pt>
                <c:pt idx="121">
                  <c:v>2.25262278015649</c:v>
                </c:pt>
                <c:pt idx="122">
                  <c:v>2.38323187723242</c:v>
                </c:pt>
                <c:pt idx="123">
                  <c:v>2.40384688981334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5219980"/>
        <c:axId val="814072138"/>
      </c:lineChart>
      <c:dateAx>
        <c:axId val="9752199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072138"/>
        <c:crosses val="autoZero"/>
        <c:auto val="1"/>
        <c:lblOffset val="100"/>
        <c:baseTimeUnit val="days"/>
      </c:dateAx>
      <c:valAx>
        <c:axId val="81407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19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收益3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Sheet1!$A$7:$A$130</c:f>
              <c:numCache>
                <c:formatCode>yyyy"年"m"月";@</c:formatCode>
                <c:ptCount val="124"/>
                <c:pt idx="0" c:formatCode="yyyy&quot;年&quot;m&quot;月&quot;;@">
                  <c:v>41214</c:v>
                </c:pt>
                <c:pt idx="1" c:formatCode="yyyy&quot;年&quot;m&quot;月&quot;;@">
                  <c:v>41609</c:v>
                </c:pt>
                <c:pt idx="2" c:formatCode="yyyy&quot;年&quot;m&quot;月&quot;;@">
                  <c:v>41275</c:v>
                </c:pt>
                <c:pt idx="3" c:formatCode="yyyy&quot;年&quot;m&quot;月&quot;;@">
                  <c:v>41306</c:v>
                </c:pt>
                <c:pt idx="4" c:formatCode="yyyy&quot;年&quot;m&quot;月&quot;;@">
                  <c:v>41334</c:v>
                </c:pt>
                <c:pt idx="5" c:formatCode="yyyy&quot;年&quot;m&quot;月&quot;;@">
                  <c:v>41365</c:v>
                </c:pt>
                <c:pt idx="6" c:formatCode="yyyy&quot;年&quot;m&quot;月&quot;;@">
                  <c:v>41395</c:v>
                </c:pt>
                <c:pt idx="7" c:formatCode="yyyy&quot;年&quot;m&quot;月&quot;;@">
                  <c:v>41426</c:v>
                </c:pt>
                <c:pt idx="8" c:formatCode="yyyy&quot;年&quot;m&quot;月&quot;;@">
                  <c:v>41456</c:v>
                </c:pt>
                <c:pt idx="9" c:formatCode="yyyy&quot;年&quot;m&quot;月&quot;;@">
                  <c:v>41487</c:v>
                </c:pt>
                <c:pt idx="10" c:formatCode="yyyy&quot;年&quot;m&quot;月&quot;;@">
                  <c:v>41518</c:v>
                </c:pt>
                <c:pt idx="11" c:formatCode="yyyy&quot;年&quot;m&quot;月&quot;;@">
                  <c:v>41548</c:v>
                </c:pt>
                <c:pt idx="12" c:formatCode="yyyy&quot;年&quot;m&quot;月&quot;;@">
                  <c:v>41579</c:v>
                </c:pt>
                <c:pt idx="13" c:formatCode="yyyy&quot;年&quot;m&quot;月&quot;;@">
                  <c:v>41609</c:v>
                </c:pt>
                <c:pt idx="14" c:formatCode="yyyy&quot;年&quot;m&quot;月&quot;;@">
                  <c:v>41640</c:v>
                </c:pt>
                <c:pt idx="15" c:formatCode="yyyy&quot;年&quot;m&quot;月&quot;;@">
                  <c:v>41671</c:v>
                </c:pt>
                <c:pt idx="16" c:formatCode="yyyy&quot;年&quot;m&quot;月&quot;;@">
                  <c:v>41699</c:v>
                </c:pt>
                <c:pt idx="17" c:formatCode="yyyy&quot;年&quot;m&quot;月&quot;;@">
                  <c:v>41730</c:v>
                </c:pt>
                <c:pt idx="18" c:formatCode="yyyy&quot;年&quot;m&quot;月&quot;;@">
                  <c:v>41760</c:v>
                </c:pt>
                <c:pt idx="19" c:formatCode="yyyy&quot;年&quot;m&quot;月&quot;;@">
                  <c:v>41791</c:v>
                </c:pt>
                <c:pt idx="20" c:formatCode="yyyy&quot;年&quot;m&quot;月&quot;;@">
                  <c:v>41821</c:v>
                </c:pt>
                <c:pt idx="21" c:formatCode="yyyy&quot;年&quot;m&quot;月&quot;;@">
                  <c:v>41852</c:v>
                </c:pt>
                <c:pt idx="22" c:formatCode="yyyy&quot;年&quot;m&quot;月&quot;;@">
                  <c:v>41883</c:v>
                </c:pt>
                <c:pt idx="23" c:formatCode="yyyy&quot;年&quot;m&quot;月&quot;;@">
                  <c:v>41913</c:v>
                </c:pt>
                <c:pt idx="24" c:formatCode="yyyy&quot;年&quot;m&quot;月&quot;;@">
                  <c:v>41944</c:v>
                </c:pt>
                <c:pt idx="25" c:formatCode="yyyy&quot;年&quot;m&quot;月&quot;;@">
                  <c:v>41974</c:v>
                </c:pt>
                <c:pt idx="26" c:formatCode="yyyy&quot;年&quot;m&quot;月&quot;;@">
                  <c:v>42005</c:v>
                </c:pt>
                <c:pt idx="27" c:formatCode="yyyy&quot;年&quot;m&quot;月&quot;;@">
                  <c:v>42036</c:v>
                </c:pt>
                <c:pt idx="28" c:formatCode="yyyy&quot;年&quot;m&quot;月&quot;;@">
                  <c:v>42064</c:v>
                </c:pt>
                <c:pt idx="29" c:formatCode="yyyy&quot;年&quot;m&quot;月&quot;;@">
                  <c:v>42095</c:v>
                </c:pt>
                <c:pt idx="30" c:formatCode="yyyy&quot;年&quot;m&quot;月&quot;;@">
                  <c:v>42125</c:v>
                </c:pt>
                <c:pt idx="31" c:formatCode="yyyy&quot;年&quot;m&quot;月&quot;;@">
                  <c:v>42156</c:v>
                </c:pt>
                <c:pt idx="32" c:formatCode="yyyy&quot;年&quot;m&quot;月&quot;;@">
                  <c:v>42186</c:v>
                </c:pt>
                <c:pt idx="33" c:formatCode="yyyy&quot;年&quot;m&quot;月&quot;;@">
                  <c:v>42217</c:v>
                </c:pt>
                <c:pt idx="34" c:formatCode="yyyy&quot;年&quot;m&quot;月&quot;;@">
                  <c:v>42248</c:v>
                </c:pt>
                <c:pt idx="35" c:formatCode="yyyy&quot;年&quot;m&quot;月&quot;;@">
                  <c:v>42278</c:v>
                </c:pt>
                <c:pt idx="36" c:formatCode="yyyy&quot;年&quot;m&quot;月&quot;;@">
                  <c:v>42309</c:v>
                </c:pt>
                <c:pt idx="37" c:formatCode="yyyy&quot;年&quot;m&quot;月&quot;;@">
                  <c:v>42339</c:v>
                </c:pt>
                <c:pt idx="38" c:formatCode="yyyy&quot;年&quot;m&quot;月&quot;;@">
                  <c:v>42370</c:v>
                </c:pt>
                <c:pt idx="39" c:formatCode="yyyy&quot;年&quot;m&quot;月&quot;;@">
                  <c:v>42401</c:v>
                </c:pt>
                <c:pt idx="40" c:formatCode="yyyy&quot;年&quot;m&quot;月&quot;;@">
                  <c:v>42430</c:v>
                </c:pt>
                <c:pt idx="41" c:formatCode="yyyy&quot;年&quot;m&quot;月&quot;;@">
                  <c:v>42461</c:v>
                </c:pt>
                <c:pt idx="42" c:formatCode="yyyy&quot;年&quot;m&quot;月&quot;;@">
                  <c:v>42491</c:v>
                </c:pt>
                <c:pt idx="43" c:formatCode="yyyy&quot;年&quot;m&quot;月&quot;;@">
                  <c:v>42522</c:v>
                </c:pt>
                <c:pt idx="44" c:formatCode="yyyy&quot;年&quot;m&quot;月&quot;;@">
                  <c:v>42552</c:v>
                </c:pt>
                <c:pt idx="45" c:formatCode="yyyy&quot;年&quot;m&quot;月&quot;;@">
                  <c:v>42583</c:v>
                </c:pt>
                <c:pt idx="46" c:formatCode="yyyy&quot;年&quot;m&quot;月&quot;;@">
                  <c:v>42614</c:v>
                </c:pt>
                <c:pt idx="47" c:formatCode="yyyy&quot;年&quot;m&quot;月&quot;;@">
                  <c:v>42644</c:v>
                </c:pt>
                <c:pt idx="48" c:formatCode="yyyy&quot;年&quot;m&quot;月&quot;;@">
                  <c:v>42675</c:v>
                </c:pt>
                <c:pt idx="49" c:formatCode="yyyy&quot;年&quot;m&quot;月&quot;;@">
                  <c:v>42705</c:v>
                </c:pt>
                <c:pt idx="50" c:formatCode="yyyy&quot;年&quot;m&quot;月&quot;;@">
                  <c:v>42736</c:v>
                </c:pt>
                <c:pt idx="51" c:formatCode="yyyy&quot;年&quot;m&quot;月&quot;;@">
                  <c:v>42767</c:v>
                </c:pt>
                <c:pt idx="52" c:formatCode="yyyy&quot;年&quot;m&quot;月&quot;;@">
                  <c:v>42795</c:v>
                </c:pt>
                <c:pt idx="53" c:formatCode="yyyy&quot;年&quot;m&quot;月&quot;;@">
                  <c:v>42826</c:v>
                </c:pt>
                <c:pt idx="54" c:formatCode="yyyy&quot;年&quot;m&quot;月&quot;;@">
                  <c:v>42856</c:v>
                </c:pt>
                <c:pt idx="55" c:formatCode="yyyy&quot;年&quot;m&quot;月&quot;;@">
                  <c:v>42887</c:v>
                </c:pt>
                <c:pt idx="56" c:formatCode="yyyy&quot;年&quot;m&quot;月&quot;;@">
                  <c:v>42917</c:v>
                </c:pt>
                <c:pt idx="57" c:formatCode="yyyy&quot;年&quot;m&quot;月&quot;;@">
                  <c:v>42948</c:v>
                </c:pt>
                <c:pt idx="58" c:formatCode="yyyy&quot;年&quot;m&quot;月&quot;;@">
                  <c:v>42979</c:v>
                </c:pt>
                <c:pt idx="59" c:formatCode="yyyy&quot;年&quot;m&quot;月&quot;;@">
                  <c:v>43009</c:v>
                </c:pt>
                <c:pt idx="60" c:formatCode="yyyy&quot;年&quot;m&quot;月&quot;;@">
                  <c:v>43040</c:v>
                </c:pt>
                <c:pt idx="61" c:formatCode="yyyy&quot;年&quot;m&quot;月&quot;;@">
                  <c:v>43070</c:v>
                </c:pt>
                <c:pt idx="62" c:formatCode="yyyy&quot;年&quot;m&quot;月&quot;;@">
                  <c:v>43101</c:v>
                </c:pt>
                <c:pt idx="63" c:formatCode="yyyy&quot;年&quot;m&quot;月&quot;;@">
                  <c:v>43132</c:v>
                </c:pt>
                <c:pt idx="64" c:formatCode="yyyy&quot;年&quot;m&quot;月&quot;;@">
                  <c:v>43160</c:v>
                </c:pt>
                <c:pt idx="65" c:formatCode="yyyy&quot;年&quot;m&quot;月&quot;;@">
                  <c:v>43191</c:v>
                </c:pt>
                <c:pt idx="66" c:formatCode="yyyy&quot;年&quot;m&quot;月&quot;;@">
                  <c:v>43221</c:v>
                </c:pt>
                <c:pt idx="67" c:formatCode="yyyy&quot;年&quot;m&quot;月&quot;;@">
                  <c:v>43252</c:v>
                </c:pt>
                <c:pt idx="68" c:formatCode="yyyy&quot;年&quot;m&quot;月&quot;;@">
                  <c:v>43282</c:v>
                </c:pt>
                <c:pt idx="69" c:formatCode="yyyy&quot;年&quot;m&quot;月&quot;;@">
                  <c:v>43313</c:v>
                </c:pt>
                <c:pt idx="70" c:formatCode="yyyy&quot;年&quot;m&quot;月&quot;;@">
                  <c:v>43344</c:v>
                </c:pt>
                <c:pt idx="71" c:formatCode="yyyy&quot;年&quot;m&quot;月&quot;;@">
                  <c:v>43374</c:v>
                </c:pt>
                <c:pt idx="72" c:formatCode="yyyy&quot;年&quot;m&quot;月&quot;;@">
                  <c:v>43405</c:v>
                </c:pt>
                <c:pt idx="73" c:formatCode="yyyy&quot;年&quot;m&quot;月&quot;;@">
                  <c:v>43435</c:v>
                </c:pt>
                <c:pt idx="74" c:formatCode="yyyy&quot;年&quot;m&quot;月&quot;;@">
                  <c:v>43466</c:v>
                </c:pt>
                <c:pt idx="75" c:formatCode="yyyy&quot;年&quot;m&quot;月&quot;;@">
                  <c:v>43497</c:v>
                </c:pt>
                <c:pt idx="76" c:formatCode="yyyy&quot;年&quot;m&quot;月&quot;;@">
                  <c:v>43525</c:v>
                </c:pt>
                <c:pt idx="77" c:formatCode="yyyy&quot;年&quot;m&quot;月&quot;;@">
                  <c:v>43556</c:v>
                </c:pt>
                <c:pt idx="78" c:formatCode="yyyy&quot;年&quot;m&quot;月&quot;;@">
                  <c:v>43586</c:v>
                </c:pt>
                <c:pt idx="79" c:formatCode="yyyy&quot;年&quot;m&quot;月&quot;;@">
                  <c:v>43617</c:v>
                </c:pt>
                <c:pt idx="80" c:formatCode="yyyy&quot;年&quot;m&quot;月&quot;;@">
                  <c:v>43647</c:v>
                </c:pt>
                <c:pt idx="81" c:formatCode="yyyy&quot;年&quot;m&quot;月&quot;;@">
                  <c:v>43678</c:v>
                </c:pt>
                <c:pt idx="82" c:formatCode="yyyy&quot;年&quot;m&quot;月&quot;;@">
                  <c:v>43709</c:v>
                </c:pt>
                <c:pt idx="83" c:formatCode="yyyy&quot;年&quot;m&quot;月&quot;;@">
                  <c:v>43739</c:v>
                </c:pt>
                <c:pt idx="84" c:formatCode="yyyy&quot;年&quot;m&quot;月&quot;;@">
                  <c:v>43770</c:v>
                </c:pt>
                <c:pt idx="85" c:formatCode="yyyy&quot;年&quot;m&quot;月&quot;;@">
                  <c:v>43800</c:v>
                </c:pt>
                <c:pt idx="86" c:formatCode="yyyy&quot;年&quot;m&quot;月&quot;;@">
                  <c:v>43831</c:v>
                </c:pt>
                <c:pt idx="87" c:formatCode="yyyy&quot;年&quot;m&quot;月&quot;;@">
                  <c:v>43862</c:v>
                </c:pt>
                <c:pt idx="88" c:formatCode="yyyy&quot;年&quot;m&quot;月&quot;;@">
                  <c:v>43891</c:v>
                </c:pt>
                <c:pt idx="89" c:formatCode="yyyy&quot;年&quot;m&quot;月&quot;;@">
                  <c:v>43922</c:v>
                </c:pt>
                <c:pt idx="90" c:formatCode="yyyy&quot;年&quot;m&quot;月&quot;;@">
                  <c:v>43952</c:v>
                </c:pt>
                <c:pt idx="91" c:formatCode="yyyy&quot;年&quot;m&quot;月&quot;;@">
                  <c:v>43983</c:v>
                </c:pt>
                <c:pt idx="92" c:formatCode="yyyy&quot;年&quot;m&quot;月&quot;;@">
                  <c:v>44013</c:v>
                </c:pt>
                <c:pt idx="93" c:formatCode="yyyy&quot;年&quot;m&quot;月&quot;;@">
                  <c:v>44044</c:v>
                </c:pt>
                <c:pt idx="94" c:formatCode="yyyy&quot;年&quot;m&quot;月&quot;;@">
                  <c:v>44075</c:v>
                </c:pt>
                <c:pt idx="95" c:formatCode="yyyy&quot;年&quot;m&quot;月&quot;;@">
                  <c:v>44105</c:v>
                </c:pt>
                <c:pt idx="96" c:formatCode="yyyy&quot;年&quot;m&quot;月&quot;;@">
                  <c:v>44136</c:v>
                </c:pt>
                <c:pt idx="97" c:formatCode="yyyy&quot;年&quot;m&quot;月&quot;;@">
                  <c:v>44166</c:v>
                </c:pt>
                <c:pt idx="98" c:formatCode="yyyy&quot;年&quot;m&quot;月&quot;;@">
                  <c:v>44197</c:v>
                </c:pt>
                <c:pt idx="99" c:formatCode="yyyy&quot;年&quot;m&quot;月&quot;;@">
                  <c:v>44228</c:v>
                </c:pt>
                <c:pt idx="100" c:formatCode="yyyy&quot;年&quot;m&quot;月&quot;;@">
                  <c:v>44256</c:v>
                </c:pt>
                <c:pt idx="101" c:formatCode="yyyy&quot;年&quot;m&quot;月&quot;;@">
                  <c:v>44287</c:v>
                </c:pt>
                <c:pt idx="102" c:formatCode="yyyy&quot;年&quot;m&quot;月&quot;;@">
                  <c:v>44317</c:v>
                </c:pt>
                <c:pt idx="103" c:formatCode="yyyy&quot;年&quot;m&quot;月&quot;;@">
                  <c:v>44348</c:v>
                </c:pt>
                <c:pt idx="104" c:formatCode="yyyy&quot;年&quot;m&quot;月&quot;;@">
                  <c:v>44378</c:v>
                </c:pt>
                <c:pt idx="105" c:formatCode="yyyy&quot;年&quot;m&quot;月&quot;;@">
                  <c:v>44409</c:v>
                </c:pt>
                <c:pt idx="106" c:formatCode="yyyy&quot;年&quot;m&quot;月&quot;;@">
                  <c:v>44440</c:v>
                </c:pt>
                <c:pt idx="107" c:formatCode="yyyy&quot;年&quot;m&quot;月&quot;;@">
                  <c:v>44470</c:v>
                </c:pt>
                <c:pt idx="108" c:formatCode="yyyy&quot;年&quot;m&quot;月&quot;;@">
                  <c:v>44501</c:v>
                </c:pt>
                <c:pt idx="109" c:formatCode="yyyy&quot;年&quot;m&quot;月&quot;;@">
                  <c:v>44531</c:v>
                </c:pt>
                <c:pt idx="110" c:formatCode="yyyy&quot;年&quot;m&quot;月&quot;;@">
                  <c:v>44562</c:v>
                </c:pt>
                <c:pt idx="111" c:formatCode="yyyy&quot;年&quot;m&quot;月&quot;;@">
                  <c:v>44593</c:v>
                </c:pt>
                <c:pt idx="112" c:formatCode="yyyy&quot;年&quot;m&quot;月&quot;;@">
                  <c:v>44621</c:v>
                </c:pt>
                <c:pt idx="113" c:formatCode="yyyy&quot;年&quot;m&quot;月&quot;;@">
                  <c:v>44652</c:v>
                </c:pt>
                <c:pt idx="114" c:formatCode="yyyy&quot;年&quot;m&quot;月&quot;;@">
                  <c:v>44682</c:v>
                </c:pt>
                <c:pt idx="115" c:formatCode="yyyy&quot;年&quot;m&quot;月&quot;;@">
                  <c:v>44713</c:v>
                </c:pt>
                <c:pt idx="116" c:formatCode="yyyy&quot;年&quot;m&quot;月&quot;;@">
                  <c:v>44743</c:v>
                </c:pt>
                <c:pt idx="117" c:formatCode="yyyy&quot;年&quot;m&quot;月&quot;;@">
                  <c:v>44774</c:v>
                </c:pt>
                <c:pt idx="118" c:formatCode="yyyy&quot;年&quot;m&quot;月&quot;;@">
                  <c:v>44805</c:v>
                </c:pt>
                <c:pt idx="119" c:formatCode="yyyy&quot;年&quot;m&quot;月&quot;;@">
                  <c:v>44835</c:v>
                </c:pt>
                <c:pt idx="120" c:formatCode="yyyy&quot;年&quot;m&quot;月&quot;;@">
                  <c:v>44866</c:v>
                </c:pt>
                <c:pt idx="121" c:formatCode="yyyy&quot;年&quot;m&quot;月&quot;;@">
                  <c:v>44896</c:v>
                </c:pt>
                <c:pt idx="122" c:formatCode="yyyy&quot;年&quot;m&quot;月&quot;;@">
                  <c:v>44927</c:v>
                </c:pt>
                <c:pt idx="123" c:formatCode="yyyy&quot;年&quot;m&quot;月&quot;;@">
                  <c:v>44958</c:v>
                </c:pt>
              </c:numCache>
            </c:numRef>
          </c:cat>
          <c:val>
            <c:numRef>
              <c:f>Sheet1!$W$7:$W$130</c:f>
              <c:numCache>
                <c:formatCode>0.000_ </c:formatCode>
                <c:ptCount val="124"/>
                <c:pt idx="0">
                  <c:v>1</c:v>
                </c:pt>
                <c:pt idx="1">
                  <c:v>1.14669744318182</c:v>
                </c:pt>
                <c:pt idx="2">
                  <c:v>1.21129765028626</c:v>
                </c:pt>
                <c:pt idx="3">
                  <c:v>1.25139577939918</c:v>
                </c:pt>
                <c:pt idx="4">
                  <c:v>1.20113878149593</c:v>
                </c:pt>
                <c:pt idx="5">
                  <c:v>1.17604972078583</c:v>
                </c:pt>
                <c:pt idx="6">
                  <c:v>1.32505560462522</c:v>
                </c:pt>
                <c:pt idx="7">
                  <c:v>1.13690529825642</c:v>
                </c:pt>
                <c:pt idx="8">
                  <c:v>1.19858284998563</c:v>
                </c:pt>
                <c:pt idx="9">
                  <c:v>1.27217513809262</c:v>
                </c:pt>
                <c:pt idx="10">
                  <c:v>1.33717273248425</c:v>
                </c:pt>
                <c:pt idx="11">
                  <c:v>1.28775397783071</c:v>
                </c:pt>
                <c:pt idx="12">
                  <c:v>1.36048277103058</c:v>
                </c:pt>
                <c:pt idx="13">
                  <c:v>1.32417794695822</c:v>
                </c:pt>
                <c:pt idx="14">
                  <c:v>1.34160771152513</c:v>
                </c:pt>
                <c:pt idx="15">
                  <c:v>1.36957945531754</c:v>
                </c:pt>
                <c:pt idx="16">
                  <c:v>1.32771683800406</c:v>
                </c:pt>
                <c:pt idx="17">
                  <c:v>1.30468924909493</c:v>
                </c:pt>
                <c:pt idx="18">
                  <c:v>1.32433234001997</c:v>
                </c:pt>
                <c:pt idx="19">
                  <c:v>1.35390413815831</c:v>
                </c:pt>
                <c:pt idx="20">
                  <c:v>1.45731011935251</c:v>
                </c:pt>
                <c:pt idx="21">
                  <c:v>1.50968701581972</c:v>
                </c:pt>
                <c:pt idx="22">
                  <c:v>1.65976907040799</c:v>
                </c:pt>
                <c:pt idx="23">
                  <c:v>1.68103950397913</c:v>
                </c:pt>
                <c:pt idx="24">
                  <c:v>1.75962961797382</c:v>
                </c:pt>
                <c:pt idx="25">
                  <c:v>1.78287887107689</c:v>
                </c:pt>
                <c:pt idx="26">
                  <c:v>1.79326392274983</c:v>
                </c:pt>
                <c:pt idx="27">
                  <c:v>1.80555440347038</c:v>
                </c:pt>
                <c:pt idx="28">
                  <c:v>1.84260757210258</c:v>
                </c:pt>
                <c:pt idx="29">
                  <c:v>1.87349976578349</c:v>
                </c:pt>
                <c:pt idx="30">
                  <c:v>1.90661618034694</c:v>
                </c:pt>
                <c:pt idx="31">
                  <c:v>1.88633709996195</c:v>
                </c:pt>
                <c:pt idx="32">
                  <c:v>1.86136526703072</c:v>
                </c:pt>
                <c:pt idx="33">
                  <c:v>1.8337591508664</c:v>
                </c:pt>
                <c:pt idx="34">
                  <c:v>1.82099723487951</c:v>
                </c:pt>
                <c:pt idx="35">
                  <c:v>1.8495776422406</c:v>
                </c:pt>
                <c:pt idx="36">
                  <c:v>1.85803703179574</c:v>
                </c:pt>
                <c:pt idx="37">
                  <c:v>1.86327906391838</c:v>
                </c:pt>
                <c:pt idx="38">
                  <c:v>1.81073444754321</c:v>
                </c:pt>
                <c:pt idx="39">
                  <c:v>1.80679446949864</c:v>
                </c:pt>
                <c:pt idx="40">
                  <c:v>1.83398081618922</c:v>
                </c:pt>
                <c:pt idx="41">
                  <c:v>1.82891539395117</c:v>
                </c:pt>
                <c:pt idx="42">
                  <c:v>1.82775417782803</c:v>
                </c:pt>
                <c:pt idx="43">
                  <c:v>1.83316337129192</c:v>
                </c:pt>
                <c:pt idx="44">
                  <c:v>1.83552855022924</c:v>
                </c:pt>
                <c:pt idx="45">
                  <c:v>1.8423947647351</c:v>
                </c:pt>
                <c:pt idx="46">
                  <c:v>1.83935942365549</c:v>
                </c:pt>
                <c:pt idx="47">
                  <c:v>1.84296373099641</c:v>
                </c:pt>
                <c:pt idx="48">
                  <c:v>1.84676277278535</c:v>
                </c:pt>
                <c:pt idx="49">
                  <c:v>1.83773228511888</c:v>
                </c:pt>
                <c:pt idx="50">
                  <c:v>1.8365585777677</c:v>
                </c:pt>
                <c:pt idx="51">
                  <c:v>1.84325789959243</c:v>
                </c:pt>
                <c:pt idx="52">
                  <c:v>1.84185759514158</c:v>
                </c:pt>
                <c:pt idx="53">
                  <c:v>1.83639043464983</c:v>
                </c:pt>
                <c:pt idx="54">
                  <c:v>1.82494810494109</c:v>
                </c:pt>
                <c:pt idx="55">
                  <c:v>1.83478728256732</c:v>
                </c:pt>
                <c:pt idx="56">
                  <c:v>1.83957004511556</c:v>
                </c:pt>
                <c:pt idx="57">
                  <c:v>1.84459395822702</c:v>
                </c:pt>
                <c:pt idx="58">
                  <c:v>1.84838578197423</c:v>
                </c:pt>
                <c:pt idx="59">
                  <c:v>1.8471820777697</c:v>
                </c:pt>
                <c:pt idx="60">
                  <c:v>1.83881907354565</c:v>
                </c:pt>
                <c:pt idx="61">
                  <c:v>1.83843739307374</c:v>
                </c:pt>
                <c:pt idx="62">
                  <c:v>1.8366430781781</c:v>
                </c:pt>
                <c:pt idx="63">
                  <c:v>1.83171687441371</c:v>
                </c:pt>
                <c:pt idx="64">
                  <c:v>1.83448436960833</c:v>
                </c:pt>
                <c:pt idx="65">
                  <c:v>1.8268631882233</c:v>
                </c:pt>
                <c:pt idx="66">
                  <c:v>1.82355862341184</c:v>
                </c:pt>
                <c:pt idx="67">
                  <c:v>1.80654001060732</c:v>
                </c:pt>
                <c:pt idx="68">
                  <c:v>1.80553580013564</c:v>
                </c:pt>
                <c:pt idx="69">
                  <c:v>1.7924501898648</c:v>
                </c:pt>
                <c:pt idx="70">
                  <c:v>1.79200319480498</c:v>
                </c:pt>
                <c:pt idx="71">
                  <c:v>1.77229115966213</c:v>
                </c:pt>
                <c:pt idx="72">
                  <c:v>1.77660572615569</c:v>
                </c:pt>
                <c:pt idx="73">
                  <c:v>1.76816116511729</c:v>
                </c:pt>
                <c:pt idx="74">
                  <c:v>1.76850054345992</c:v>
                </c:pt>
                <c:pt idx="75">
                  <c:v>1.80445497261216</c:v>
                </c:pt>
                <c:pt idx="76">
                  <c:v>1.97315804646951</c:v>
                </c:pt>
                <c:pt idx="77">
                  <c:v>1.89632333616892</c:v>
                </c:pt>
                <c:pt idx="78">
                  <c:v>1.76929432806489</c:v>
                </c:pt>
                <c:pt idx="79">
                  <c:v>1.78161311186372</c:v>
                </c:pt>
                <c:pt idx="80">
                  <c:v>1.7663884179987</c:v>
                </c:pt>
                <c:pt idx="81">
                  <c:v>1.76087633503003</c:v>
                </c:pt>
                <c:pt idx="82">
                  <c:v>1.77839139640589</c:v>
                </c:pt>
                <c:pt idx="83">
                  <c:v>1.77093943245739</c:v>
                </c:pt>
                <c:pt idx="84">
                  <c:v>1.76348398274174</c:v>
                </c:pt>
                <c:pt idx="85">
                  <c:v>1.87601688993631</c:v>
                </c:pt>
                <c:pt idx="86">
                  <c:v>1.91982999188788</c:v>
                </c:pt>
                <c:pt idx="87">
                  <c:v>1.94360917683483</c:v>
                </c:pt>
                <c:pt idx="88">
                  <c:v>1.81203849507881</c:v>
                </c:pt>
                <c:pt idx="89">
                  <c:v>1.91297489845476</c:v>
                </c:pt>
                <c:pt idx="90">
                  <c:v>1.93002120943109</c:v>
                </c:pt>
                <c:pt idx="91">
                  <c:v>2.07718264904032</c:v>
                </c:pt>
                <c:pt idx="92">
                  <c:v>2.30512723203101</c:v>
                </c:pt>
                <c:pt idx="93">
                  <c:v>2.33319239258515</c:v>
                </c:pt>
                <c:pt idx="94">
                  <c:v>2.18329142963022</c:v>
                </c:pt>
                <c:pt idx="95">
                  <c:v>2.15758698111277</c:v>
                </c:pt>
                <c:pt idx="96">
                  <c:v>2.22399871587751</c:v>
                </c:pt>
                <c:pt idx="97">
                  <c:v>2.20784657330492</c:v>
                </c:pt>
                <c:pt idx="98">
                  <c:v>2.23225298063145</c:v>
                </c:pt>
                <c:pt idx="99">
                  <c:v>2.23795145183949</c:v>
                </c:pt>
                <c:pt idx="100">
                  <c:v>2.20313731077536</c:v>
                </c:pt>
                <c:pt idx="101">
                  <c:v>2.27637559777731</c:v>
                </c:pt>
                <c:pt idx="102">
                  <c:v>2.35345995880613</c:v>
                </c:pt>
                <c:pt idx="103">
                  <c:v>2.37832710148278</c:v>
                </c:pt>
                <c:pt idx="104">
                  <c:v>2.36543634501322</c:v>
                </c:pt>
                <c:pt idx="105">
                  <c:v>2.51896074914058</c:v>
                </c:pt>
                <c:pt idx="106">
                  <c:v>2.47177580554193</c:v>
                </c:pt>
                <c:pt idx="107">
                  <c:v>2.46895748008797</c:v>
                </c:pt>
                <c:pt idx="108">
                  <c:v>2.4770432015805</c:v>
                </c:pt>
                <c:pt idx="109">
                  <c:v>2.47902401649421</c:v>
                </c:pt>
                <c:pt idx="110">
                  <c:v>2.45423716714314</c:v>
                </c:pt>
                <c:pt idx="111">
                  <c:v>2.46441964049618</c:v>
                </c:pt>
                <c:pt idx="112">
                  <c:v>2.44543213764805</c:v>
                </c:pt>
                <c:pt idx="113">
                  <c:v>2.41848405543555</c:v>
                </c:pt>
                <c:pt idx="114">
                  <c:v>2.57241102570155</c:v>
                </c:pt>
                <c:pt idx="115">
                  <c:v>2.73684725655124</c:v>
                </c:pt>
                <c:pt idx="116">
                  <c:v>2.67578341940476</c:v>
                </c:pt>
                <c:pt idx="117">
                  <c:v>2.6229819734737</c:v>
                </c:pt>
                <c:pt idx="118">
                  <c:v>2.45348518512935</c:v>
                </c:pt>
                <c:pt idx="119">
                  <c:v>2.48942440633959</c:v>
                </c:pt>
                <c:pt idx="120">
                  <c:v>2.62407710240146</c:v>
                </c:pt>
                <c:pt idx="121">
                  <c:v>2.51205509744514</c:v>
                </c:pt>
                <c:pt idx="122">
                  <c:v>2.67591271592617</c:v>
                </c:pt>
                <c:pt idx="123">
                  <c:v>2.70195276334463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5219980"/>
        <c:axId val="814072138"/>
      </c:lineChart>
      <c:dateAx>
        <c:axId val="9752199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4072138"/>
        <c:crosses val="autoZero"/>
        <c:auto val="1"/>
        <c:lblOffset val="100"/>
        <c:baseTimeUnit val="days"/>
      </c:dateAx>
      <c:valAx>
        <c:axId val="81407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19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334645</xdr:colOff>
      <xdr:row>5</xdr:row>
      <xdr:rowOff>53340</xdr:rowOff>
    </xdr:from>
    <xdr:to>
      <xdr:col>35</xdr:col>
      <xdr:colOff>420370</xdr:colOff>
      <xdr:row>24</xdr:row>
      <xdr:rowOff>148590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775295" y="910590"/>
          <a:ext cx="656272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398780</xdr:colOff>
      <xdr:row>25</xdr:row>
      <xdr:rowOff>170180</xdr:rowOff>
    </xdr:from>
    <xdr:to>
      <xdr:col>35</xdr:col>
      <xdr:colOff>141605</xdr:colOff>
      <xdr:row>45</xdr:row>
      <xdr:rowOff>140970</xdr:rowOff>
    </xdr:to>
    <xdr:graphicFrame>
      <xdr:nvGraphicFramePr>
        <xdr:cNvPr id="3" name="图表 2"/>
        <xdr:cNvGraphicFramePr/>
      </xdr:nvGraphicFramePr>
      <xdr:xfrm>
        <a:off x="20839430" y="4456430"/>
        <a:ext cx="6219825" cy="3399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411480</xdr:colOff>
      <xdr:row>47</xdr:row>
      <xdr:rowOff>20955</xdr:rowOff>
    </xdr:from>
    <xdr:to>
      <xdr:col>35</xdr:col>
      <xdr:colOff>154305</xdr:colOff>
      <xdr:row>66</xdr:row>
      <xdr:rowOff>163195</xdr:rowOff>
    </xdr:to>
    <xdr:graphicFrame>
      <xdr:nvGraphicFramePr>
        <xdr:cNvPr id="4" name="图表 3"/>
        <xdr:cNvGraphicFramePr/>
      </xdr:nvGraphicFramePr>
      <xdr:xfrm>
        <a:off x="20852130" y="8079105"/>
        <a:ext cx="6219825" cy="3399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0"/>
  <sheetViews>
    <sheetView tabSelected="1" topLeftCell="L1" workbookViewId="0">
      <selection activeCell="S25" sqref="S25"/>
    </sheetView>
  </sheetViews>
  <sheetFormatPr defaultColWidth="9" defaultRowHeight="13.5"/>
  <cols>
    <col min="1" max="1" width="14.75" customWidth="1"/>
    <col min="2" max="2" width="30.625" customWidth="1"/>
    <col min="3" max="3" width="13.125" customWidth="1"/>
    <col min="4" max="4" width="11.375" customWidth="1"/>
    <col min="5" max="5" width="9.5" customWidth="1"/>
    <col min="6" max="6" width="10.75" customWidth="1"/>
    <col min="7" max="7" width="11.625" customWidth="1"/>
    <col min="8" max="8" width="4" customWidth="1"/>
    <col min="10" max="13" width="9.375"/>
    <col min="14" max="14" width="8.625" customWidth="1"/>
    <col min="15" max="15" width="10.125" customWidth="1"/>
    <col min="16" max="16" width="10.375"/>
    <col min="17" max="17" width="5.125" customWidth="1"/>
    <col min="20" max="20" width="9.375" customWidth="1"/>
    <col min="21" max="21" width="9.375"/>
  </cols>
  <sheetData>
    <row r="1" spans="1:6">
      <c r="A1" s="1" t="s">
        <v>0</v>
      </c>
      <c r="B1" s="1"/>
      <c r="C1" s="1"/>
      <c r="D1" s="1"/>
      <c r="E1" s="1"/>
      <c r="F1" s="1"/>
    </row>
    <row r="2" spans="1:1">
      <c r="A2" t="s">
        <v>1</v>
      </c>
    </row>
    <row r="3" spans="1:23">
      <c r="A3" t="s">
        <v>2</v>
      </c>
      <c r="E3" t="s">
        <v>3</v>
      </c>
      <c r="F3" s="2">
        <f>(2.092-1)/10</f>
        <v>0.1092</v>
      </c>
      <c r="K3" t="s">
        <v>3</v>
      </c>
      <c r="L3" s="2">
        <f>(2.02-1)/10</f>
        <v>0.102</v>
      </c>
      <c r="R3" t="s">
        <v>3</v>
      </c>
      <c r="S3" s="2">
        <f>(2.404-1)/10</f>
        <v>0.1404</v>
      </c>
      <c r="V3" t="s">
        <v>3</v>
      </c>
      <c r="W3" s="2">
        <f>(2.702-1)/10</f>
        <v>0.1702</v>
      </c>
    </row>
    <row r="4" spans="1:23">
      <c r="A4" t="s">
        <v>4</v>
      </c>
      <c r="F4" s="2"/>
      <c r="L4" s="2"/>
      <c r="S4" s="2"/>
      <c r="W4" s="2"/>
    </row>
    <row r="6" spans="1: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/>
      <c r="I6" s="3" t="s">
        <v>12</v>
      </c>
      <c r="J6" s="3" t="s">
        <v>13</v>
      </c>
      <c r="K6" s="3" t="s">
        <v>12</v>
      </c>
      <c r="L6" s="3" t="s">
        <v>13</v>
      </c>
      <c r="M6" s="3" t="s">
        <v>12</v>
      </c>
      <c r="N6" s="3" t="s">
        <v>13</v>
      </c>
      <c r="O6" s="3" t="s">
        <v>14</v>
      </c>
      <c r="P6" s="3" t="s">
        <v>11</v>
      </c>
      <c r="Q6" s="1"/>
      <c r="R6" s="3" t="s">
        <v>15</v>
      </c>
      <c r="S6" s="3" t="s">
        <v>16</v>
      </c>
      <c r="T6" s="3" t="s">
        <v>14</v>
      </c>
      <c r="U6" s="3" t="s">
        <v>11</v>
      </c>
      <c r="V6" s="3" t="s">
        <v>15</v>
      </c>
      <c r="W6" s="3" t="s">
        <v>16</v>
      </c>
      <c r="X6" s="3" t="s">
        <v>14</v>
      </c>
      <c r="Y6" s="3" t="s">
        <v>11</v>
      </c>
    </row>
    <row r="7" spans="1:25">
      <c r="A7" s="5">
        <v>41214</v>
      </c>
      <c r="B7" s="6">
        <v>5</v>
      </c>
      <c r="C7" s="7">
        <v>2816</v>
      </c>
      <c r="D7" s="8">
        <f>(100-B7)/100</f>
        <v>0.95</v>
      </c>
      <c r="E7" s="9">
        <v>1</v>
      </c>
      <c r="F7" s="9">
        <v>1</v>
      </c>
      <c r="G7" s="10">
        <f>E7-F7</f>
        <v>0</v>
      </c>
      <c r="H7" s="11"/>
      <c r="I7" s="8">
        <v>0.7</v>
      </c>
      <c r="J7" s="9">
        <v>1</v>
      </c>
      <c r="K7" s="8">
        <v>0.8</v>
      </c>
      <c r="L7" s="9">
        <v>1</v>
      </c>
      <c r="M7" s="8">
        <v>0.6</v>
      </c>
      <c r="N7" s="9">
        <v>1</v>
      </c>
      <c r="O7" s="9">
        <v>1</v>
      </c>
      <c r="P7" s="10">
        <f t="shared" ref="P7:P9" si="0">J7-O7</f>
        <v>0</v>
      </c>
      <c r="Q7" s="1"/>
      <c r="R7" s="20">
        <v>0.8</v>
      </c>
      <c r="S7" s="9">
        <v>1</v>
      </c>
      <c r="T7" s="9">
        <v>1</v>
      </c>
      <c r="U7" s="10">
        <f t="shared" ref="U7:U9" si="1">S7-T7</f>
        <v>0</v>
      </c>
      <c r="V7" s="20">
        <v>0.9</v>
      </c>
      <c r="W7" s="9">
        <v>1</v>
      </c>
      <c r="X7" s="9">
        <v>1</v>
      </c>
      <c r="Y7" s="10">
        <f>W7-X7</f>
        <v>0</v>
      </c>
    </row>
    <row r="8" spans="1:25">
      <c r="A8" s="5">
        <v>41609</v>
      </c>
      <c r="B8" s="7">
        <v>6</v>
      </c>
      <c r="C8" s="7">
        <v>3275</v>
      </c>
      <c r="D8" s="8">
        <f t="shared" ref="D8:D39" si="2">(100-B8)/100</f>
        <v>0.94</v>
      </c>
      <c r="E8" s="9">
        <f>E7*D7*C8/C7+E7*(1-D7)</f>
        <v>1.15484730113636</v>
      </c>
      <c r="F8" s="9">
        <f>C8/$C$105</f>
        <v>0.516073116924047</v>
      </c>
      <c r="G8" s="10">
        <f>E8-F8</f>
        <v>0.638774184212317</v>
      </c>
      <c r="H8" s="11"/>
      <c r="I8" s="8">
        <v>0.7</v>
      </c>
      <c r="J8" s="9">
        <f>J7*I7*C8/C7+J7*(1-I7)</f>
        <v>1.11409801136364</v>
      </c>
      <c r="K8" s="8">
        <v>0.8</v>
      </c>
      <c r="L8" s="9">
        <f>L7*K7*C8/C7+L7*(1-K7)</f>
        <v>1.13039772727273</v>
      </c>
      <c r="M8" s="8">
        <v>0.6</v>
      </c>
      <c r="N8" s="9">
        <f>N7*M7*E8/E7+N7*(1-M7)</f>
        <v>1.09290838068182</v>
      </c>
      <c r="O8" s="9">
        <f>C8/$C$105</f>
        <v>0.516073116924047</v>
      </c>
      <c r="P8" s="10">
        <f t="shared" si="0"/>
        <v>0.59802489443959</v>
      </c>
      <c r="Q8" s="1"/>
      <c r="R8" s="8">
        <v>0.8</v>
      </c>
      <c r="S8" s="9">
        <f>S7*R7*C8/C7+S7*(1-R7)</f>
        <v>1.13039772727273</v>
      </c>
      <c r="T8" s="9">
        <f>C8/$C$105</f>
        <v>0.516073116924047</v>
      </c>
      <c r="U8" s="10">
        <f t="shared" si="1"/>
        <v>0.614324610348681</v>
      </c>
      <c r="V8" s="8">
        <v>0.9</v>
      </c>
      <c r="W8" s="9">
        <f>W7*V7*C8/C7+W7*(1-V7)</f>
        <v>1.14669744318182</v>
      </c>
      <c r="X8" s="9">
        <f>G8/$C$105</f>
        <v>0.000100657766185364</v>
      </c>
      <c r="Y8" s="10">
        <f>W8-X8</f>
        <v>1.14659678541563</v>
      </c>
    </row>
    <row r="9" spans="1:25">
      <c r="A9" s="5">
        <v>41275</v>
      </c>
      <c r="B9" s="7">
        <v>18</v>
      </c>
      <c r="C9" s="7">
        <v>3480</v>
      </c>
      <c r="D9" s="8">
        <f t="shared" si="2"/>
        <v>0.82</v>
      </c>
      <c r="E9" s="9">
        <f t="shared" ref="E9:E40" si="3">E8*D8*C9/C8+E8*(1-D8)</f>
        <v>1.2227981637101</v>
      </c>
      <c r="F9" s="9">
        <f t="shared" ref="F9:F40" si="4">C9/$C$105</f>
        <v>0.548376930349827</v>
      </c>
      <c r="G9" s="10">
        <f t="shared" ref="G9:G40" si="5">E9-F9</f>
        <v>0.67442123336027</v>
      </c>
      <c r="H9" s="11"/>
      <c r="I9" s="8">
        <v>0.7</v>
      </c>
      <c r="J9" s="9">
        <f t="shared" ref="J9:J40" si="6">J8*I8*C9/C8+J8*(1-I8)</f>
        <v>1.1629142143043</v>
      </c>
      <c r="K9" s="8">
        <v>0.8</v>
      </c>
      <c r="L9" s="9">
        <f t="shared" ref="L9:L40" si="7">L8*K8*C9/C8+L8*(1-K8)</f>
        <v>1.18700390353921</v>
      </c>
      <c r="M9" s="8">
        <v>0.6</v>
      </c>
      <c r="N9" s="9">
        <f>N8*M8*E9/E8+N8*(1-M8)</f>
        <v>1.13149221792592</v>
      </c>
      <c r="O9" s="9">
        <f t="shared" ref="O9:O40" si="8">C9/$C$105</f>
        <v>0.548376930349827</v>
      </c>
      <c r="P9" s="10">
        <f t="shared" ref="P9:P40" si="9">J9-O9</f>
        <v>0.614537283954476</v>
      </c>
      <c r="Q9" s="1"/>
      <c r="R9" s="8">
        <v>0.8</v>
      </c>
      <c r="S9" s="9">
        <f t="shared" ref="S9:S40" si="10">S8*R8*C9/C8+S8*(1-R8)</f>
        <v>1.18700390353921</v>
      </c>
      <c r="T9" s="9">
        <f t="shared" ref="T9:T40" si="11">C9/$C$105</f>
        <v>0.548376930349827</v>
      </c>
      <c r="U9" s="10">
        <f t="shared" ref="U9:U40" si="12">S9-T9</f>
        <v>0.638626973189382</v>
      </c>
      <c r="V9" s="8">
        <v>0.9</v>
      </c>
      <c r="W9" s="9">
        <f t="shared" ref="W9:W40" si="13">W8*V8*C9/C8+W8*(1-V8)</f>
        <v>1.21129765028626</v>
      </c>
      <c r="X9" s="9">
        <f t="shared" ref="X9:X40" si="14">G9/$C$105</f>
        <v>0.000106275013135876</v>
      </c>
      <c r="Y9" s="10">
        <f t="shared" ref="Y9:Y40" si="15">W9-X9</f>
        <v>1.21119137527312</v>
      </c>
    </row>
    <row r="10" spans="1:25">
      <c r="A10" s="5">
        <v>41306</v>
      </c>
      <c r="B10" s="7">
        <v>22</v>
      </c>
      <c r="C10" s="7">
        <v>3608</v>
      </c>
      <c r="D10" s="8">
        <f t="shared" si="2"/>
        <v>0.78</v>
      </c>
      <c r="E10" s="9">
        <f t="shared" si="3"/>
        <v>1.2596788807397</v>
      </c>
      <c r="F10" s="9">
        <f t="shared" si="4"/>
        <v>0.568547116293728</v>
      </c>
      <c r="G10" s="10">
        <f t="shared" si="5"/>
        <v>0.69113176444597</v>
      </c>
      <c r="H10" s="11"/>
      <c r="I10" s="8">
        <v>0.7</v>
      </c>
      <c r="J10" s="9">
        <f t="shared" si="6"/>
        <v>1.19285591361513</v>
      </c>
      <c r="K10" s="8">
        <v>0.8</v>
      </c>
      <c r="L10" s="9">
        <f t="shared" si="7"/>
        <v>1.22193183449393</v>
      </c>
      <c r="M10" s="8">
        <v>0.6</v>
      </c>
      <c r="N10" s="9">
        <f t="shared" ref="N10:N41" si="16">N9*M9*E10/E9+N9*(1-M9)</f>
        <v>1.15196832537308</v>
      </c>
      <c r="O10" s="9">
        <f t="shared" si="8"/>
        <v>0.568547116293728</v>
      </c>
      <c r="P10" s="10">
        <f t="shared" si="9"/>
        <v>0.624308797321398</v>
      </c>
      <c r="Q10" s="1"/>
      <c r="R10" s="8">
        <v>0.8</v>
      </c>
      <c r="S10" s="9">
        <f t="shared" si="10"/>
        <v>1.22193183449393</v>
      </c>
      <c r="T10" s="9">
        <f t="shared" si="11"/>
        <v>0.568547116293728</v>
      </c>
      <c r="U10" s="10">
        <f t="shared" si="12"/>
        <v>0.653384718200197</v>
      </c>
      <c r="V10" s="8">
        <v>0.9</v>
      </c>
      <c r="W10" s="9">
        <f t="shared" si="13"/>
        <v>1.25139577939918</v>
      </c>
      <c r="X10" s="9">
        <f t="shared" si="14"/>
        <v>0.000108908251567282</v>
      </c>
      <c r="Y10" s="10">
        <f t="shared" si="15"/>
        <v>1.25128687114762</v>
      </c>
    </row>
    <row r="11" spans="1:25">
      <c r="A11" s="5">
        <v>41334</v>
      </c>
      <c r="B11" s="7">
        <v>21</v>
      </c>
      <c r="C11" s="7">
        <v>3447</v>
      </c>
      <c r="D11" s="8">
        <f t="shared" si="2"/>
        <v>0.79</v>
      </c>
      <c r="E11" s="9">
        <f t="shared" si="3"/>
        <v>1.21583451437515</v>
      </c>
      <c r="F11" s="9">
        <f t="shared" si="4"/>
        <v>0.543176804286165</v>
      </c>
      <c r="G11" s="10">
        <f t="shared" si="5"/>
        <v>0.672657710088985</v>
      </c>
      <c r="H11" s="11"/>
      <c r="I11" s="8">
        <v>0.7</v>
      </c>
      <c r="J11" s="9">
        <f t="shared" si="6"/>
        <v>1.15559569702299</v>
      </c>
      <c r="K11" s="8">
        <v>0.8</v>
      </c>
      <c r="L11" s="9">
        <f t="shared" si="7"/>
        <v>1.17831076457075</v>
      </c>
      <c r="M11" s="8">
        <v>0.6</v>
      </c>
      <c r="N11" s="9">
        <f t="shared" si="16"/>
        <v>1.12791108884863</v>
      </c>
      <c r="O11" s="9">
        <f t="shared" si="8"/>
        <v>0.543176804286165</v>
      </c>
      <c r="P11" s="10">
        <f t="shared" si="9"/>
        <v>0.612418892736826</v>
      </c>
      <c r="Q11" s="1"/>
      <c r="R11" s="8">
        <v>0.8</v>
      </c>
      <c r="S11" s="9">
        <f t="shared" si="10"/>
        <v>1.17831076457075</v>
      </c>
      <c r="T11" s="9">
        <f t="shared" si="11"/>
        <v>0.543176804286165</v>
      </c>
      <c r="U11" s="10">
        <f t="shared" si="12"/>
        <v>0.635133960284585</v>
      </c>
      <c r="V11" s="8">
        <v>0.9</v>
      </c>
      <c r="W11" s="9">
        <f t="shared" si="13"/>
        <v>1.20113878149593</v>
      </c>
      <c r="X11" s="9">
        <f t="shared" si="14"/>
        <v>0.000105997117883546</v>
      </c>
      <c r="Y11" s="10">
        <f t="shared" si="15"/>
        <v>1.20103278437805</v>
      </c>
    </row>
    <row r="12" spans="1:25">
      <c r="A12" s="5">
        <v>41365</v>
      </c>
      <c r="B12" s="7">
        <v>18</v>
      </c>
      <c r="C12" s="7">
        <v>3367</v>
      </c>
      <c r="D12" s="8">
        <f t="shared" si="2"/>
        <v>0.82</v>
      </c>
      <c r="E12" s="9">
        <f t="shared" si="3"/>
        <v>1.19354245133236</v>
      </c>
      <c r="F12" s="9">
        <f t="shared" si="4"/>
        <v>0.530570438071226</v>
      </c>
      <c r="G12" s="10">
        <f t="shared" si="5"/>
        <v>0.66297201326113</v>
      </c>
      <c r="H12" s="11"/>
      <c r="I12" s="8">
        <v>0.7</v>
      </c>
      <c r="J12" s="9">
        <f t="shared" si="6"/>
        <v>1.13682187658978</v>
      </c>
      <c r="K12" s="8">
        <v>0.8</v>
      </c>
      <c r="L12" s="9">
        <f t="shared" si="7"/>
        <v>1.1564332220896</v>
      </c>
      <c r="M12" s="8">
        <v>0.6</v>
      </c>
      <c r="N12" s="9">
        <f t="shared" si="16"/>
        <v>1.11550308522544</v>
      </c>
      <c r="O12" s="9">
        <f t="shared" si="8"/>
        <v>0.530570438071226</v>
      </c>
      <c r="P12" s="10">
        <f t="shared" si="9"/>
        <v>0.606251438518551</v>
      </c>
      <c r="Q12" s="1"/>
      <c r="R12" s="8">
        <v>0.8</v>
      </c>
      <c r="S12" s="9">
        <f t="shared" si="10"/>
        <v>1.1564332220896</v>
      </c>
      <c r="T12" s="9">
        <f t="shared" si="11"/>
        <v>0.530570438071226</v>
      </c>
      <c r="U12" s="10">
        <f t="shared" si="12"/>
        <v>0.625862784018373</v>
      </c>
      <c r="V12" s="8">
        <v>0.9</v>
      </c>
      <c r="W12" s="9">
        <f t="shared" si="13"/>
        <v>1.17604972078583</v>
      </c>
      <c r="X12" s="9">
        <f t="shared" si="14"/>
        <v>0.000104470849867811</v>
      </c>
      <c r="Y12" s="10">
        <f t="shared" si="15"/>
        <v>1.17594524993596</v>
      </c>
    </row>
    <row r="13" spans="1:25">
      <c r="A13" s="5">
        <v>41395</v>
      </c>
      <c r="B13" s="7">
        <v>25</v>
      </c>
      <c r="C13" s="7">
        <v>3841</v>
      </c>
      <c r="D13" s="8">
        <f t="shared" si="2"/>
        <v>0.75</v>
      </c>
      <c r="E13" s="9">
        <f t="shared" si="3"/>
        <v>1.33132269486781</v>
      </c>
      <c r="F13" s="9">
        <f t="shared" si="4"/>
        <v>0.605263157894737</v>
      </c>
      <c r="G13" s="10">
        <f t="shared" si="5"/>
        <v>0.726059536973069</v>
      </c>
      <c r="H13" s="11"/>
      <c r="I13" s="8">
        <v>0.7</v>
      </c>
      <c r="J13" s="9">
        <f t="shared" si="6"/>
        <v>1.24884964571733</v>
      </c>
      <c r="K13" s="8">
        <v>0.8</v>
      </c>
      <c r="L13" s="9">
        <f t="shared" si="7"/>
        <v>1.28667363724148</v>
      </c>
      <c r="M13" s="8">
        <v>0.6</v>
      </c>
      <c r="N13" s="9">
        <f t="shared" si="16"/>
        <v>1.19276600280763</v>
      </c>
      <c r="O13" s="9">
        <f t="shared" si="8"/>
        <v>0.605263157894737</v>
      </c>
      <c r="P13" s="10">
        <f t="shared" si="9"/>
        <v>0.643586487822598</v>
      </c>
      <c r="Q13" s="1"/>
      <c r="R13" s="8">
        <v>0.8</v>
      </c>
      <c r="S13" s="9">
        <f t="shared" si="10"/>
        <v>1.28667363724148</v>
      </c>
      <c r="T13" s="9">
        <f t="shared" si="11"/>
        <v>0.605263157894737</v>
      </c>
      <c r="U13" s="10">
        <f t="shared" si="12"/>
        <v>0.681410479346741</v>
      </c>
      <c r="V13" s="8">
        <v>0.9</v>
      </c>
      <c r="W13" s="9">
        <f t="shared" si="13"/>
        <v>1.32505560462522</v>
      </c>
      <c r="X13" s="9">
        <f t="shared" si="14"/>
        <v>0.00011441215521164</v>
      </c>
      <c r="Y13" s="10">
        <f t="shared" si="15"/>
        <v>1.32494119247001</v>
      </c>
    </row>
    <row r="14" spans="1:25">
      <c r="A14" s="5">
        <v>41426</v>
      </c>
      <c r="B14" s="7">
        <v>20</v>
      </c>
      <c r="C14" s="7">
        <v>3235</v>
      </c>
      <c r="D14" s="8">
        <f t="shared" si="2"/>
        <v>0.8</v>
      </c>
      <c r="E14" s="9">
        <f t="shared" si="3"/>
        <v>1.17378919712831</v>
      </c>
      <c r="F14" s="9">
        <f t="shared" si="4"/>
        <v>0.509769933816577</v>
      </c>
      <c r="G14" s="10">
        <f t="shared" si="5"/>
        <v>0.664019263311729</v>
      </c>
      <c r="H14" s="11"/>
      <c r="I14" s="8">
        <v>0.7</v>
      </c>
      <c r="J14" s="9">
        <f t="shared" si="6"/>
        <v>1.11092670384978</v>
      </c>
      <c r="K14" s="8">
        <v>0.8</v>
      </c>
      <c r="L14" s="9">
        <f t="shared" si="7"/>
        <v>1.12427338227281</v>
      </c>
      <c r="M14" s="8">
        <v>0.6</v>
      </c>
      <c r="N14" s="9">
        <f t="shared" si="16"/>
        <v>1.10808303249635</v>
      </c>
      <c r="O14" s="9">
        <f t="shared" si="8"/>
        <v>0.509769933816577</v>
      </c>
      <c r="P14" s="10">
        <f t="shared" si="9"/>
        <v>0.601156770033199</v>
      </c>
      <c r="Q14" s="1"/>
      <c r="R14" s="8">
        <v>0.8</v>
      </c>
      <c r="S14" s="9">
        <f t="shared" si="10"/>
        <v>1.12427338227281</v>
      </c>
      <c r="T14" s="9">
        <f t="shared" si="11"/>
        <v>0.509769933816577</v>
      </c>
      <c r="U14" s="10">
        <f t="shared" si="12"/>
        <v>0.614503448456229</v>
      </c>
      <c r="V14" s="8">
        <v>0.9</v>
      </c>
      <c r="W14" s="9">
        <f t="shared" si="13"/>
        <v>1.13690529825642</v>
      </c>
      <c r="X14" s="9">
        <f t="shared" si="14"/>
        <v>0.000104635875088517</v>
      </c>
      <c r="Y14" s="10">
        <f t="shared" si="15"/>
        <v>1.13680066238133</v>
      </c>
    </row>
    <row r="15" spans="1:25">
      <c r="A15" s="5">
        <v>41456</v>
      </c>
      <c r="B15" s="7">
        <v>12</v>
      </c>
      <c r="C15" s="7">
        <v>3430</v>
      </c>
      <c r="D15" s="8">
        <f t="shared" si="2"/>
        <v>0.88</v>
      </c>
      <c r="E15" s="9">
        <f t="shared" si="3"/>
        <v>1.23039232379044</v>
      </c>
      <c r="F15" s="9">
        <f t="shared" si="4"/>
        <v>0.54049795146549</v>
      </c>
      <c r="G15" s="10">
        <f t="shared" si="5"/>
        <v>0.689894372324954</v>
      </c>
      <c r="H15" s="11"/>
      <c r="I15" s="8">
        <v>0.7</v>
      </c>
      <c r="J15" s="9">
        <f t="shared" si="6"/>
        <v>1.15780197280665</v>
      </c>
      <c r="K15" s="8">
        <v>0.8</v>
      </c>
      <c r="L15" s="9">
        <f t="shared" si="7"/>
        <v>1.17848872930049</v>
      </c>
      <c r="M15" s="8">
        <v>0.6</v>
      </c>
      <c r="N15" s="9">
        <f t="shared" si="16"/>
        <v>1.1401437965896</v>
      </c>
      <c r="O15" s="9">
        <f t="shared" si="8"/>
        <v>0.54049795146549</v>
      </c>
      <c r="P15" s="10">
        <f t="shared" si="9"/>
        <v>0.617304021341162</v>
      </c>
      <c r="Q15" s="1"/>
      <c r="R15" s="8">
        <v>0.8</v>
      </c>
      <c r="S15" s="9">
        <f t="shared" si="10"/>
        <v>1.17848872930049</v>
      </c>
      <c r="T15" s="9">
        <f t="shared" si="11"/>
        <v>0.54049795146549</v>
      </c>
      <c r="U15" s="10">
        <f t="shared" si="12"/>
        <v>0.637990777835</v>
      </c>
      <c r="V15" s="8">
        <v>0.9</v>
      </c>
      <c r="W15" s="9">
        <f t="shared" si="13"/>
        <v>1.19858284998563</v>
      </c>
      <c r="X15" s="9">
        <f t="shared" si="14"/>
        <v>0.000108713263839419</v>
      </c>
      <c r="Y15" s="10">
        <f t="shared" si="15"/>
        <v>1.19847413672179</v>
      </c>
    </row>
    <row r="16" spans="1:25">
      <c r="A16" s="5">
        <v>41487</v>
      </c>
      <c r="B16" s="7">
        <v>23</v>
      </c>
      <c r="C16" s="7">
        <v>3664</v>
      </c>
      <c r="D16" s="8">
        <f t="shared" si="2"/>
        <v>0.77</v>
      </c>
      <c r="E16" s="9">
        <f t="shared" si="3"/>
        <v>1.30425890901346</v>
      </c>
      <c r="F16" s="9">
        <f t="shared" si="4"/>
        <v>0.577371572644185</v>
      </c>
      <c r="G16" s="10">
        <f t="shared" si="5"/>
        <v>0.72688733636927</v>
      </c>
      <c r="H16" s="11"/>
      <c r="I16" s="8">
        <v>0.7</v>
      </c>
      <c r="J16" s="9">
        <f t="shared" si="6"/>
        <v>1.21309292416109</v>
      </c>
      <c r="K16" s="8">
        <v>0.8</v>
      </c>
      <c r="L16" s="9">
        <f t="shared" si="7"/>
        <v>1.24280741446814</v>
      </c>
      <c r="M16" s="8">
        <v>0.6</v>
      </c>
      <c r="N16" s="9">
        <f t="shared" si="16"/>
        <v>1.18121290631445</v>
      </c>
      <c r="O16" s="9">
        <f t="shared" si="8"/>
        <v>0.577371572644185</v>
      </c>
      <c r="P16" s="10">
        <f t="shared" si="9"/>
        <v>0.635721351516907</v>
      </c>
      <c r="Q16" s="1"/>
      <c r="R16" s="8">
        <v>0.8</v>
      </c>
      <c r="S16" s="9">
        <f t="shared" si="10"/>
        <v>1.24280741446814</v>
      </c>
      <c r="T16" s="9">
        <f t="shared" si="11"/>
        <v>0.577371572644185</v>
      </c>
      <c r="U16" s="10">
        <f t="shared" si="12"/>
        <v>0.665435841823958</v>
      </c>
      <c r="V16" s="8">
        <v>0.9</v>
      </c>
      <c r="W16" s="9">
        <f t="shared" si="13"/>
        <v>1.27217513809262</v>
      </c>
      <c r="X16" s="9">
        <f t="shared" si="14"/>
        <v>0.000114542599490903</v>
      </c>
      <c r="Y16" s="10">
        <f t="shared" si="15"/>
        <v>1.27206059549313</v>
      </c>
    </row>
    <row r="17" spans="1:25">
      <c r="A17" s="5">
        <v>41518</v>
      </c>
      <c r="B17" s="7">
        <v>33</v>
      </c>
      <c r="C17" s="7">
        <v>3872</v>
      </c>
      <c r="D17" s="8">
        <f t="shared" si="2"/>
        <v>0.67</v>
      </c>
      <c r="E17" s="9">
        <f t="shared" si="3"/>
        <v>1.36127040106247</v>
      </c>
      <c r="F17" s="9">
        <f t="shared" si="4"/>
        <v>0.610148124803025</v>
      </c>
      <c r="G17" s="10">
        <f t="shared" si="5"/>
        <v>0.751122276259446</v>
      </c>
      <c r="H17" s="11"/>
      <c r="I17" s="8">
        <v>0.7</v>
      </c>
      <c r="J17" s="9">
        <f t="shared" si="6"/>
        <v>1.26129880018671</v>
      </c>
      <c r="K17" s="8">
        <v>0.8</v>
      </c>
      <c r="L17" s="9">
        <f t="shared" si="7"/>
        <v>1.29924932324748</v>
      </c>
      <c r="M17" s="8">
        <v>0.6</v>
      </c>
      <c r="N17" s="9">
        <f t="shared" si="16"/>
        <v>1.21219266489665</v>
      </c>
      <c r="O17" s="9">
        <f t="shared" si="8"/>
        <v>0.610148124803025</v>
      </c>
      <c r="P17" s="10">
        <f t="shared" si="9"/>
        <v>0.651150675383683</v>
      </c>
      <c r="Q17" s="1"/>
      <c r="R17" s="8">
        <v>0.8</v>
      </c>
      <c r="S17" s="9">
        <f t="shared" si="10"/>
        <v>1.29924932324748</v>
      </c>
      <c r="T17" s="9">
        <f t="shared" si="11"/>
        <v>0.610148124803025</v>
      </c>
      <c r="U17" s="10">
        <f t="shared" si="12"/>
        <v>0.689101198444457</v>
      </c>
      <c r="V17" s="8">
        <v>0.9</v>
      </c>
      <c r="W17" s="9">
        <f t="shared" si="13"/>
        <v>1.33717273248425</v>
      </c>
      <c r="X17" s="9">
        <f t="shared" si="14"/>
        <v>0.00011836153108406</v>
      </c>
      <c r="Y17" s="10">
        <f t="shared" si="15"/>
        <v>1.33705437095316</v>
      </c>
    </row>
    <row r="18" spans="1:25">
      <c r="A18" s="5">
        <v>41548</v>
      </c>
      <c r="B18" s="7">
        <v>40</v>
      </c>
      <c r="C18" s="7">
        <v>3713</v>
      </c>
      <c r="D18" s="8">
        <f t="shared" si="2"/>
        <v>0.6</v>
      </c>
      <c r="E18" s="9">
        <f t="shared" si="3"/>
        <v>1.32381788664481</v>
      </c>
      <c r="F18" s="9">
        <f t="shared" si="4"/>
        <v>0.585092971950835</v>
      </c>
      <c r="G18" s="10">
        <f t="shared" si="5"/>
        <v>0.738724914693975</v>
      </c>
      <c r="H18" s="11"/>
      <c r="I18" s="8">
        <v>0.7</v>
      </c>
      <c r="J18" s="9">
        <f t="shared" si="6"/>
        <v>1.22504297465448</v>
      </c>
      <c r="K18" s="8">
        <v>0.8</v>
      </c>
      <c r="L18" s="9">
        <f t="shared" si="7"/>
        <v>1.25656737233915</v>
      </c>
      <c r="M18" s="8">
        <v>0.6</v>
      </c>
      <c r="N18" s="9">
        <f t="shared" si="16"/>
        <v>1.19218209393723</v>
      </c>
      <c r="O18" s="9">
        <f t="shared" si="8"/>
        <v>0.585092971950835</v>
      </c>
      <c r="P18" s="10">
        <f t="shared" si="9"/>
        <v>0.639950002703646</v>
      </c>
      <c r="Q18" s="1"/>
      <c r="R18" s="8">
        <v>0.8</v>
      </c>
      <c r="S18" s="9">
        <f t="shared" si="10"/>
        <v>1.25656737233915</v>
      </c>
      <c r="T18" s="9">
        <f t="shared" si="11"/>
        <v>0.585092971950835</v>
      </c>
      <c r="U18" s="10">
        <f t="shared" si="12"/>
        <v>0.671474400388311</v>
      </c>
      <c r="V18" s="8">
        <v>0.9</v>
      </c>
      <c r="W18" s="9">
        <f t="shared" si="13"/>
        <v>1.28775397783071</v>
      </c>
      <c r="X18" s="9">
        <f t="shared" si="14"/>
        <v>0.000116407960084144</v>
      </c>
      <c r="Y18" s="10">
        <f t="shared" si="15"/>
        <v>1.28763756987063</v>
      </c>
    </row>
    <row r="19" spans="1:25">
      <c r="A19" s="5">
        <v>41579</v>
      </c>
      <c r="B19" s="7">
        <v>25</v>
      </c>
      <c r="C19" s="7">
        <v>3946</v>
      </c>
      <c r="D19" s="8">
        <f t="shared" si="2"/>
        <v>0.75</v>
      </c>
      <c r="E19" s="9">
        <f t="shared" si="3"/>
        <v>1.37366160885137</v>
      </c>
      <c r="F19" s="9">
        <f t="shared" si="4"/>
        <v>0.621809013551844</v>
      </c>
      <c r="G19" s="10">
        <f t="shared" si="5"/>
        <v>0.751852595299523</v>
      </c>
      <c r="H19" s="11"/>
      <c r="I19" s="8">
        <v>0.7</v>
      </c>
      <c r="J19" s="9">
        <f t="shared" si="6"/>
        <v>1.2788551236354</v>
      </c>
      <c r="K19" s="8">
        <v>0.8</v>
      </c>
      <c r="L19" s="9">
        <f t="shared" si="7"/>
        <v>1.3196495587663</v>
      </c>
      <c r="M19" s="8">
        <v>0.6</v>
      </c>
      <c r="N19" s="9">
        <f t="shared" si="16"/>
        <v>1.21911455664649</v>
      </c>
      <c r="O19" s="9">
        <f t="shared" si="8"/>
        <v>0.621809013551844</v>
      </c>
      <c r="P19" s="10">
        <f t="shared" si="9"/>
        <v>0.657046110083555</v>
      </c>
      <c r="Q19" s="1"/>
      <c r="R19" s="8">
        <v>0.8</v>
      </c>
      <c r="S19" s="9">
        <f t="shared" si="10"/>
        <v>1.3196495587663</v>
      </c>
      <c r="T19" s="9">
        <f t="shared" si="11"/>
        <v>0.621809013551844</v>
      </c>
      <c r="U19" s="10">
        <f t="shared" si="12"/>
        <v>0.697840545214455</v>
      </c>
      <c r="V19" s="8">
        <v>0.9</v>
      </c>
      <c r="W19" s="9">
        <f t="shared" si="13"/>
        <v>1.36048277103058</v>
      </c>
      <c r="X19" s="9">
        <f t="shared" si="14"/>
        <v>0.000118476614449972</v>
      </c>
      <c r="Y19" s="10">
        <f t="shared" si="15"/>
        <v>1.36036429441613</v>
      </c>
    </row>
    <row r="20" spans="1:25">
      <c r="A20" s="12">
        <v>41609</v>
      </c>
      <c r="B20" s="13">
        <v>28</v>
      </c>
      <c r="C20" s="13">
        <v>3829</v>
      </c>
      <c r="D20" s="14">
        <f t="shared" si="2"/>
        <v>0.72</v>
      </c>
      <c r="E20" s="15">
        <f t="shared" si="3"/>
        <v>1.3431145216297</v>
      </c>
      <c r="F20" s="15">
        <f t="shared" si="4"/>
        <v>0.603372202962496</v>
      </c>
      <c r="G20" s="16">
        <f t="shared" si="5"/>
        <v>0.739742318667201</v>
      </c>
      <c r="H20" s="17"/>
      <c r="I20" s="19">
        <v>0.7</v>
      </c>
      <c r="J20" s="9">
        <f t="shared" si="6"/>
        <v>1.25231223599583</v>
      </c>
      <c r="K20" s="8">
        <v>0.8</v>
      </c>
      <c r="L20" s="15">
        <f t="shared" si="7"/>
        <v>1.28834717693646</v>
      </c>
      <c r="M20" s="8">
        <v>0.6</v>
      </c>
      <c r="N20" s="9">
        <f t="shared" si="16"/>
        <v>1.20284836774445</v>
      </c>
      <c r="O20" s="9">
        <f t="shared" si="8"/>
        <v>0.603372202962496</v>
      </c>
      <c r="P20" s="10">
        <f t="shared" si="9"/>
        <v>0.648940033033334</v>
      </c>
      <c r="Q20" s="21"/>
      <c r="R20" s="19">
        <v>0.8</v>
      </c>
      <c r="S20" s="15">
        <f t="shared" si="10"/>
        <v>1.28834717693646</v>
      </c>
      <c r="T20" s="22">
        <f t="shared" si="11"/>
        <v>0.603372202962496</v>
      </c>
      <c r="U20" s="16">
        <f t="shared" si="12"/>
        <v>0.684974973973968</v>
      </c>
      <c r="V20" s="8">
        <v>0.9</v>
      </c>
      <c r="W20" s="23">
        <f t="shared" si="13"/>
        <v>1.32417794695822</v>
      </c>
      <c r="X20" s="9">
        <f t="shared" si="14"/>
        <v>0.000116568282172581</v>
      </c>
      <c r="Y20" s="10">
        <f t="shared" si="15"/>
        <v>1.32406137867605</v>
      </c>
    </row>
    <row r="21" spans="1:25">
      <c r="A21" s="5">
        <v>41640</v>
      </c>
      <c r="B21" s="7">
        <v>23</v>
      </c>
      <c r="C21" s="7">
        <v>3885</v>
      </c>
      <c r="D21" s="8">
        <f t="shared" si="2"/>
        <v>0.77</v>
      </c>
      <c r="E21" s="9">
        <f t="shared" si="3"/>
        <v>1.35725773853022</v>
      </c>
      <c r="F21" s="9">
        <f t="shared" si="4"/>
        <v>0.612196659312953</v>
      </c>
      <c r="G21" s="10">
        <f t="shared" si="5"/>
        <v>0.745061079217269</v>
      </c>
      <c r="H21" s="11"/>
      <c r="I21" s="8">
        <v>0.7</v>
      </c>
      <c r="J21" s="9">
        <f t="shared" si="6"/>
        <v>1.26513298283601</v>
      </c>
      <c r="K21" s="8">
        <v>0.8</v>
      </c>
      <c r="L21" s="9">
        <f t="shared" si="7"/>
        <v>1.30342107443627</v>
      </c>
      <c r="M21" s="8">
        <v>0.6</v>
      </c>
      <c r="N21" s="9">
        <f t="shared" si="16"/>
        <v>1.2104480824774</v>
      </c>
      <c r="O21" s="9">
        <f t="shared" si="8"/>
        <v>0.612196659312953</v>
      </c>
      <c r="P21" s="10">
        <f t="shared" si="9"/>
        <v>0.652936323523053</v>
      </c>
      <c r="Q21" s="1"/>
      <c r="R21" s="8">
        <v>0.8</v>
      </c>
      <c r="S21" s="9">
        <f t="shared" si="10"/>
        <v>1.30342107443627</v>
      </c>
      <c r="T21" s="9">
        <f t="shared" si="11"/>
        <v>0.612196659312953</v>
      </c>
      <c r="U21" s="10">
        <f t="shared" si="12"/>
        <v>0.691224415123316</v>
      </c>
      <c r="V21" s="8">
        <v>0.9</v>
      </c>
      <c r="W21" s="9">
        <f t="shared" si="13"/>
        <v>1.34160771152513</v>
      </c>
      <c r="X21" s="9">
        <f t="shared" si="14"/>
        <v>0.000117406410213878</v>
      </c>
      <c r="Y21" s="10">
        <f t="shared" si="15"/>
        <v>1.34149030511491</v>
      </c>
    </row>
    <row r="22" spans="1:25">
      <c r="A22" s="5">
        <v>41671</v>
      </c>
      <c r="B22" s="7">
        <v>43</v>
      </c>
      <c r="C22" s="7">
        <v>3975</v>
      </c>
      <c r="D22" s="8">
        <f t="shared" si="2"/>
        <v>0.57</v>
      </c>
      <c r="E22" s="9">
        <f t="shared" si="3"/>
        <v>1.38146828197427</v>
      </c>
      <c r="F22" s="9">
        <f t="shared" si="4"/>
        <v>0.626378821304759</v>
      </c>
      <c r="G22" s="10">
        <f t="shared" si="5"/>
        <v>0.755089460669516</v>
      </c>
      <c r="H22" s="11"/>
      <c r="I22" s="8">
        <v>0.7</v>
      </c>
      <c r="J22" s="9">
        <f t="shared" si="6"/>
        <v>1.28564865282794</v>
      </c>
      <c r="K22" s="8">
        <v>0.8</v>
      </c>
      <c r="L22" s="9">
        <f t="shared" si="7"/>
        <v>1.32757714068065</v>
      </c>
      <c r="M22" s="8">
        <v>0.6</v>
      </c>
      <c r="N22" s="9">
        <f t="shared" si="16"/>
        <v>1.22340314844121</v>
      </c>
      <c r="O22" s="9">
        <f t="shared" si="8"/>
        <v>0.626378821304759</v>
      </c>
      <c r="P22" s="10">
        <f t="shared" si="9"/>
        <v>0.659269831523183</v>
      </c>
      <c r="Q22" s="1"/>
      <c r="R22" s="8">
        <v>0.8</v>
      </c>
      <c r="S22" s="9">
        <f t="shared" si="10"/>
        <v>1.32757714068065</v>
      </c>
      <c r="T22" s="9">
        <f t="shared" si="11"/>
        <v>0.626378821304759</v>
      </c>
      <c r="U22" s="10">
        <f t="shared" si="12"/>
        <v>0.70119831937589</v>
      </c>
      <c r="V22" s="8">
        <v>0.9</v>
      </c>
      <c r="W22" s="9">
        <f t="shared" si="13"/>
        <v>1.36957945531754</v>
      </c>
      <c r="X22" s="9">
        <f t="shared" si="14"/>
        <v>0.000118986678328004</v>
      </c>
      <c r="Y22" s="10">
        <f t="shared" si="15"/>
        <v>1.36946046863922</v>
      </c>
    </row>
    <row r="23" spans="1:25">
      <c r="A23" s="5">
        <v>41699</v>
      </c>
      <c r="B23" s="7">
        <v>30</v>
      </c>
      <c r="C23" s="7">
        <v>3840</v>
      </c>
      <c r="D23" s="8">
        <f t="shared" si="2"/>
        <v>0.7</v>
      </c>
      <c r="E23" s="9">
        <f t="shared" si="3"/>
        <v>1.3547251412704</v>
      </c>
      <c r="F23" s="9">
        <f t="shared" si="4"/>
        <v>0.60510557831705</v>
      </c>
      <c r="G23" s="10">
        <f t="shared" si="5"/>
        <v>0.749619562953345</v>
      </c>
      <c r="H23" s="11"/>
      <c r="I23" s="8">
        <v>0.7</v>
      </c>
      <c r="J23" s="9">
        <f t="shared" si="6"/>
        <v>1.25508417542109</v>
      </c>
      <c r="K23" s="8">
        <v>0.8</v>
      </c>
      <c r="L23" s="9">
        <f t="shared" si="7"/>
        <v>1.29150712025461</v>
      </c>
      <c r="M23" s="8">
        <v>0.6</v>
      </c>
      <c r="N23" s="9">
        <f t="shared" si="16"/>
        <v>1.20919320545668</v>
      </c>
      <c r="O23" s="9">
        <f t="shared" si="8"/>
        <v>0.60510557831705</v>
      </c>
      <c r="P23" s="10">
        <f t="shared" si="9"/>
        <v>0.649978597104039</v>
      </c>
      <c r="Q23" s="1"/>
      <c r="R23" s="8">
        <v>0.8</v>
      </c>
      <c r="S23" s="9">
        <f t="shared" si="10"/>
        <v>1.29150712025461</v>
      </c>
      <c r="T23" s="9">
        <f t="shared" si="11"/>
        <v>0.60510557831705</v>
      </c>
      <c r="U23" s="10">
        <f t="shared" si="12"/>
        <v>0.686401541937558</v>
      </c>
      <c r="V23" s="8">
        <v>0.9</v>
      </c>
      <c r="W23" s="9">
        <f t="shared" si="13"/>
        <v>1.32771683800406</v>
      </c>
      <c r="X23" s="9">
        <f t="shared" si="14"/>
        <v>0.000118124734155901</v>
      </c>
      <c r="Y23" s="10">
        <f t="shared" si="15"/>
        <v>1.32759871326991</v>
      </c>
    </row>
    <row r="24" spans="1:25">
      <c r="A24" s="5">
        <v>41730</v>
      </c>
      <c r="B24" s="7">
        <v>25</v>
      </c>
      <c r="C24" s="7">
        <v>3766</v>
      </c>
      <c r="D24" s="8">
        <f t="shared" si="2"/>
        <v>0.75</v>
      </c>
      <c r="E24" s="9">
        <f t="shared" si="3"/>
        <v>1.33645046358347</v>
      </c>
      <c r="F24" s="9">
        <f t="shared" si="4"/>
        <v>0.593444689568232</v>
      </c>
      <c r="G24" s="10">
        <f t="shared" si="5"/>
        <v>0.743005774015234</v>
      </c>
      <c r="H24" s="11"/>
      <c r="I24" s="8">
        <v>0.7</v>
      </c>
      <c r="J24" s="9">
        <f t="shared" si="6"/>
        <v>1.2381536128464</v>
      </c>
      <c r="K24" s="8">
        <v>0.8</v>
      </c>
      <c r="L24" s="9">
        <f t="shared" si="7"/>
        <v>1.27159638548402</v>
      </c>
      <c r="M24" s="8">
        <v>0.6</v>
      </c>
      <c r="N24" s="9">
        <f t="shared" si="16"/>
        <v>1.19940629795001</v>
      </c>
      <c r="O24" s="9">
        <f t="shared" si="8"/>
        <v>0.593444689568232</v>
      </c>
      <c r="P24" s="10">
        <f t="shared" si="9"/>
        <v>0.644708923278166</v>
      </c>
      <c r="Q24" s="1"/>
      <c r="R24" s="8">
        <v>0.8</v>
      </c>
      <c r="S24" s="9">
        <f t="shared" si="10"/>
        <v>1.27159638548402</v>
      </c>
      <c r="T24" s="9">
        <f t="shared" si="11"/>
        <v>0.593444689568232</v>
      </c>
      <c r="U24" s="10">
        <f t="shared" si="12"/>
        <v>0.678151695915784</v>
      </c>
      <c r="V24" s="8">
        <v>0.9</v>
      </c>
      <c r="W24" s="9">
        <f t="shared" si="13"/>
        <v>1.30468924909493</v>
      </c>
      <c r="X24" s="9">
        <f t="shared" si="14"/>
        <v>0.000117082536088124</v>
      </c>
      <c r="Y24" s="10">
        <f t="shared" si="15"/>
        <v>1.30457216655884</v>
      </c>
    </row>
    <row r="25" spans="1:25">
      <c r="A25" s="5">
        <v>41760</v>
      </c>
      <c r="B25" s="6">
        <v>8</v>
      </c>
      <c r="C25" s="7">
        <v>3829</v>
      </c>
      <c r="D25" s="8">
        <f t="shared" si="2"/>
        <v>0.92</v>
      </c>
      <c r="E25" s="9">
        <f t="shared" si="3"/>
        <v>1.35321819709497</v>
      </c>
      <c r="F25" s="9">
        <f t="shared" si="4"/>
        <v>0.603372202962496</v>
      </c>
      <c r="G25" s="10">
        <f t="shared" si="5"/>
        <v>0.749845994132473</v>
      </c>
      <c r="H25" s="11"/>
      <c r="I25" s="8">
        <v>0.7</v>
      </c>
      <c r="J25" s="9">
        <f t="shared" si="6"/>
        <v>1.25265243768084</v>
      </c>
      <c r="K25" s="8">
        <v>0.8</v>
      </c>
      <c r="L25" s="9">
        <f t="shared" si="7"/>
        <v>1.2886140322786</v>
      </c>
      <c r="M25" s="8">
        <v>0.6</v>
      </c>
      <c r="N25" s="9">
        <f t="shared" si="16"/>
        <v>1.20843528588068</v>
      </c>
      <c r="O25" s="9">
        <f t="shared" si="8"/>
        <v>0.603372202962496</v>
      </c>
      <c r="P25" s="10">
        <f t="shared" si="9"/>
        <v>0.649280234718349</v>
      </c>
      <c r="Q25" s="1"/>
      <c r="R25" s="8">
        <v>0.8</v>
      </c>
      <c r="S25" s="9">
        <f t="shared" si="10"/>
        <v>1.2886140322786</v>
      </c>
      <c r="T25" s="9">
        <f t="shared" si="11"/>
        <v>0.603372202962496</v>
      </c>
      <c r="U25" s="10">
        <f t="shared" si="12"/>
        <v>0.685241829316102</v>
      </c>
      <c r="V25" s="8">
        <v>0.9</v>
      </c>
      <c r="W25" s="9">
        <f t="shared" si="13"/>
        <v>1.32433234001997</v>
      </c>
      <c r="X25" s="9">
        <f t="shared" si="14"/>
        <v>0.000118160415085483</v>
      </c>
      <c r="Y25" s="10">
        <f t="shared" si="15"/>
        <v>1.32421417960488</v>
      </c>
    </row>
    <row r="26" spans="1:25">
      <c r="A26" s="5">
        <v>41791</v>
      </c>
      <c r="B26" s="7">
        <v>15</v>
      </c>
      <c r="C26" s="7">
        <v>3924</v>
      </c>
      <c r="D26" s="8">
        <f t="shared" si="2"/>
        <v>0.85</v>
      </c>
      <c r="E26" s="9">
        <f t="shared" si="3"/>
        <v>1.38410648918849</v>
      </c>
      <c r="F26" s="9">
        <f t="shared" si="4"/>
        <v>0.618342262842736</v>
      </c>
      <c r="G26" s="10">
        <f t="shared" si="5"/>
        <v>0.765764226345757</v>
      </c>
      <c r="H26" s="11"/>
      <c r="I26" s="8">
        <v>0.7</v>
      </c>
      <c r="J26" s="9">
        <f t="shared" si="6"/>
        <v>1.27440782736634</v>
      </c>
      <c r="K26" s="8">
        <v>0.8</v>
      </c>
      <c r="L26" s="9">
        <f t="shared" si="7"/>
        <v>1.31419111936483</v>
      </c>
      <c r="M26" s="8">
        <v>0.6</v>
      </c>
      <c r="N26" s="9">
        <f t="shared" si="16"/>
        <v>1.2249853894042</v>
      </c>
      <c r="O26" s="9">
        <f t="shared" si="8"/>
        <v>0.618342262842736</v>
      </c>
      <c r="P26" s="10">
        <f t="shared" si="9"/>
        <v>0.656065564523608</v>
      </c>
      <c r="Q26" s="1"/>
      <c r="R26" s="8">
        <v>0.8</v>
      </c>
      <c r="S26" s="9">
        <f t="shared" si="10"/>
        <v>1.31419111936483</v>
      </c>
      <c r="T26" s="9">
        <f t="shared" si="11"/>
        <v>0.618342262842736</v>
      </c>
      <c r="U26" s="10">
        <f t="shared" si="12"/>
        <v>0.695848856522092</v>
      </c>
      <c r="V26" s="8">
        <v>0.9</v>
      </c>
      <c r="W26" s="9">
        <f t="shared" si="13"/>
        <v>1.35390413815831</v>
      </c>
      <c r="X26" s="9">
        <f t="shared" si="14"/>
        <v>0.000120668803395171</v>
      </c>
      <c r="Y26" s="10">
        <f t="shared" si="15"/>
        <v>1.35378346935491</v>
      </c>
    </row>
    <row r="27" spans="1:25">
      <c r="A27" s="5">
        <v>41821</v>
      </c>
      <c r="B27" s="7">
        <v>35</v>
      </c>
      <c r="C27" s="7">
        <v>4257</v>
      </c>
      <c r="D27" s="8">
        <f t="shared" si="2"/>
        <v>0.65</v>
      </c>
      <c r="E27" s="9">
        <f t="shared" si="3"/>
        <v>1.4839462806678</v>
      </c>
      <c r="F27" s="9">
        <f t="shared" si="4"/>
        <v>0.670816262212417</v>
      </c>
      <c r="G27" s="10">
        <f t="shared" si="5"/>
        <v>0.813130018455383</v>
      </c>
      <c r="H27" s="11"/>
      <c r="I27" s="8">
        <v>0.7</v>
      </c>
      <c r="J27" s="9">
        <f t="shared" si="6"/>
        <v>1.35011232903788</v>
      </c>
      <c r="K27" s="8">
        <v>0.8</v>
      </c>
      <c r="L27" s="9">
        <f t="shared" si="7"/>
        <v>1.40341143389051</v>
      </c>
      <c r="M27" s="8">
        <v>0.6</v>
      </c>
      <c r="N27" s="9">
        <f t="shared" si="16"/>
        <v>1.27800253228966</v>
      </c>
      <c r="O27" s="9">
        <f t="shared" si="8"/>
        <v>0.670816262212417</v>
      </c>
      <c r="P27" s="10">
        <f t="shared" si="9"/>
        <v>0.679296066825459</v>
      </c>
      <c r="Q27" s="1"/>
      <c r="R27" s="8">
        <v>0.8</v>
      </c>
      <c r="S27" s="9">
        <f t="shared" si="10"/>
        <v>1.40341143389051</v>
      </c>
      <c r="T27" s="9">
        <f t="shared" si="11"/>
        <v>0.670816262212417</v>
      </c>
      <c r="U27" s="10">
        <f t="shared" si="12"/>
        <v>0.732595171678096</v>
      </c>
      <c r="V27" s="8">
        <v>0.9</v>
      </c>
      <c r="W27" s="9">
        <f t="shared" si="13"/>
        <v>1.45731011935251</v>
      </c>
      <c r="X27" s="9">
        <f t="shared" si="14"/>
        <v>0.000128132684912604</v>
      </c>
      <c r="Y27" s="10">
        <f t="shared" si="15"/>
        <v>1.4571819866676</v>
      </c>
    </row>
    <row r="28" spans="1:25">
      <c r="A28" s="5">
        <v>41852</v>
      </c>
      <c r="B28" s="7">
        <v>53</v>
      </c>
      <c r="C28" s="7">
        <v>4427</v>
      </c>
      <c r="D28" s="8">
        <f t="shared" si="2"/>
        <v>0.47</v>
      </c>
      <c r="E28" s="9">
        <f t="shared" si="3"/>
        <v>1.52246544064285</v>
      </c>
      <c r="F28" s="9">
        <f t="shared" si="4"/>
        <v>0.697604790419162</v>
      </c>
      <c r="G28" s="10">
        <f t="shared" si="5"/>
        <v>0.824860650223689</v>
      </c>
      <c r="H28" s="11"/>
      <c r="I28" s="8">
        <v>0.7</v>
      </c>
      <c r="J28" s="9">
        <f t="shared" si="6"/>
        <v>1.3878533126309</v>
      </c>
      <c r="K28" s="8">
        <v>0.8</v>
      </c>
      <c r="L28" s="9">
        <f t="shared" si="7"/>
        <v>1.44824675336646</v>
      </c>
      <c r="M28" s="8">
        <v>0.6</v>
      </c>
      <c r="N28" s="9">
        <f t="shared" si="16"/>
        <v>1.29790658864174</v>
      </c>
      <c r="O28" s="9">
        <f t="shared" si="8"/>
        <v>0.697604790419162</v>
      </c>
      <c r="P28" s="10">
        <f t="shared" si="9"/>
        <v>0.69024852221174</v>
      </c>
      <c r="Q28" s="1"/>
      <c r="R28" s="8">
        <v>0.8</v>
      </c>
      <c r="S28" s="9">
        <f t="shared" si="10"/>
        <v>1.44824675336646</v>
      </c>
      <c r="T28" s="9">
        <f t="shared" si="11"/>
        <v>0.697604790419162</v>
      </c>
      <c r="U28" s="10">
        <f t="shared" si="12"/>
        <v>0.750641962947299</v>
      </c>
      <c r="V28" s="8">
        <v>0.9</v>
      </c>
      <c r="W28" s="9">
        <f t="shared" si="13"/>
        <v>1.50968701581972</v>
      </c>
      <c r="X28" s="9">
        <f t="shared" si="14"/>
        <v>0.000129981192912652</v>
      </c>
      <c r="Y28" s="10">
        <f t="shared" si="15"/>
        <v>1.50955703462681</v>
      </c>
    </row>
    <row r="29" spans="1:25">
      <c r="A29" s="5">
        <v>41883</v>
      </c>
      <c r="B29" s="7">
        <v>55</v>
      </c>
      <c r="C29" s="7">
        <v>4916</v>
      </c>
      <c r="D29" s="8">
        <f t="shared" si="2"/>
        <v>0.45</v>
      </c>
      <c r="E29" s="9">
        <f t="shared" si="3"/>
        <v>1.60150502325477</v>
      </c>
      <c r="F29" s="9">
        <f t="shared" si="4"/>
        <v>0.774661203907974</v>
      </c>
      <c r="G29" s="10">
        <f t="shared" si="5"/>
        <v>0.826843819346792</v>
      </c>
      <c r="H29" s="11"/>
      <c r="I29" s="8">
        <v>0.7</v>
      </c>
      <c r="J29" s="9">
        <f t="shared" si="6"/>
        <v>1.49516349761251</v>
      </c>
      <c r="K29" s="8">
        <v>0.8</v>
      </c>
      <c r="L29" s="9">
        <f t="shared" si="7"/>
        <v>1.57622374227926</v>
      </c>
      <c r="M29" s="8">
        <v>0.6</v>
      </c>
      <c r="N29" s="9">
        <f t="shared" si="16"/>
        <v>1.3383354846798</v>
      </c>
      <c r="O29" s="9">
        <f t="shared" si="8"/>
        <v>0.774661203907974</v>
      </c>
      <c r="P29" s="10">
        <f t="shared" si="9"/>
        <v>0.720502293704532</v>
      </c>
      <c r="Q29" s="1"/>
      <c r="R29" s="8">
        <v>0.8</v>
      </c>
      <c r="S29" s="9">
        <f t="shared" si="10"/>
        <v>1.57622374227926</v>
      </c>
      <c r="T29" s="9">
        <f t="shared" si="11"/>
        <v>0.774661203907974</v>
      </c>
      <c r="U29" s="10">
        <f t="shared" si="12"/>
        <v>0.801562538371286</v>
      </c>
      <c r="V29" s="8">
        <v>0.9</v>
      </c>
      <c r="W29" s="9">
        <f t="shared" si="13"/>
        <v>1.65976907040799</v>
      </c>
      <c r="X29" s="9">
        <f t="shared" si="14"/>
        <v>0.000130293699865552</v>
      </c>
      <c r="Y29" s="10">
        <f t="shared" si="15"/>
        <v>1.65963877670813</v>
      </c>
    </row>
    <row r="30" spans="1:25">
      <c r="A30" s="5">
        <v>41913</v>
      </c>
      <c r="B30" s="7">
        <v>56</v>
      </c>
      <c r="C30" s="7">
        <v>4986</v>
      </c>
      <c r="D30" s="8">
        <f t="shared" si="2"/>
        <v>0.44</v>
      </c>
      <c r="E30" s="9">
        <f t="shared" si="3"/>
        <v>1.6117669045063</v>
      </c>
      <c r="F30" s="9">
        <f t="shared" si="4"/>
        <v>0.785691774346045</v>
      </c>
      <c r="G30" s="10">
        <f t="shared" si="5"/>
        <v>0.826075130160252</v>
      </c>
      <c r="H30" s="11"/>
      <c r="I30" s="8">
        <v>0.7</v>
      </c>
      <c r="J30" s="9">
        <f t="shared" si="6"/>
        <v>1.51006646982223</v>
      </c>
      <c r="K30" s="8">
        <v>0.8</v>
      </c>
      <c r="L30" s="9">
        <f t="shared" si="7"/>
        <v>1.59417909817178</v>
      </c>
      <c r="M30" s="8">
        <v>0.6</v>
      </c>
      <c r="N30" s="9">
        <f t="shared" si="16"/>
        <v>1.3434808346921</v>
      </c>
      <c r="O30" s="9">
        <f t="shared" si="8"/>
        <v>0.785691774346045</v>
      </c>
      <c r="P30" s="10">
        <f t="shared" si="9"/>
        <v>0.724374695476186</v>
      </c>
      <c r="Q30" s="1"/>
      <c r="R30" s="8">
        <v>0.8</v>
      </c>
      <c r="S30" s="9">
        <f t="shared" si="10"/>
        <v>1.59417909817178</v>
      </c>
      <c r="T30" s="9">
        <f t="shared" si="11"/>
        <v>0.785691774346045</v>
      </c>
      <c r="U30" s="10">
        <f t="shared" si="12"/>
        <v>0.808487323825737</v>
      </c>
      <c r="V30" s="8">
        <v>0.9</v>
      </c>
      <c r="W30" s="9">
        <f t="shared" si="13"/>
        <v>1.68103950397913</v>
      </c>
      <c r="X30" s="9">
        <f t="shared" si="14"/>
        <v>0.000130172570148164</v>
      </c>
      <c r="Y30" s="10">
        <f t="shared" si="15"/>
        <v>1.68090933140898</v>
      </c>
    </row>
    <row r="31" spans="1:25">
      <c r="A31" s="5">
        <v>41944</v>
      </c>
      <c r="B31" s="7">
        <v>58</v>
      </c>
      <c r="C31" s="7">
        <v>5245</v>
      </c>
      <c r="D31" s="8">
        <f t="shared" si="2"/>
        <v>0.42</v>
      </c>
      <c r="E31" s="9">
        <f t="shared" si="3"/>
        <v>1.64860544370356</v>
      </c>
      <c r="F31" s="9">
        <f t="shared" si="4"/>
        <v>0.826504884966908</v>
      </c>
      <c r="G31" s="10">
        <f t="shared" si="5"/>
        <v>0.822100558736648</v>
      </c>
      <c r="H31" s="11"/>
      <c r="I31" s="8">
        <v>0.7</v>
      </c>
      <c r="J31" s="9">
        <f t="shared" si="6"/>
        <v>1.56497522453117</v>
      </c>
      <c r="K31" s="8">
        <v>0.8</v>
      </c>
      <c r="L31" s="9">
        <f t="shared" si="7"/>
        <v>1.66042737517563</v>
      </c>
      <c r="M31" s="8">
        <v>0.6</v>
      </c>
      <c r="N31" s="9">
        <f t="shared" si="16"/>
        <v>1.36190479088</v>
      </c>
      <c r="O31" s="9">
        <f t="shared" si="8"/>
        <v>0.826504884966908</v>
      </c>
      <c r="P31" s="10">
        <f t="shared" si="9"/>
        <v>0.738470339564262</v>
      </c>
      <c r="Q31" s="1"/>
      <c r="R31" s="8">
        <v>0.8</v>
      </c>
      <c r="S31" s="9">
        <f t="shared" si="10"/>
        <v>1.66042737517563</v>
      </c>
      <c r="T31" s="9">
        <f t="shared" si="11"/>
        <v>0.826504884966908</v>
      </c>
      <c r="U31" s="10">
        <f t="shared" si="12"/>
        <v>0.833922490208723</v>
      </c>
      <c r="V31" s="8">
        <v>0.9</v>
      </c>
      <c r="W31" s="9">
        <f t="shared" si="13"/>
        <v>1.75962961797382</v>
      </c>
      <c r="X31" s="9">
        <f t="shared" si="14"/>
        <v>0.000129546258861747</v>
      </c>
      <c r="Y31" s="10">
        <f t="shared" si="15"/>
        <v>1.75950007171496</v>
      </c>
    </row>
    <row r="32" spans="1:25">
      <c r="A32" s="18">
        <v>41974</v>
      </c>
      <c r="B32" s="6">
        <v>63</v>
      </c>
      <c r="C32" s="13">
        <v>5322</v>
      </c>
      <c r="D32" s="14">
        <f t="shared" si="2"/>
        <v>0.37</v>
      </c>
      <c r="E32" s="15">
        <f t="shared" si="3"/>
        <v>1.65877053427541</v>
      </c>
      <c r="F32" s="15">
        <f t="shared" si="4"/>
        <v>0.838638512448787</v>
      </c>
      <c r="G32" s="16">
        <f t="shared" si="5"/>
        <v>0.820132021826624</v>
      </c>
      <c r="H32" s="17"/>
      <c r="I32" s="19">
        <v>0.7</v>
      </c>
      <c r="J32" s="9">
        <f t="shared" si="6"/>
        <v>1.5810576200702</v>
      </c>
      <c r="K32" s="8">
        <v>0.8</v>
      </c>
      <c r="L32" s="15">
        <f t="shared" si="7"/>
        <v>1.67992829534929</v>
      </c>
      <c r="M32" s="8">
        <v>0.6</v>
      </c>
      <c r="N32" s="9">
        <f t="shared" si="16"/>
        <v>1.36694318946194</v>
      </c>
      <c r="O32" s="9">
        <f t="shared" si="8"/>
        <v>0.838638512448787</v>
      </c>
      <c r="P32" s="10">
        <f t="shared" si="9"/>
        <v>0.742419107621417</v>
      </c>
      <c r="Q32" s="21"/>
      <c r="R32" s="24">
        <v>0.2</v>
      </c>
      <c r="S32" s="15">
        <f t="shared" si="10"/>
        <v>1.67992829534929</v>
      </c>
      <c r="T32" s="9">
        <f t="shared" si="11"/>
        <v>0.838638512448787</v>
      </c>
      <c r="U32" s="10">
        <f t="shared" si="12"/>
        <v>0.8412897829005</v>
      </c>
      <c r="V32" s="24">
        <v>0.1</v>
      </c>
      <c r="W32" s="23">
        <f t="shared" si="13"/>
        <v>1.78287887107689</v>
      </c>
      <c r="X32" s="9">
        <f t="shared" si="14"/>
        <v>0.000129236057646805</v>
      </c>
      <c r="Y32" s="10">
        <f t="shared" si="15"/>
        <v>1.78274963501924</v>
      </c>
    </row>
    <row r="33" spans="1:25">
      <c r="A33" s="5">
        <v>42005</v>
      </c>
      <c r="B33" s="6">
        <v>66</v>
      </c>
      <c r="C33" s="7">
        <v>5632</v>
      </c>
      <c r="D33" s="8">
        <f t="shared" si="2"/>
        <v>0.34</v>
      </c>
      <c r="E33" s="9">
        <f t="shared" si="3"/>
        <v>1.69452043662065</v>
      </c>
      <c r="F33" s="9">
        <f t="shared" si="4"/>
        <v>0.887488181531674</v>
      </c>
      <c r="G33" s="10">
        <f t="shared" si="5"/>
        <v>0.807032255088981</v>
      </c>
      <c r="H33" s="11"/>
      <c r="I33" s="14">
        <v>0.7</v>
      </c>
      <c r="J33" s="9">
        <f t="shared" si="6"/>
        <v>1.6455238928164</v>
      </c>
      <c r="K33" s="8">
        <v>0.8</v>
      </c>
      <c r="L33" s="9">
        <f t="shared" si="7"/>
        <v>1.75821131249446</v>
      </c>
      <c r="M33" s="8">
        <v>0.6</v>
      </c>
      <c r="N33" s="9">
        <f t="shared" si="16"/>
        <v>1.38461944468531</v>
      </c>
      <c r="O33" s="9">
        <f t="shared" si="8"/>
        <v>0.887488181531674</v>
      </c>
      <c r="P33" s="10">
        <f t="shared" si="9"/>
        <v>0.758035711284722</v>
      </c>
      <c r="Q33" s="1"/>
      <c r="R33" s="8">
        <v>0.2</v>
      </c>
      <c r="S33" s="9">
        <f t="shared" si="10"/>
        <v>1.69949904963558</v>
      </c>
      <c r="T33" s="9">
        <f t="shared" si="11"/>
        <v>0.887488181531674</v>
      </c>
      <c r="U33" s="10">
        <f t="shared" si="12"/>
        <v>0.812010868103907</v>
      </c>
      <c r="V33" s="8">
        <v>0.1</v>
      </c>
      <c r="W33" s="9">
        <f t="shared" si="13"/>
        <v>1.79326392274983</v>
      </c>
      <c r="X33" s="9">
        <f t="shared" si="14"/>
        <v>0.000127171801936492</v>
      </c>
      <c r="Y33" s="10">
        <f t="shared" si="15"/>
        <v>1.79313675094789</v>
      </c>
    </row>
    <row r="34" spans="1:25">
      <c r="A34" s="5">
        <v>42036</v>
      </c>
      <c r="B34" s="6">
        <v>68</v>
      </c>
      <c r="C34" s="7">
        <v>6018</v>
      </c>
      <c r="D34" s="8">
        <f t="shared" si="2"/>
        <v>0.32</v>
      </c>
      <c r="E34" s="9">
        <f t="shared" si="3"/>
        <v>1.73400709537458</v>
      </c>
      <c r="F34" s="9">
        <f t="shared" si="4"/>
        <v>0.948313898518752</v>
      </c>
      <c r="G34" s="10">
        <f t="shared" si="5"/>
        <v>0.785693196855826</v>
      </c>
      <c r="H34" s="11"/>
      <c r="I34" s="19">
        <v>0.7</v>
      </c>
      <c r="J34" s="9">
        <f t="shared" si="6"/>
        <v>1.7244693040094</v>
      </c>
      <c r="K34" s="8">
        <v>0.8</v>
      </c>
      <c r="L34" s="9">
        <f t="shared" si="7"/>
        <v>1.85461323957157</v>
      </c>
      <c r="M34" s="8">
        <v>0.6</v>
      </c>
      <c r="N34" s="9">
        <f t="shared" si="16"/>
        <v>1.40397854865411</v>
      </c>
      <c r="O34" s="9">
        <f t="shared" si="8"/>
        <v>0.948313898518752</v>
      </c>
      <c r="P34" s="10">
        <f t="shared" si="9"/>
        <v>0.776155405490646</v>
      </c>
      <c r="Q34" s="1"/>
      <c r="R34" s="8">
        <v>0.2</v>
      </c>
      <c r="S34" s="9">
        <f t="shared" si="10"/>
        <v>1.72279473973357</v>
      </c>
      <c r="T34" s="9">
        <f t="shared" si="11"/>
        <v>0.948313898518752</v>
      </c>
      <c r="U34" s="10">
        <f t="shared" si="12"/>
        <v>0.774480841214816</v>
      </c>
      <c r="V34" s="8">
        <v>0.1</v>
      </c>
      <c r="W34" s="9">
        <f t="shared" si="13"/>
        <v>1.80555440347038</v>
      </c>
      <c r="X34" s="9">
        <f t="shared" si="14"/>
        <v>0.000123809202151879</v>
      </c>
      <c r="Y34" s="10">
        <f t="shared" si="15"/>
        <v>1.80543059426822</v>
      </c>
    </row>
    <row r="35" spans="1:25">
      <c r="A35" s="5">
        <v>42064</v>
      </c>
      <c r="B35" s="6">
        <v>78</v>
      </c>
      <c r="C35" s="7">
        <v>7253</v>
      </c>
      <c r="D35" s="8">
        <f t="shared" si="2"/>
        <v>0.22</v>
      </c>
      <c r="E35" s="9">
        <f t="shared" si="3"/>
        <v>1.84787874776607</v>
      </c>
      <c r="F35" s="9">
        <f t="shared" si="4"/>
        <v>1.14292467696187</v>
      </c>
      <c r="G35" s="10">
        <f t="shared" si="5"/>
        <v>0.704954070804209</v>
      </c>
      <c r="H35" s="11"/>
      <c r="I35" s="14">
        <v>0.7</v>
      </c>
      <c r="J35" s="9">
        <f t="shared" si="6"/>
        <v>1.97219341722245</v>
      </c>
      <c r="K35" s="8">
        <v>0.8</v>
      </c>
      <c r="L35" s="9">
        <f t="shared" si="7"/>
        <v>2.15909278106322</v>
      </c>
      <c r="M35" s="8">
        <v>0.6</v>
      </c>
      <c r="N35" s="9">
        <f t="shared" si="16"/>
        <v>1.45929782307366</v>
      </c>
      <c r="O35" s="9">
        <f t="shared" si="8"/>
        <v>1.14292467696187</v>
      </c>
      <c r="P35" s="10">
        <f t="shared" si="9"/>
        <v>0.829268740260581</v>
      </c>
      <c r="Q35" s="1"/>
      <c r="R35" s="8">
        <v>0.2</v>
      </c>
      <c r="S35" s="9">
        <f t="shared" si="10"/>
        <v>1.7935043277552</v>
      </c>
      <c r="T35" s="9">
        <f t="shared" si="11"/>
        <v>1.14292467696187</v>
      </c>
      <c r="U35" s="10">
        <f t="shared" si="12"/>
        <v>0.650579650793336</v>
      </c>
      <c r="V35" s="8">
        <v>0.1</v>
      </c>
      <c r="W35" s="9">
        <f t="shared" si="13"/>
        <v>1.84260757210258</v>
      </c>
      <c r="X35" s="9">
        <f t="shared" si="14"/>
        <v>0.00011108636476587</v>
      </c>
      <c r="Y35" s="10">
        <f t="shared" si="15"/>
        <v>1.84249648573781</v>
      </c>
    </row>
    <row r="36" spans="1:25">
      <c r="A36" s="5">
        <v>42095</v>
      </c>
      <c r="B36" s="6">
        <v>98</v>
      </c>
      <c r="C36" s="7">
        <v>8469</v>
      </c>
      <c r="D36" s="8">
        <f t="shared" si="2"/>
        <v>0.02</v>
      </c>
      <c r="E36" s="9">
        <f t="shared" si="3"/>
        <v>1.91603599616017</v>
      </c>
      <c r="F36" s="9">
        <f t="shared" si="4"/>
        <v>1.33454144342893</v>
      </c>
      <c r="G36" s="10">
        <f t="shared" si="5"/>
        <v>0.58149455273124</v>
      </c>
      <c r="H36" s="11"/>
      <c r="I36" s="19">
        <v>0.7</v>
      </c>
      <c r="J36" s="9">
        <f t="shared" si="6"/>
        <v>2.20364675194459</v>
      </c>
      <c r="K36" s="8">
        <v>0.8</v>
      </c>
      <c r="L36" s="9">
        <f t="shared" si="7"/>
        <v>2.44867853280985</v>
      </c>
      <c r="M36" s="8">
        <v>0.6</v>
      </c>
      <c r="N36" s="9">
        <f t="shared" si="16"/>
        <v>1.4915927096278</v>
      </c>
      <c r="O36" s="9">
        <f t="shared" si="8"/>
        <v>1.33454144342893</v>
      </c>
      <c r="P36" s="10">
        <f t="shared" si="9"/>
        <v>0.869105308515663</v>
      </c>
      <c r="Q36" s="1"/>
      <c r="R36" s="8">
        <v>0.2</v>
      </c>
      <c r="S36" s="9">
        <f t="shared" si="10"/>
        <v>1.85364223655295</v>
      </c>
      <c r="T36" s="9">
        <f t="shared" si="11"/>
        <v>1.33454144342893</v>
      </c>
      <c r="U36" s="10">
        <f t="shared" si="12"/>
        <v>0.519100793124018</v>
      </c>
      <c r="V36" s="8">
        <v>0.1</v>
      </c>
      <c r="W36" s="9">
        <f t="shared" si="13"/>
        <v>1.87349976578349</v>
      </c>
      <c r="X36" s="9">
        <f t="shared" si="14"/>
        <v>9.16316660465237e-5</v>
      </c>
      <c r="Y36" s="10">
        <f t="shared" si="15"/>
        <v>1.87340813411745</v>
      </c>
    </row>
    <row r="37" spans="1:25">
      <c r="A37" s="5">
        <v>42125</v>
      </c>
      <c r="B37" s="6">
        <v>100</v>
      </c>
      <c r="C37" s="7">
        <v>9966</v>
      </c>
      <c r="D37" s="8">
        <f t="shared" si="2"/>
        <v>0</v>
      </c>
      <c r="E37" s="9">
        <f t="shared" si="3"/>
        <v>1.92280965511932</v>
      </c>
      <c r="F37" s="9">
        <f t="shared" si="4"/>
        <v>1.57043807122597</v>
      </c>
      <c r="G37" s="10">
        <f t="shared" si="5"/>
        <v>0.352371583893351</v>
      </c>
      <c r="H37" s="11"/>
      <c r="I37" s="14">
        <v>0.7</v>
      </c>
      <c r="J37" s="9">
        <f t="shared" si="6"/>
        <v>2.47631193453554</v>
      </c>
      <c r="K37" s="8">
        <v>0.8</v>
      </c>
      <c r="L37" s="9">
        <f t="shared" si="7"/>
        <v>2.79494579115122</v>
      </c>
      <c r="M37" s="8">
        <v>0.6</v>
      </c>
      <c r="N37" s="9">
        <f t="shared" si="16"/>
        <v>1.49475659809584</v>
      </c>
      <c r="O37" s="9">
        <f t="shared" si="8"/>
        <v>1.57043807122597</v>
      </c>
      <c r="P37" s="10">
        <f t="shared" si="9"/>
        <v>0.905873863309574</v>
      </c>
      <c r="Q37" s="1"/>
      <c r="R37" s="8">
        <v>0.2</v>
      </c>
      <c r="S37" s="9">
        <f t="shared" si="10"/>
        <v>1.91917305313389</v>
      </c>
      <c r="T37" s="9">
        <f t="shared" si="11"/>
        <v>1.57043807122597</v>
      </c>
      <c r="U37" s="10">
        <f t="shared" si="12"/>
        <v>0.348734981907917</v>
      </c>
      <c r="V37" s="8">
        <v>0.1</v>
      </c>
      <c r="W37" s="9">
        <f t="shared" si="13"/>
        <v>1.90661618034694</v>
      </c>
      <c r="X37" s="9">
        <f t="shared" si="14"/>
        <v>5.55265653787191e-5</v>
      </c>
      <c r="Y37" s="10">
        <f t="shared" si="15"/>
        <v>1.90656065378156</v>
      </c>
    </row>
    <row r="38" spans="1:25">
      <c r="A38" s="5">
        <v>42156</v>
      </c>
      <c r="B38" s="6">
        <v>100</v>
      </c>
      <c r="C38" s="7">
        <v>8906</v>
      </c>
      <c r="D38" s="8">
        <f t="shared" si="2"/>
        <v>0</v>
      </c>
      <c r="E38" s="9">
        <f t="shared" si="3"/>
        <v>1.92280965511932</v>
      </c>
      <c r="F38" s="9">
        <f t="shared" si="4"/>
        <v>1.40340371887803</v>
      </c>
      <c r="G38" s="10">
        <f t="shared" si="5"/>
        <v>0.519405936241287</v>
      </c>
      <c r="H38" s="11"/>
      <c r="I38" s="19">
        <v>0.7</v>
      </c>
      <c r="J38" s="9">
        <f t="shared" si="6"/>
        <v>2.2919427337102</v>
      </c>
      <c r="K38" s="8">
        <v>0.8</v>
      </c>
      <c r="L38" s="9">
        <f t="shared" si="7"/>
        <v>2.55712580009199</v>
      </c>
      <c r="M38" s="8">
        <v>0.6</v>
      </c>
      <c r="N38" s="9">
        <f t="shared" si="16"/>
        <v>1.49475659809584</v>
      </c>
      <c r="O38" s="9">
        <f t="shared" si="8"/>
        <v>1.40340371887803</v>
      </c>
      <c r="P38" s="10">
        <f t="shared" si="9"/>
        <v>0.888539014832166</v>
      </c>
      <c r="Q38" s="1"/>
      <c r="R38" s="8">
        <v>0.2</v>
      </c>
      <c r="S38" s="9">
        <f t="shared" si="10"/>
        <v>1.8783477784736</v>
      </c>
      <c r="T38" s="9">
        <f t="shared" si="11"/>
        <v>1.40340371887803</v>
      </c>
      <c r="U38" s="10">
        <f t="shared" si="12"/>
        <v>0.47494405959557</v>
      </c>
      <c r="V38" s="8">
        <v>0.1</v>
      </c>
      <c r="W38" s="9">
        <f t="shared" si="13"/>
        <v>1.88633709996195</v>
      </c>
      <c r="X38" s="9">
        <f t="shared" si="14"/>
        <v>8.18477680808836e-5</v>
      </c>
      <c r="Y38" s="10">
        <f t="shared" si="15"/>
        <v>1.88625525219387</v>
      </c>
    </row>
    <row r="39" spans="1:25">
      <c r="A39" s="5">
        <v>42186</v>
      </c>
      <c r="B39" s="6">
        <v>91</v>
      </c>
      <c r="C39" s="7">
        <v>7727</v>
      </c>
      <c r="D39" s="8">
        <f t="shared" si="2"/>
        <v>0.09</v>
      </c>
      <c r="E39" s="9">
        <f t="shared" si="3"/>
        <v>1.92280965511932</v>
      </c>
      <c r="F39" s="9">
        <f t="shared" si="4"/>
        <v>1.21761739678538</v>
      </c>
      <c r="G39" s="10">
        <f t="shared" si="5"/>
        <v>0.705192258333944</v>
      </c>
      <c r="H39" s="11"/>
      <c r="I39" s="14">
        <v>0.7</v>
      </c>
      <c r="J39" s="9">
        <f t="shared" si="6"/>
        <v>2.07955329533932</v>
      </c>
      <c r="K39" s="8">
        <v>0.8</v>
      </c>
      <c r="L39" s="9">
        <f t="shared" si="7"/>
        <v>2.28631050089518</v>
      </c>
      <c r="M39" s="8">
        <v>0.6</v>
      </c>
      <c r="N39" s="9">
        <f t="shared" si="16"/>
        <v>1.49475659809584</v>
      </c>
      <c r="O39" s="9">
        <f t="shared" si="8"/>
        <v>1.21761739678538</v>
      </c>
      <c r="P39" s="10">
        <f t="shared" si="9"/>
        <v>0.861935898553946</v>
      </c>
      <c r="Q39" s="1"/>
      <c r="R39" s="8">
        <v>0.2</v>
      </c>
      <c r="S39" s="9">
        <f t="shared" si="10"/>
        <v>1.82861564214258</v>
      </c>
      <c r="T39" s="9">
        <f t="shared" si="11"/>
        <v>1.21761739678538</v>
      </c>
      <c r="U39" s="10">
        <f t="shared" si="12"/>
        <v>0.610998245357205</v>
      </c>
      <c r="V39" s="8">
        <v>0.1</v>
      </c>
      <c r="W39" s="9">
        <f t="shared" si="13"/>
        <v>1.86136526703072</v>
      </c>
      <c r="X39" s="9">
        <f t="shared" si="14"/>
        <v>0.000111123898256216</v>
      </c>
      <c r="Y39" s="10">
        <f t="shared" si="15"/>
        <v>1.86125414313246</v>
      </c>
    </row>
    <row r="40" spans="1:25">
      <c r="A40" s="5">
        <v>42217</v>
      </c>
      <c r="B40" s="6">
        <v>88</v>
      </c>
      <c r="C40" s="7">
        <v>6581</v>
      </c>
      <c r="D40" s="8">
        <f t="shared" ref="D40:D71" si="17">(100-B40)/100</f>
        <v>0.12</v>
      </c>
      <c r="E40" s="9">
        <f t="shared" si="3"/>
        <v>1.89714399084742</v>
      </c>
      <c r="F40" s="9">
        <f t="shared" si="4"/>
        <v>1.03703120075638</v>
      </c>
      <c r="G40" s="10">
        <f t="shared" si="5"/>
        <v>0.860112790091034</v>
      </c>
      <c r="H40" s="11"/>
      <c r="I40" s="19">
        <v>0.7</v>
      </c>
      <c r="J40" s="9">
        <f t="shared" si="6"/>
        <v>1.86365868507386</v>
      </c>
      <c r="K40" s="8">
        <v>0.8</v>
      </c>
      <c r="L40" s="9">
        <f t="shared" si="7"/>
        <v>2.01504228978858</v>
      </c>
      <c r="M40" s="8">
        <v>0.6</v>
      </c>
      <c r="N40" s="9">
        <f t="shared" si="16"/>
        <v>1.48278539098873</v>
      </c>
      <c r="O40" s="9">
        <f t="shared" si="8"/>
        <v>1.03703120075638</v>
      </c>
      <c r="P40" s="10">
        <f t="shared" si="9"/>
        <v>0.826627484317482</v>
      </c>
      <c r="Q40" s="1"/>
      <c r="R40" s="8">
        <v>0.2</v>
      </c>
      <c r="S40" s="9">
        <f t="shared" si="10"/>
        <v>1.77437483650274</v>
      </c>
      <c r="T40" s="9">
        <f t="shared" si="11"/>
        <v>1.03703120075638</v>
      </c>
      <c r="U40" s="10">
        <f t="shared" si="12"/>
        <v>0.737343635746355</v>
      </c>
      <c r="V40" s="8">
        <v>0.1</v>
      </c>
      <c r="W40" s="9">
        <f t="shared" si="13"/>
        <v>1.8337591508664</v>
      </c>
      <c r="X40" s="9">
        <f t="shared" si="14"/>
        <v>0.000135536210225502</v>
      </c>
      <c r="Y40" s="10">
        <f t="shared" si="15"/>
        <v>1.83362361465617</v>
      </c>
    </row>
    <row r="41" spans="1:25">
      <c r="A41" s="5">
        <v>42248</v>
      </c>
      <c r="B41" s="6">
        <v>70</v>
      </c>
      <c r="C41" s="7">
        <v>6123</v>
      </c>
      <c r="D41" s="8">
        <f t="shared" si="17"/>
        <v>0.3</v>
      </c>
      <c r="E41" s="9">
        <f t="shared" ref="E41:E72" si="18">E40*D40*C41/C40+E40*(1-D40)</f>
        <v>1.88130034493692</v>
      </c>
      <c r="F41" s="9">
        <f t="shared" ref="F41:F72" si="19">C41/$C$105</f>
        <v>0.964859754175859</v>
      </c>
      <c r="G41" s="10">
        <f t="shared" ref="G41:G72" si="20">E41-F41</f>
        <v>0.916440590761061</v>
      </c>
      <c r="H41" s="11"/>
      <c r="I41" s="14">
        <v>0.7</v>
      </c>
      <c r="J41" s="9">
        <f t="shared" ref="J41:J72" si="21">J40*I40*C41/C40+J40*(1-I40)</f>
        <v>1.77286868743905</v>
      </c>
      <c r="K41" s="8">
        <v>0.8</v>
      </c>
      <c r="L41" s="9">
        <f t="shared" ref="L41:L72" si="22">L40*K40*C41/C40+L40*(1-K40)</f>
        <v>1.90285394531532</v>
      </c>
      <c r="M41" s="8">
        <v>0.6</v>
      </c>
      <c r="N41" s="9">
        <f t="shared" si="16"/>
        <v>1.47535546680499</v>
      </c>
      <c r="O41" s="9">
        <f t="shared" ref="O41:O72" si="23">C41/$C$105</f>
        <v>0.964859754175859</v>
      </c>
      <c r="P41" s="10">
        <f t="shared" ref="P41:P72" si="24">J41-O41</f>
        <v>0.808008933263195</v>
      </c>
      <c r="Q41" s="1"/>
      <c r="R41" s="8">
        <v>0.2</v>
      </c>
      <c r="S41" s="9">
        <f t="shared" ref="S41:S72" si="25">S40*R40*C41/C40+S40*(1-R40)</f>
        <v>1.74967756632744</v>
      </c>
      <c r="T41" s="9">
        <f t="shared" ref="T41:T72" si="26">C41/$C$105</f>
        <v>0.964859754175859</v>
      </c>
      <c r="U41" s="10">
        <f t="shared" ref="U41:U72" si="27">S41-T41</f>
        <v>0.784817812151578</v>
      </c>
      <c r="V41" s="8">
        <v>0.1</v>
      </c>
      <c r="W41" s="9">
        <f t="shared" ref="W41:W72" si="28">W40*V40*C41/C40+W40*(1-V40)</f>
        <v>1.82099723487951</v>
      </c>
      <c r="X41" s="9">
        <f t="shared" ref="X41:X72" si="29">G41/$C$105</f>
        <v>0.000144412321267107</v>
      </c>
      <c r="Y41" s="10">
        <f t="shared" ref="Y41:Y72" si="30">W41-X41</f>
        <v>1.82085282255825</v>
      </c>
    </row>
    <row r="42" spans="1:25">
      <c r="A42" s="5">
        <v>42278</v>
      </c>
      <c r="B42" s="6">
        <v>78</v>
      </c>
      <c r="C42" s="7">
        <v>7084</v>
      </c>
      <c r="D42" s="8">
        <f t="shared" si="17"/>
        <v>0.22</v>
      </c>
      <c r="E42" s="9">
        <f t="shared" si="18"/>
        <v>1.96988092462748</v>
      </c>
      <c r="F42" s="9">
        <f t="shared" si="19"/>
        <v>1.11629372833281</v>
      </c>
      <c r="G42" s="10">
        <f t="shared" si="20"/>
        <v>0.853587196294674</v>
      </c>
      <c r="H42" s="11"/>
      <c r="I42" s="19">
        <v>0.7</v>
      </c>
      <c r="J42" s="9">
        <f t="shared" si="21"/>
        <v>1.96764392278778</v>
      </c>
      <c r="K42" s="8">
        <v>0.8</v>
      </c>
      <c r="L42" s="9">
        <f t="shared" si="22"/>
        <v>2.14177508089566</v>
      </c>
      <c r="M42" s="8">
        <v>0.6</v>
      </c>
      <c r="N42" s="9">
        <f t="shared" ref="N42:N73" si="31">N41*M41*E42/E41+N41*(1-M41)</f>
        <v>1.51703552374569</v>
      </c>
      <c r="O42" s="9">
        <f t="shared" si="23"/>
        <v>1.11629372833281</v>
      </c>
      <c r="P42" s="10">
        <f t="shared" si="24"/>
        <v>0.851350194454972</v>
      </c>
      <c r="Q42" s="1"/>
      <c r="R42" s="8">
        <v>0.2</v>
      </c>
      <c r="S42" s="9">
        <f t="shared" si="25"/>
        <v>1.80459966795215</v>
      </c>
      <c r="T42" s="9">
        <f t="shared" si="26"/>
        <v>1.11629372833281</v>
      </c>
      <c r="U42" s="10">
        <f t="shared" si="27"/>
        <v>0.688305939619345</v>
      </c>
      <c r="V42" s="8">
        <v>0.1</v>
      </c>
      <c r="W42" s="9">
        <f t="shared" si="28"/>
        <v>1.8495776422406</v>
      </c>
      <c r="X42" s="9">
        <f t="shared" si="29"/>
        <v>0.000134507909910916</v>
      </c>
      <c r="Y42" s="10">
        <f t="shared" si="30"/>
        <v>1.84944313433069</v>
      </c>
    </row>
    <row r="43" spans="1:25">
      <c r="A43" s="5">
        <v>42309</v>
      </c>
      <c r="B43" s="6">
        <v>83</v>
      </c>
      <c r="C43" s="7">
        <v>7408</v>
      </c>
      <c r="D43" s="8">
        <f t="shared" si="17"/>
        <v>0.17</v>
      </c>
      <c r="E43" s="9">
        <f t="shared" si="18"/>
        <v>1.98970208672622</v>
      </c>
      <c r="F43" s="9">
        <f t="shared" si="19"/>
        <v>1.16734951150331</v>
      </c>
      <c r="G43" s="10">
        <f t="shared" si="20"/>
        <v>0.822352575222909</v>
      </c>
      <c r="H43" s="11"/>
      <c r="I43" s="14">
        <v>0.7</v>
      </c>
      <c r="J43" s="9">
        <f t="shared" si="21"/>
        <v>2.03063963731182</v>
      </c>
      <c r="K43" s="8">
        <v>0.8</v>
      </c>
      <c r="L43" s="9">
        <f t="shared" si="22"/>
        <v>2.22014155477598</v>
      </c>
      <c r="M43" s="8">
        <v>0.6</v>
      </c>
      <c r="N43" s="9">
        <f t="shared" si="31"/>
        <v>1.52619427237352</v>
      </c>
      <c r="O43" s="9">
        <f t="shared" si="23"/>
        <v>1.16734951150331</v>
      </c>
      <c r="P43" s="10">
        <f t="shared" si="24"/>
        <v>0.863290125808507</v>
      </c>
      <c r="Q43" s="1"/>
      <c r="R43" s="8">
        <v>0.2</v>
      </c>
      <c r="S43" s="9">
        <f t="shared" si="25"/>
        <v>1.82110701669344</v>
      </c>
      <c r="T43" s="9">
        <f t="shared" si="26"/>
        <v>1.16734951150331</v>
      </c>
      <c r="U43" s="10">
        <f t="shared" si="27"/>
        <v>0.653757505190134</v>
      </c>
      <c r="V43" s="8">
        <v>0.1</v>
      </c>
      <c r="W43" s="9">
        <f t="shared" si="28"/>
        <v>1.85803703179574</v>
      </c>
      <c r="X43" s="9">
        <f t="shared" si="29"/>
        <v>0.000129585971513222</v>
      </c>
      <c r="Y43" s="10">
        <f t="shared" si="30"/>
        <v>1.85790744582422</v>
      </c>
    </row>
    <row r="44" spans="1:25">
      <c r="A44" s="5">
        <v>42339</v>
      </c>
      <c r="B44" s="6">
        <v>83</v>
      </c>
      <c r="C44" s="7">
        <v>7617</v>
      </c>
      <c r="D44" s="8">
        <f t="shared" si="17"/>
        <v>0.17</v>
      </c>
      <c r="E44" s="15">
        <f t="shared" si="18"/>
        <v>1.99924502883494</v>
      </c>
      <c r="F44" s="15">
        <f t="shared" si="19"/>
        <v>1.20028364323984</v>
      </c>
      <c r="G44" s="10">
        <f t="shared" si="20"/>
        <v>0.7989613855951</v>
      </c>
      <c r="H44" s="11"/>
      <c r="I44" s="19">
        <v>0.7</v>
      </c>
      <c r="J44" s="9">
        <f t="shared" si="21"/>
        <v>2.07074257723335</v>
      </c>
      <c r="K44" s="8">
        <v>0.8</v>
      </c>
      <c r="L44" s="15">
        <f t="shared" si="22"/>
        <v>2.27025058122826</v>
      </c>
      <c r="M44" s="8">
        <v>0.6</v>
      </c>
      <c r="N44" s="9">
        <f t="shared" si="31"/>
        <v>1.5305862013015</v>
      </c>
      <c r="O44" s="9">
        <f t="shared" si="23"/>
        <v>1.20028364323984</v>
      </c>
      <c r="P44" s="10">
        <f t="shared" si="24"/>
        <v>0.870458933993513</v>
      </c>
      <c r="Q44" s="1"/>
      <c r="R44" s="8">
        <v>0.2</v>
      </c>
      <c r="S44" s="15">
        <f t="shared" si="25"/>
        <v>1.83138270153386</v>
      </c>
      <c r="T44" s="9">
        <f t="shared" si="26"/>
        <v>1.20028364323984</v>
      </c>
      <c r="U44" s="10">
        <f t="shared" si="27"/>
        <v>0.631099058294021</v>
      </c>
      <c r="V44" s="8">
        <v>0.1</v>
      </c>
      <c r="W44" s="23">
        <f t="shared" si="28"/>
        <v>1.86327906391838</v>
      </c>
      <c r="X44" s="9">
        <f t="shared" si="29"/>
        <v>0.000125899997730082</v>
      </c>
      <c r="Y44" s="10">
        <f t="shared" si="30"/>
        <v>1.86315316392065</v>
      </c>
    </row>
    <row r="45" spans="1:25">
      <c r="A45" s="5">
        <v>42370</v>
      </c>
      <c r="B45" s="6">
        <v>68</v>
      </c>
      <c r="C45" s="7">
        <v>5469</v>
      </c>
      <c r="D45" s="8">
        <f t="shared" si="17"/>
        <v>0.32</v>
      </c>
      <c r="E45" s="9">
        <f t="shared" si="18"/>
        <v>1.90340095443171</v>
      </c>
      <c r="F45" s="9">
        <f t="shared" si="19"/>
        <v>0.861802710368736</v>
      </c>
      <c r="G45" s="10">
        <f t="shared" si="20"/>
        <v>1.04159824406298</v>
      </c>
      <c r="H45" s="11"/>
      <c r="I45" s="14">
        <v>0.7</v>
      </c>
      <c r="J45" s="9">
        <f t="shared" si="21"/>
        <v>1.66197685068378</v>
      </c>
      <c r="K45" s="8">
        <v>0.8</v>
      </c>
      <c r="L45" s="9">
        <f t="shared" si="22"/>
        <v>1.75808061946082</v>
      </c>
      <c r="M45" s="8">
        <v>0.6</v>
      </c>
      <c r="N45" s="9">
        <f t="shared" si="31"/>
        <v>1.48656029682988</v>
      </c>
      <c r="O45" s="9">
        <f t="shared" si="23"/>
        <v>0.861802710368736</v>
      </c>
      <c r="P45" s="10">
        <f t="shared" si="24"/>
        <v>0.800174140315044</v>
      </c>
      <c r="Q45" s="1"/>
      <c r="R45" s="8">
        <v>0.2</v>
      </c>
      <c r="S45" s="9">
        <f t="shared" si="25"/>
        <v>1.72809242864703</v>
      </c>
      <c r="T45" s="9">
        <f t="shared" si="26"/>
        <v>0.861802710368736</v>
      </c>
      <c r="U45" s="10">
        <f t="shared" si="27"/>
        <v>0.866289718278296</v>
      </c>
      <c r="V45" s="8">
        <v>0.1</v>
      </c>
      <c r="W45" s="9">
        <f t="shared" si="28"/>
        <v>1.81073444754321</v>
      </c>
      <c r="X45" s="9">
        <f t="shared" si="29"/>
        <v>0.000164134611418685</v>
      </c>
      <c r="Y45" s="10">
        <f t="shared" si="30"/>
        <v>1.81057031293179</v>
      </c>
    </row>
    <row r="46" spans="1:25">
      <c r="A46" s="5">
        <v>42401</v>
      </c>
      <c r="B46" s="6">
        <v>61</v>
      </c>
      <c r="C46" s="7">
        <v>5350</v>
      </c>
      <c r="D46" s="8">
        <f t="shared" si="17"/>
        <v>0.39</v>
      </c>
      <c r="E46" s="9">
        <f t="shared" si="18"/>
        <v>1.89014779876436</v>
      </c>
      <c r="F46" s="9">
        <f t="shared" si="19"/>
        <v>0.843050740624015</v>
      </c>
      <c r="G46" s="10">
        <f t="shared" si="20"/>
        <v>1.04709705814034</v>
      </c>
      <c r="H46" s="11"/>
      <c r="I46" s="19">
        <v>0.7</v>
      </c>
      <c r="J46" s="9">
        <f t="shared" si="21"/>
        <v>1.63666277650898</v>
      </c>
      <c r="K46" s="8">
        <v>0.8</v>
      </c>
      <c r="L46" s="9">
        <f t="shared" si="22"/>
        <v>1.7274773510438</v>
      </c>
      <c r="M46" s="8">
        <v>0.6</v>
      </c>
      <c r="N46" s="9">
        <f t="shared" si="31"/>
        <v>1.48034985074065</v>
      </c>
      <c r="O46" s="9">
        <f t="shared" si="23"/>
        <v>0.843050740624015</v>
      </c>
      <c r="P46" s="10">
        <f t="shared" si="24"/>
        <v>0.79361203588497</v>
      </c>
      <c r="Q46" s="1"/>
      <c r="R46" s="8">
        <v>0.2</v>
      </c>
      <c r="S46" s="9">
        <f t="shared" si="25"/>
        <v>1.72057211418336</v>
      </c>
      <c r="T46" s="9">
        <f t="shared" si="26"/>
        <v>0.843050740624015</v>
      </c>
      <c r="U46" s="10">
        <f t="shared" si="27"/>
        <v>0.877521373559349</v>
      </c>
      <c r="V46" s="8">
        <v>0.1</v>
      </c>
      <c r="W46" s="9">
        <f t="shared" si="28"/>
        <v>1.80679446949864</v>
      </c>
      <c r="X46" s="9">
        <f t="shared" si="29"/>
        <v>0.000165001112218774</v>
      </c>
      <c r="Y46" s="10">
        <f t="shared" si="30"/>
        <v>1.80662946838642</v>
      </c>
    </row>
    <row r="47" spans="1:25">
      <c r="A47" s="5">
        <v>42430</v>
      </c>
      <c r="B47" s="6">
        <v>63</v>
      </c>
      <c r="C47" s="7">
        <v>6155</v>
      </c>
      <c r="D47" s="8">
        <f t="shared" si="17"/>
        <v>0.37</v>
      </c>
      <c r="E47" s="9">
        <f t="shared" si="18"/>
        <v>2.0010659111797</v>
      </c>
      <c r="F47" s="9">
        <f t="shared" si="19"/>
        <v>0.969902300661834</v>
      </c>
      <c r="G47" s="10">
        <f t="shared" si="20"/>
        <v>1.03116361051786</v>
      </c>
      <c r="H47" s="11"/>
      <c r="I47" s="14">
        <v>0.7</v>
      </c>
      <c r="J47" s="9">
        <f t="shared" si="21"/>
        <v>1.8090477250254</v>
      </c>
      <c r="K47" s="8">
        <v>0.8</v>
      </c>
      <c r="L47" s="9">
        <f t="shared" si="22"/>
        <v>1.93542041909468</v>
      </c>
      <c r="M47" s="8">
        <v>0.6</v>
      </c>
      <c r="N47" s="9">
        <f t="shared" si="31"/>
        <v>1.53247200053206</v>
      </c>
      <c r="O47" s="9">
        <f t="shared" si="23"/>
        <v>0.969902300661834</v>
      </c>
      <c r="P47" s="10">
        <f t="shared" si="24"/>
        <v>0.839145424363564</v>
      </c>
      <c r="Q47" s="1"/>
      <c r="R47" s="8">
        <v>0.2</v>
      </c>
      <c r="S47" s="9">
        <f t="shared" si="25"/>
        <v>1.77235007874103</v>
      </c>
      <c r="T47" s="9">
        <f t="shared" si="26"/>
        <v>0.969902300661834</v>
      </c>
      <c r="U47" s="10">
        <f t="shared" si="27"/>
        <v>0.802447778079198</v>
      </c>
      <c r="V47" s="8">
        <v>0.1</v>
      </c>
      <c r="W47" s="9">
        <f t="shared" si="28"/>
        <v>1.83398081618922</v>
      </c>
      <c r="X47" s="9">
        <f t="shared" si="29"/>
        <v>0.00016249032627133</v>
      </c>
      <c r="Y47" s="10">
        <f t="shared" si="30"/>
        <v>1.83381832586295</v>
      </c>
    </row>
    <row r="48" spans="1:25">
      <c r="A48" s="5">
        <v>42461</v>
      </c>
      <c r="B48" s="6">
        <v>71</v>
      </c>
      <c r="C48" s="7">
        <v>5985</v>
      </c>
      <c r="D48" s="8">
        <f t="shared" si="17"/>
        <v>0.29</v>
      </c>
      <c r="E48" s="9">
        <f t="shared" si="18"/>
        <v>1.98061635052767</v>
      </c>
      <c r="F48" s="9">
        <f t="shared" si="19"/>
        <v>0.94311377245509</v>
      </c>
      <c r="G48" s="10">
        <f t="shared" si="20"/>
        <v>1.03750257807258</v>
      </c>
      <c r="H48" s="11"/>
      <c r="I48" s="19">
        <v>0.7</v>
      </c>
      <c r="J48" s="9">
        <f t="shared" si="21"/>
        <v>1.77407182262442</v>
      </c>
      <c r="K48" s="8">
        <v>0.8</v>
      </c>
      <c r="L48" s="9">
        <f t="shared" si="22"/>
        <v>1.8926556462276</v>
      </c>
      <c r="M48" s="8">
        <v>0.6</v>
      </c>
      <c r="N48" s="9">
        <f t="shared" si="31"/>
        <v>1.52307549471563</v>
      </c>
      <c r="O48" s="9">
        <f t="shared" si="23"/>
        <v>0.94311377245509</v>
      </c>
      <c r="P48" s="10">
        <f t="shared" si="24"/>
        <v>0.83095805016933</v>
      </c>
      <c r="Q48" s="1"/>
      <c r="R48" s="8">
        <v>0.2</v>
      </c>
      <c r="S48" s="9">
        <f t="shared" si="25"/>
        <v>1.7625596802557</v>
      </c>
      <c r="T48" s="9">
        <f t="shared" si="26"/>
        <v>0.94311377245509</v>
      </c>
      <c r="U48" s="10">
        <f t="shared" si="27"/>
        <v>0.819445907800614</v>
      </c>
      <c r="V48" s="8">
        <v>0.1</v>
      </c>
      <c r="W48" s="9">
        <f t="shared" si="28"/>
        <v>1.82891539395117</v>
      </c>
      <c r="X48" s="9">
        <f t="shared" si="29"/>
        <v>0.000163489218101573</v>
      </c>
      <c r="Y48" s="10">
        <f t="shared" si="30"/>
        <v>1.82875190473307</v>
      </c>
    </row>
    <row r="49" spans="1:25">
      <c r="A49" s="5">
        <v>42491</v>
      </c>
      <c r="B49" s="6">
        <v>61</v>
      </c>
      <c r="C49" s="7">
        <v>5947</v>
      </c>
      <c r="D49" s="8">
        <f t="shared" si="17"/>
        <v>0.39</v>
      </c>
      <c r="E49" s="9">
        <f t="shared" si="18"/>
        <v>1.97696950137432</v>
      </c>
      <c r="F49" s="9">
        <f t="shared" si="19"/>
        <v>0.937125748502994</v>
      </c>
      <c r="G49" s="10">
        <f t="shared" si="20"/>
        <v>1.03984375287133</v>
      </c>
      <c r="H49" s="11"/>
      <c r="I49" s="14">
        <v>0.7</v>
      </c>
      <c r="J49" s="9">
        <f t="shared" si="21"/>
        <v>1.76618705896831</v>
      </c>
      <c r="K49" s="8">
        <v>0.8</v>
      </c>
      <c r="L49" s="9">
        <f t="shared" si="22"/>
        <v>1.88304215723089</v>
      </c>
      <c r="M49" s="8">
        <v>0.6</v>
      </c>
      <c r="N49" s="9">
        <f t="shared" si="31"/>
        <v>1.521392858931</v>
      </c>
      <c r="O49" s="9">
        <f t="shared" si="23"/>
        <v>0.937125748502994</v>
      </c>
      <c r="P49" s="10">
        <f t="shared" si="24"/>
        <v>0.829061310465317</v>
      </c>
      <c r="Q49" s="1"/>
      <c r="R49" s="8">
        <v>0.2</v>
      </c>
      <c r="S49" s="9">
        <f t="shared" si="25"/>
        <v>1.76032150923316</v>
      </c>
      <c r="T49" s="9">
        <f t="shared" si="26"/>
        <v>0.937125748502994</v>
      </c>
      <c r="U49" s="10">
        <f t="shared" si="27"/>
        <v>0.823195760730163</v>
      </c>
      <c r="V49" s="8">
        <v>0.1</v>
      </c>
      <c r="W49" s="9">
        <f t="shared" si="28"/>
        <v>1.82775417782803</v>
      </c>
      <c r="X49" s="9">
        <f t="shared" si="29"/>
        <v>0.00016385813943765</v>
      </c>
      <c r="Y49" s="10">
        <f t="shared" si="30"/>
        <v>1.82759031968859</v>
      </c>
    </row>
    <row r="50" spans="1:25">
      <c r="A50" s="5">
        <v>42522</v>
      </c>
      <c r="B50" s="6">
        <v>68</v>
      </c>
      <c r="C50" s="7">
        <v>6123</v>
      </c>
      <c r="D50" s="8">
        <f t="shared" si="17"/>
        <v>0.32</v>
      </c>
      <c r="E50" s="9">
        <f t="shared" si="18"/>
        <v>1.99978759227298</v>
      </c>
      <c r="F50" s="9">
        <f t="shared" si="19"/>
        <v>0.964859754175859</v>
      </c>
      <c r="G50" s="10">
        <f t="shared" si="20"/>
        <v>1.03492783809712</v>
      </c>
      <c r="H50" s="11"/>
      <c r="I50" s="19">
        <v>0.7</v>
      </c>
      <c r="J50" s="9">
        <f t="shared" si="21"/>
        <v>1.80277596861433</v>
      </c>
      <c r="K50" s="8">
        <v>0.8</v>
      </c>
      <c r="L50" s="9">
        <f t="shared" si="22"/>
        <v>1.92762469224654</v>
      </c>
      <c r="M50" s="8">
        <v>0.6</v>
      </c>
      <c r="N50" s="9">
        <f t="shared" si="31"/>
        <v>1.53192876669999</v>
      </c>
      <c r="O50" s="9">
        <f t="shared" si="23"/>
        <v>0.964859754175859</v>
      </c>
      <c r="P50" s="10">
        <f t="shared" si="24"/>
        <v>0.837916214438475</v>
      </c>
      <c r="Q50" s="1"/>
      <c r="R50" s="8">
        <v>0.2</v>
      </c>
      <c r="S50" s="9">
        <f t="shared" si="25"/>
        <v>1.77074076551784</v>
      </c>
      <c r="T50" s="9">
        <f t="shared" si="26"/>
        <v>0.964859754175859</v>
      </c>
      <c r="U50" s="10">
        <f t="shared" si="27"/>
        <v>0.805881011341981</v>
      </c>
      <c r="V50" s="8">
        <v>0.1</v>
      </c>
      <c r="W50" s="9">
        <f t="shared" si="28"/>
        <v>1.83316337129192</v>
      </c>
      <c r="X50" s="9">
        <f t="shared" si="29"/>
        <v>0.000163083491663587</v>
      </c>
      <c r="Y50" s="10">
        <f t="shared" si="30"/>
        <v>1.83300028780026</v>
      </c>
    </row>
    <row r="51" spans="1:25">
      <c r="A51" s="5">
        <v>42552</v>
      </c>
      <c r="B51" s="6">
        <v>76</v>
      </c>
      <c r="C51" s="7">
        <v>6202</v>
      </c>
      <c r="D51" s="8">
        <f t="shared" si="17"/>
        <v>0.24</v>
      </c>
      <c r="E51" s="9">
        <f t="shared" si="18"/>
        <v>2.00804410547446</v>
      </c>
      <c r="F51" s="9">
        <f t="shared" si="19"/>
        <v>0.977308540813111</v>
      </c>
      <c r="G51" s="10">
        <f t="shared" si="20"/>
        <v>1.03073556466135</v>
      </c>
      <c r="H51" s="11"/>
      <c r="I51" s="14">
        <v>0.7</v>
      </c>
      <c r="J51" s="9">
        <f t="shared" si="21"/>
        <v>1.81905777672545</v>
      </c>
      <c r="K51" s="8">
        <v>0.8</v>
      </c>
      <c r="L51" s="9">
        <f t="shared" si="22"/>
        <v>1.94752112872376</v>
      </c>
      <c r="M51" s="8">
        <v>0.6</v>
      </c>
      <c r="N51" s="9">
        <f t="shared" si="31"/>
        <v>1.53572368676096</v>
      </c>
      <c r="O51" s="9">
        <f t="shared" si="23"/>
        <v>0.977308540813111</v>
      </c>
      <c r="P51" s="10">
        <f t="shared" si="24"/>
        <v>0.841749235912341</v>
      </c>
      <c r="Q51" s="1"/>
      <c r="R51" s="8">
        <v>0.2</v>
      </c>
      <c r="S51" s="9">
        <f t="shared" si="25"/>
        <v>1.77531004595148</v>
      </c>
      <c r="T51" s="9">
        <f t="shared" si="26"/>
        <v>0.977308540813111</v>
      </c>
      <c r="U51" s="10">
        <f t="shared" si="27"/>
        <v>0.79800150513837</v>
      </c>
      <c r="V51" s="8">
        <v>0.1</v>
      </c>
      <c r="W51" s="9">
        <f t="shared" si="28"/>
        <v>1.83552855022924</v>
      </c>
      <c r="X51" s="9">
        <f t="shared" si="29"/>
        <v>0.000162422874986031</v>
      </c>
      <c r="Y51" s="10">
        <f t="shared" si="30"/>
        <v>1.83536612735425</v>
      </c>
    </row>
    <row r="52" spans="1:25">
      <c r="A52" s="5">
        <v>42583</v>
      </c>
      <c r="B52" s="6">
        <v>71</v>
      </c>
      <c r="C52" s="7">
        <v>6434</v>
      </c>
      <c r="D52" s="8">
        <f t="shared" si="17"/>
        <v>0.29</v>
      </c>
      <c r="E52" s="9">
        <f t="shared" si="18"/>
        <v>2.02607182166163</v>
      </c>
      <c r="F52" s="9">
        <f t="shared" si="19"/>
        <v>1.01386700283643</v>
      </c>
      <c r="G52" s="10">
        <f t="shared" si="20"/>
        <v>1.0122048188252</v>
      </c>
      <c r="H52" s="11"/>
      <c r="I52" s="19">
        <v>0.7</v>
      </c>
      <c r="J52" s="9">
        <f t="shared" si="21"/>
        <v>1.86668998938914</v>
      </c>
      <c r="K52" s="8">
        <v>0.8</v>
      </c>
      <c r="L52" s="9">
        <f t="shared" si="22"/>
        <v>2.00580231567815</v>
      </c>
      <c r="M52" s="8">
        <v>0.6</v>
      </c>
      <c r="N52" s="9">
        <f t="shared" si="31"/>
        <v>1.54399609194111</v>
      </c>
      <c r="O52" s="9">
        <f t="shared" si="23"/>
        <v>1.01386700283643</v>
      </c>
      <c r="P52" s="10">
        <f t="shared" si="24"/>
        <v>0.85282298655271</v>
      </c>
      <c r="Q52" s="1"/>
      <c r="R52" s="8">
        <v>0.2</v>
      </c>
      <c r="S52" s="9">
        <f t="shared" si="25"/>
        <v>1.78859195277704</v>
      </c>
      <c r="T52" s="9">
        <f t="shared" si="26"/>
        <v>1.01386700283643</v>
      </c>
      <c r="U52" s="10">
        <f t="shared" si="27"/>
        <v>0.774724949940612</v>
      </c>
      <c r="V52" s="8">
        <v>0.1</v>
      </c>
      <c r="W52" s="9">
        <f t="shared" si="28"/>
        <v>1.8423947647351</v>
      </c>
      <c r="X52" s="9">
        <f t="shared" si="29"/>
        <v>0.000159502807882949</v>
      </c>
      <c r="Y52" s="10">
        <f t="shared" si="30"/>
        <v>1.84223526192721</v>
      </c>
    </row>
    <row r="53" spans="1:25">
      <c r="A53" s="5">
        <v>42614</v>
      </c>
      <c r="B53" s="6">
        <v>71</v>
      </c>
      <c r="C53" s="7">
        <v>6328</v>
      </c>
      <c r="D53" s="8">
        <f t="shared" si="17"/>
        <v>0.29</v>
      </c>
      <c r="E53" s="9">
        <f t="shared" si="18"/>
        <v>2.01639177071387</v>
      </c>
      <c r="F53" s="9">
        <f t="shared" si="19"/>
        <v>0.997163567601639</v>
      </c>
      <c r="G53" s="10">
        <f t="shared" si="20"/>
        <v>1.01922820311223</v>
      </c>
      <c r="H53" s="11"/>
      <c r="I53" s="14">
        <v>0.7</v>
      </c>
      <c r="J53" s="9">
        <f t="shared" si="21"/>
        <v>1.84516241755006</v>
      </c>
      <c r="K53" s="8">
        <v>0.8</v>
      </c>
      <c r="L53" s="9">
        <f t="shared" si="22"/>
        <v>1.97936587856756</v>
      </c>
      <c r="M53" s="8">
        <v>0.6</v>
      </c>
      <c r="N53" s="9">
        <f t="shared" si="31"/>
        <v>1.53957000180748</v>
      </c>
      <c r="O53" s="9">
        <f t="shared" si="23"/>
        <v>0.997163567601639</v>
      </c>
      <c r="P53" s="10">
        <f t="shared" si="24"/>
        <v>0.847998849948419</v>
      </c>
      <c r="Q53" s="1"/>
      <c r="R53" s="8">
        <v>0.2</v>
      </c>
      <c r="S53" s="9">
        <f t="shared" si="25"/>
        <v>1.78269855063236</v>
      </c>
      <c r="T53" s="9">
        <f t="shared" si="26"/>
        <v>0.997163567601639</v>
      </c>
      <c r="U53" s="10">
        <f t="shared" si="27"/>
        <v>0.785534983030726</v>
      </c>
      <c r="V53" s="8">
        <v>0.1</v>
      </c>
      <c r="W53" s="9">
        <f t="shared" si="28"/>
        <v>1.83935942365549</v>
      </c>
      <c r="X53" s="9">
        <f t="shared" si="29"/>
        <v>0.000160609549812832</v>
      </c>
      <c r="Y53" s="10">
        <f t="shared" si="30"/>
        <v>1.83919881410568</v>
      </c>
    </row>
    <row r="54" spans="1:25">
      <c r="A54" s="5">
        <v>42644</v>
      </c>
      <c r="B54" s="6">
        <v>75</v>
      </c>
      <c r="C54" s="7">
        <v>6452</v>
      </c>
      <c r="D54" s="8">
        <f t="shared" si="17"/>
        <v>0.25</v>
      </c>
      <c r="E54" s="9">
        <f t="shared" si="18"/>
        <v>2.02785028020737</v>
      </c>
      <c r="F54" s="9">
        <f t="shared" si="19"/>
        <v>1.01670343523479</v>
      </c>
      <c r="G54" s="10">
        <f t="shared" si="20"/>
        <v>1.01114684497258</v>
      </c>
      <c r="H54" s="11"/>
      <c r="I54" s="19">
        <v>0.7</v>
      </c>
      <c r="J54" s="9">
        <f t="shared" si="21"/>
        <v>1.8704721675253</v>
      </c>
      <c r="K54" s="8">
        <v>0.8</v>
      </c>
      <c r="L54" s="9">
        <f t="shared" si="22"/>
        <v>2.01039512874991</v>
      </c>
      <c r="M54" s="8">
        <v>0.6</v>
      </c>
      <c r="N54" s="9">
        <f t="shared" si="31"/>
        <v>1.54481933214234</v>
      </c>
      <c r="O54" s="9">
        <f t="shared" si="23"/>
        <v>1.01670343523479</v>
      </c>
      <c r="P54" s="10">
        <f t="shared" si="24"/>
        <v>0.853768732290508</v>
      </c>
      <c r="Q54" s="1"/>
      <c r="R54" s="8">
        <v>0.2</v>
      </c>
      <c r="S54" s="9">
        <f t="shared" si="25"/>
        <v>1.78968510626695</v>
      </c>
      <c r="T54" s="9">
        <f t="shared" si="26"/>
        <v>1.01670343523479</v>
      </c>
      <c r="U54" s="10">
        <f t="shared" si="27"/>
        <v>0.77298167103216</v>
      </c>
      <c r="V54" s="8">
        <v>0.1</v>
      </c>
      <c r="W54" s="9">
        <f t="shared" si="28"/>
        <v>1.84296373099641</v>
      </c>
      <c r="X54" s="9">
        <f t="shared" si="29"/>
        <v>0.00015933609281005</v>
      </c>
      <c r="Y54" s="10">
        <f t="shared" si="30"/>
        <v>1.8428043949036</v>
      </c>
    </row>
    <row r="55" spans="1:25">
      <c r="A55" s="5">
        <v>42675</v>
      </c>
      <c r="B55" s="6">
        <v>71</v>
      </c>
      <c r="C55" s="7">
        <v>6585</v>
      </c>
      <c r="D55" s="8">
        <f t="shared" si="17"/>
        <v>0.29</v>
      </c>
      <c r="E55" s="9">
        <f t="shared" si="18"/>
        <v>2.03830068656461</v>
      </c>
      <c r="F55" s="9">
        <f t="shared" si="19"/>
        <v>1.03766151906713</v>
      </c>
      <c r="G55" s="10">
        <f t="shared" si="20"/>
        <v>1.00063916749748</v>
      </c>
      <c r="H55" s="11"/>
      <c r="I55" s="14">
        <v>0.7</v>
      </c>
      <c r="J55" s="9">
        <f t="shared" si="21"/>
        <v>1.89746239672502</v>
      </c>
      <c r="K55" s="8">
        <v>0.8</v>
      </c>
      <c r="L55" s="9">
        <f t="shared" si="22"/>
        <v>2.04354857600642</v>
      </c>
      <c r="M55" s="8">
        <v>0.6</v>
      </c>
      <c r="N55" s="9">
        <f t="shared" si="31"/>
        <v>1.5495960131213</v>
      </c>
      <c r="O55" s="9">
        <f t="shared" si="23"/>
        <v>1.03766151906713</v>
      </c>
      <c r="P55" s="10">
        <f t="shared" si="24"/>
        <v>0.859800877657894</v>
      </c>
      <c r="Q55" s="1"/>
      <c r="R55" s="8">
        <v>0.2</v>
      </c>
      <c r="S55" s="9">
        <f t="shared" si="25"/>
        <v>1.79706353525435</v>
      </c>
      <c r="T55" s="9">
        <f t="shared" si="26"/>
        <v>1.03766151906713</v>
      </c>
      <c r="U55" s="10">
        <f t="shared" si="27"/>
        <v>0.759402016187225</v>
      </c>
      <c r="V55" s="8">
        <v>0.1</v>
      </c>
      <c r="W55" s="9">
        <f t="shared" si="28"/>
        <v>1.84676277278535</v>
      </c>
      <c r="X55" s="9">
        <f t="shared" si="29"/>
        <v>0.000157680297431056</v>
      </c>
      <c r="Y55" s="10">
        <f t="shared" si="30"/>
        <v>1.84660509248792</v>
      </c>
    </row>
    <row r="56" spans="1:25">
      <c r="A56" s="5">
        <v>42705</v>
      </c>
      <c r="B56" s="6">
        <v>65</v>
      </c>
      <c r="C56" s="7">
        <v>6263</v>
      </c>
      <c r="D56" s="8">
        <f t="shared" si="17"/>
        <v>0.35</v>
      </c>
      <c r="E56" s="15">
        <f t="shared" si="18"/>
        <v>2.00939612800555</v>
      </c>
      <c r="F56" s="15">
        <f t="shared" si="19"/>
        <v>0.986920895052001</v>
      </c>
      <c r="G56" s="10">
        <f t="shared" si="20"/>
        <v>1.02247523295355</v>
      </c>
      <c r="H56" s="11"/>
      <c r="I56" s="19">
        <v>0.7</v>
      </c>
      <c r="J56" s="9">
        <f t="shared" si="21"/>
        <v>1.83251356996393</v>
      </c>
      <c r="K56" s="8">
        <v>0.8</v>
      </c>
      <c r="L56" s="15">
        <f t="shared" si="22"/>
        <v>1.9636065694492</v>
      </c>
      <c r="M56" s="8">
        <v>0.6</v>
      </c>
      <c r="N56" s="9">
        <f t="shared" si="31"/>
        <v>1.53641138663335</v>
      </c>
      <c r="O56" s="9">
        <f t="shared" si="23"/>
        <v>0.986920895052001</v>
      </c>
      <c r="P56" s="10">
        <f t="shared" si="24"/>
        <v>0.845592674911926</v>
      </c>
      <c r="Q56" s="1"/>
      <c r="R56" s="8">
        <v>0.2</v>
      </c>
      <c r="S56" s="15">
        <f t="shared" si="25"/>
        <v>1.77948860865293</v>
      </c>
      <c r="T56" s="9">
        <f t="shared" si="26"/>
        <v>0.986920895052001</v>
      </c>
      <c r="U56" s="10">
        <f t="shared" si="27"/>
        <v>0.792567713600928</v>
      </c>
      <c r="V56" s="8">
        <v>0.1</v>
      </c>
      <c r="W56" s="23">
        <f t="shared" si="28"/>
        <v>1.83773228511888</v>
      </c>
      <c r="X56" s="9">
        <f t="shared" si="29"/>
        <v>0.000161121215403963</v>
      </c>
      <c r="Y56" s="10">
        <f t="shared" si="30"/>
        <v>1.83757116390348</v>
      </c>
    </row>
    <row r="57" spans="1:25">
      <c r="A57" s="5">
        <v>42736</v>
      </c>
      <c r="B57" s="7">
        <v>58</v>
      </c>
      <c r="C57" s="7">
        <v>6223</v>
      </c>
      <c r="D57" s="8">
        <f t="shared" si="17"/>
        <v>0.42</v>
      </c>
      <c r="E57" s="9">
        <f t="shared" si="18"/>
        <v>2.00490442342435</v>
      </c>
      <c r="F57" s="9">
        <f t="shared" si="19"/>
        <v>0.980617711944532</v>
      </c>
      <c r="G57" s="10">
        <f t="shared" si="20"/>
        <v>1.02428671147981</v>
      </c>
      <c r="H57" s="11"/>
      <c r="I57" s="14">
        <v>0.7</v>
      </c>
      <c r="J57" s="9">
        <f t="shared" si="21"/>
        <v>1.82432094982039</v>
      </c>
      <c r="K57" s="8">
        <v>0.8</v>
      </c>
      <c r="L57" s="9">
        <f t="shared" si="22"/>
        <v>1.95357377203225</v>
      </c>
      <c r="M57" s="8">
        <v>0.6</v>
      </c>
      <c r="N57" s="9">
        <f t="shared" si="31"/>
        <v>1.53435073588328</v>
      </c>
      <c r="O57" s="9">
        <f t="shared" si="23"/>
        <v>0.980617711944532</v>
      </c>
      <c r="P57" s="10">
        <f t="shared" si="24"/>
        <v>0.843703237875855</v>
      </c>
      <c r="Q57" s="1"/>
      <c r="R57" s="8">
        <v>0.2</v>
      </c>
      <c r="S57" s="9">
        <f t="shared" si="25"/>
        <v>1.77721559111034</v>
      </c>
      <c r="T57" s="9">
        <f t="shared" si="26"/>
        <v>0.980617711944532</v>
      </c>
      <c r="U57" s="10">
        <f t="shared" si="27"/>
        <v>0.79659787916581</v>
      </c>
      <c r="V57" s="8">
        <v>0.1</v>
      </c>
      <c r="W57" s="9">
        <f t="shared" si="28"/>
        <v>1.8365585777677</v>
      </c>
      <c r="X57" s="9">
        <f t="shared" si="29"/>
        <v>0.00016140666742512</v>
      </c>
      <c r="Y57" s="10">
        <f t="shared" si="30"/>
        <v>1.83639717110027</v>
      </c>
    </row>
    <row r="58" spans="1:25">
      <c r="A58" s="5">
        <v>42767</v>
      </c>
      <c r="B58" s="6">
        <v>60</v>
      </c>
      <c r="C58" s="7">
        <v>6450</v>
      </c>
      <c r="D58" s="8">
        <f t="shared" si="17"/>
        <v>0.4</v>
      </c>
      <c r="E58" s="9">
        <f t="shared" si="18"/>
        <v>2.0356207319137</v>
      </c>
      <c r="F58" s="9">
        <f t="shared" si="19"/>
        <v>1.01638827607942</v>
      </c>
      <c r="G58" s="10">
        <f t="shared" si="20"/>
        <v>1.01923245583428</v>
      </c>
      <c r="H58" s="11"/>
      <c r="I58" s="19">
        <v>0.7</v>
      </c>
      <c r="J58" s="9">
        <f t="shared" si="21"/>
        <v>1.87090372322975</v>
      </c>
      <c r="K58" s="8">
        <v>0.8</v>
      </c>
      <c r="L58" s="9">
        <f t="shared" si="22"/>
        <v>2.01058309181388</v>
      </c>
      <c r="M58" s="8">
        <v>0.6</v>
      </c>
      <c r="N58" s="9">
        <f t="shared" si="31"/>
        <v>1.54845502633731</v>
      </c>
      <c r="O58" s="9">
        <f t="shared" si="23"/>
        <v>1.01638827607942</v>
      </c>
      <c r="P58" s="10">
        <f t="shared" si="24"/>
        <v>0.854515447150329</v>
      </c>
      <c r="Q58" s="1"/>
      <c r="R58" s="8">
        <v>0.2</v>
      </c>
      <c r="S58" s="9">
        <f t="shared" si="25"/>
        <v>1.79018129701367</v>
      </c>
      <c r="T58" s="9">
        <f t="shared" si="26"/>
        <v>1.01638827607942</v>
      </c>
      <c r="U58" s="10">
        <f t="shared" si="27"/>
        <v>0.77379302093425</v>
      </c>
      <c r="V58" s="8">
        <v>0.1</v>
      </c>
      <c r="W58" s="9">
        <f t="shared" si="28"/>
        <v>1.84325789959243</v>
      </c>
      <c r="X58" s="9">
        <f t="shared" si="29"/>
        <v>0.000160610219954977</v>
      </c>
      <c r="Y58" s="10">
        <f t="shared" si="30"/>
        <v>1.84309728937248</v>
      </c>
    </row>
    <row r="59" spans="1:25">
      <c r="A59" s="5">
        <v>42795</v>
      </c>
      <c r="B59" s="6">
        <v>65</v>
      </c>
      <c r="C59" s="7">
        <v>6401</v>
      </c>
      <c r="D59" s="8">
        <f t="shared" si="17"/>
        <v>0.35</v>
      </c>
      <c r="E59" s="9">
        <f t="shared" si="18"/>
        <v>2.02943496968959</v>
      </c>
      <c r="F59" s="9">
        <f t="shared" si="19"/>
        <v>1.00866687677277</v>
      </c>
      <c r="G59" s="10">
        <f t="shared" si="20"/>
        <v>1.02076809291682</v>
      </c>
      <c r="H59" s="11"/>
      <c r="I59" s="14">
        <v>0.7</v>
      </c>
      <c r="J59" s="9">
        <f t="shared" si="21"/>
        <v>1.86095457629847</v>
      </c>
      <c r="K59" s="8">
        <v>0.8</v>
      </c>
      <c r="L59" s="9">
        <f t="shared" si="22"/>
        <v>1.99836373410859</v>
      </c>
      <c r="M59" s="8">
        <v>0.6</v>
      </c>
      <c r="N59" s="9">
        <f t="shared" si="31"/>
        <v>1.5456317967079</v>
      </c>
      <c r="O59" s="9">
        <f t="shared" si="23"/>
        <v>1.00866687677277</v>
      </c>
      <c r="P59" s="10">
        <f t="shared" si="24"/>
        <v>0.852287699525696</v>
      </c>
      <c r="Q59" s="1"/>
      <c r="R59" s="8">
        <v>0.2</v>
      </c>
      <c r="S59" s="9">
        <f t="shared" si="25"/>
        <v>1.78746133163216</v>
      </c>
      <c r="T59" s="9">
        <f t="shared" si="26"/>
        <v>1.00866687677277</v>
      </c>
      <c r="U59" s="10">
        <f t="shared" si="27"/>
        <v>0.778794454859391</v>
      </c>
      <c r="V59" s="8">
        <v>0.1</v>
      </c>
      <c r="W59" s="9">
        <f t="shared" si="28"/>
        <v>1.84185759514158</v>
      </c>
      <c r="X59" s="9">
        <f t="shared" si="29"/>
        <v>0.000160852204997924</v>
      </c>
      <c r="Y59" s="10">
        <f t="shared" si="30"/>
        <v>1.84169674293658</v>
      </c>
    </row>
    <row r="60" spans="1:25">
      <c r="A60" s="5">
        <v>42826</v>
      </c>
      <c r="B60" s="7">
        <v>58</v>
      </c>
      <c r="C60" s="7">
        <v>6211</v>
      </c>
      <c r="D60" s="8">
        <f t="shared" si="17"/>
        <v>0.42</v>
      </c>
      <c r="E60" s="9">
        <f t="shared" si="18"/>
        <v>2.00835116630194</v>
      </c>
      <c r="F60" s="9">
        <f t="shared" si="19"/>
        <v>0.978726757012291</v>
      </c>
      <c r="G60" s="10">
        <f t="shared" si="20"/>
        <v>1.02962440928965</v>
      </c>
      <c r="H60" s="11"/>
      <c r="I60" s="19">
        <v>0.7</v>
      </c>
      <c r="J60" s="9">
        <f t="shared" si="21"/>
        <v>1.8222876557161</v>
      </c>
      <c r="K60" s="8">
        <v>0.8</v>
      </c>
      <c r="L60" s="9">
        <f t="shared" si="22"/>
        <v>1.95091001006789</v>
      </c>
      <c r="M60" s="8">
        <v>0.6</v>
      </c>
      <c r="N60" s="9">
        <f t="shared" si="31"/>
        <v>1.53599725387261</v>
      </c>
      <c r="O60" s="9">
        <f t="shared" si="23"/>
        <v>0.978726757012291</v>
      </c>
      <c r="P60" s="10">
        <f t="shared" si="24"/>
        <v>0.843560898703813</v>
      </c>
      <c r="Q60" s="1"/>
      <c r="R60" s="8">
        <v>0.2</v>
      </c>
      <c r="S60" s="9">
        <f t="shared" si="25"/>
        <v>1.77684993800585</v>
      </c>
      <c r="T60" s="9">
        <f t="shared" si="26"/>
        <v>0.978726757012291</v>
      </c>
      <c r="U60" s="10">
        <f t="shared" si="27"/>
        <v>0.798123180993558</v>
      </c>
      <c r="V60" s="8">
        <v>0.1</v>
      </c>
      <c r="W60" s="9">
        <f t="shared" si="28"/>
        <v>1.83639043464983</v>
      </c>
      <c r="X60" s="9">
        <f t="shared" si="29"/>
        <v>0.000162247779591814</v>
      </c>
      <c r="Y60" s="10">
        <f t="shared" si="30"/>
        <v>1.83622818687024</v>
      </c>
    </row>
    <row r="61" spans="1:25">
      <c r="A61" s="5">
        <v>42856</v>
      </c>
      <c r="B61" s="7">
        <v>46</v>
      </c>
      <c r="C61" s="7">
        <v>5824</v>
      </c>
      <c r="D61" s="8">
        <f t="shared" si="17"/>
        <v>0.54</v>
      </c>
      <c r="E61" s="9">
        <f t="shared" si="18"/>
        <v>1.95579322095164</v>
      </c>
      <c r="F61" s="9">
        <f t="shared" si="19"/>
        <v>0.917743460447526</v>
      </c>
      <c r="G61" s="10">
        <f t="shared" si="20"/>
        <v>1.03804976050412</v>
      </c>
      <c r="H61" s="11"/>
      <c r="I61" s="14">
        <v>0.7</v>
      </c>
      <c r="J61" s="9">
        <f t="shared" si="21"/>
        <v>1.74280645688605</v>
      </c>
      <c r="K61" s="8">
        <v>0.8</v>
      </c>
      <c r="L61" s="9">
        <f t="shared" si="22"/>
        <v>1.85366290990415</v>
      </c>
      <c r="M61" s="8">
        <v>0.6</v>
      </c>
      <c r="N61" s="9">
        <f t="shared" si="31"/>
        <v>1.51187930246597</v>
      </c>
      <c r="O61" s="9">
        <f t="shared" si="23"/>
        <v>0.917743460447526</v>
      </c>
      <c r="P61" s="10">
        <f t="shared" si="24"/>
        <v>0.82506299643852</v>
      </c>
      <c r="Q61" s="1"/>
      <c r="R61" s="8">
        <v>0.2</v>
      </c>
      <c r="S61" s="9">
        <f t="shared" si="25"/>
        <v>1.75470725805067</v>
      </c>
      <c r="T61" s="9">
        <f t="shared" si="26"/>
        <v>0.917743460447526</v>
      </c>
      <c r="U61" s="10">
        <f t="shared" si="27"/>
        <v>0.836963797603139</v>
      </c>
      <c r="V61" s="8">
        <v>0.1</v>
      </c>
      <c r="W61" s="9">
        <f t="shared" si="28"/>
        <v>1.82494810494109</v>
      </c>
      <c r="X61" s="9">
        <f t="shared" si="29"/>
        <v>0.000163575442878052</v>
      </c>
      <c r="Y61" s="10">
        <f t="shared" si="30"/>
        <v>1.82478452949822</v>
      </c>
    </row>
    <row r="62" spans="1:25">
      <c r="A62" s="5">
        <v>42887</v>
      </c>
      <c r="B62" s="7">
        <v>46</v>
      </c>
      <c r="C62" s="7">
        <v>6138</v>
      </c>
      <c r="D62" s="8">
        <f t="shared" si="17"/>
        <v>0.54</v>
      </c>
      <c r="E62" s="9">
        <f t="shared" si="18"/>
        <v>2.01273420627866</v>
      </c>
      <c r="F62" s="9">
        <f t="shared" si="19"/>
        <v>0.96722344784116</v>
      </c>
      <c r="G62" s="10">
        <f t="shared" si="20"/>
        <v>1.0455107584375</v>
      </c>
      <c r="H62" s="11"/>
      <c r="I62" s="19">
        <v>0.7</v>
      </c>
      <c r="J62" s="9">
        <f t="shared" si="21"/>
        <v>1.8085806428791</v>
      </c>
      <c r="K62" s="8">
        <v>0.8</v>
      </c>
      <c r="L62" s="9">
        <f t="shared" si="22"/>
        <v>1.93361485409507</v>
      </c>
      <c r="M62" s="8">
        <v>0.6</v>
      </c>
      <c r="N62" s="9">
        <f t="shared" si="31"/>
        <v>1.5382894248416</v>
      </c>
      <c r="O62" s="9">
        <f t="shared" si="23"/>
        <v>0.96722344784116</v>
      </c>
      <c r="P62" s="10">
        <f t="shared" si="24"/>
        <v>0.841357195037941</v>
      </c>
      <c r="Q62" s="1"/>
      <c r="R62" s="8">
        <v>0.2</v>
      </c>
      <c r="S62" s="9">
        <f t="shared" si="25"/>
        <v>1.77362820856673</v>
      </c>
      <c r="T62" s="9">
        <f t="shared" si="26"/>
        <v>0.96722344784116</v>
      </c>
      <c r="U62" s="10">
        <f t="shared" si="27"/>
        <v>0.806404760725574</v>
      </c>
      <c r="V62" s="8">
        <v>0.1</v>
      </c>
      <c r="W62" s="9">
        <f t="shared" si="28"/>
        <v>1.83478728256732</v>
      </c>
      <c r="X62" s="9">
        <f t="shared" si="29"/>
        <v>0.000164751143781516</v>
      </c>
      <c r="Y62" s="10">
        <f t="shared" si="30"/>
        <v>1.83462253142354</v>
      </c>
    </row>
    <row r="63" spans="1:25">
      <c r="A63" s="5">
        <v>42917</v>
      </c>
      <c r="B63" s="7">
        <v>48</v>
      </c>
      <c r="C63" s="7">
        <v>6298</v>
      </c>
      <c r="D63" s="8">
        <f t="shared" si="17"/>
        <v>0.52</v>
      </c>
      <c r="E63" s="9">
        <f t="shared" si="18"/>
        <v>2.04106594877173</v>
      </c>
      <c r="F63" s="9">
        <f t="shared" si="19"/>
        <v>0.992436180271037</v>
      </c>
      <c r="G63" s="10">
        <f t="shared" si="20"/>
        <v>1.0486297685007</v>
      </c>
      <c r="H63" s="11"/>
      <c r="I63" s="14">
        <v>0.7</v>
      </c>
      <c r="J63" s="9">
        <f t="shared" si="21"/>
        <v>1.84158178852955</v>
      </c>
      <c r="K63" s="8">
        <v>0.8</v>
      </c>
      <c r="L63" s="9">
        <f t="shared" si="22"/>
        <v>1.97393787483866</v>
      </c>
      <c r="M63" s="8">
        <v>0.6</v>
      </c>
      <c r="N63" s="9">
        <f t="shared" si="31"/>
        <v>1.55128142936812</v>
      </c>
      <c r="O63" s="9">
        <f t="shared" si="23"/>
        <v>0.992436180271037</v>
      </c>
      <c r="P63" s="10">
        <f t="shared" si="24"/>
        <v>0.849145608258513</v>
      </c>
      <c r="Q63" s="1"/>
      <c r="R63" s="8">
        <v>0.2</v>
      </c>
      <c r="S63" s="9">
        <f t="shared" si="25"/>
        <v>1.78287488544424</v>
      </c>
      <c r="T63" s="9">
        <f t="shared" si="26"/>
        <v>0.992436180271037</v>
      </c>
      <c r="U63" s="10">
        <f t="shared" si="27"/>
        <v>0.790438705173203</v>
      </c>
      <c r="V63" s="8">
        <v>0.1</v>
      </c>
      <c r="W63" s="9">
        <f t="shared" si="28"/>
        <v>1.83957004511556</v>
      </c>
      <c r="X63" s="9">
        <f t="shared" si="29"/>
        <v>0.000165242636070075</v>
      </c>
      <c r="Y63" s="10">
        <f t="shared" si="30"/>
        <v>1.83940480247949</v>
      </c>
    </row>
    <row r="64" spans="1:25">
      <c r="A64" s="5">
        <v>42948</v>
      </c>
      <c r="B64" s="7">
        <v>50</v>
      </c>
      <c r="C64" s="7">
        <v>6470</v>
      </c>
      <c r="D64" s="8">
        <f t="shared" si="17"/>
        <v>0.5</v>
      </c>
      <c r="E64" s="9">
        <f t="shared" si="18"/>
        <v>2.07005180752978</v>
      </c>
      <c r="F64" s="9">
        <f t="shared" si="19"/>
        <v>1.01953986763315</v>
      </c>
      <c r="G64" s="10">
        <f t="shared" si="20"/>
        <v>1.05051193989662</v>
      </c>
      <c r="H64" s="11"/>
      <c r="I64" s="19">
        <v>0.7</v>
      </c>
      <c r="J64" s="9">
        <f t="shared" si="21"/>
        <v>1.87678763917086</v>
      </c>
      <c r="K64" s="8">
        <v>0.8</v>
      </c>
      <c r="L64" s="9">
        <f t="shared" si="22"/>
        <v>2.01706487572431</v>
      </c>
      <c r="M64" s="8">
        <v>0.6</v>
      </c>
      <c r="N64" s="9">
        <f t="shared" si="31"/>
        <v>1.56449958856558</v>
      </c>
      <c r="O64" s="9">
        <f t="shared" si="23"/>
        <v>1.01953986763315</v>
      </c>
      <c r="P64" s="10">
        <f t="shared" si="24"/>
        <v>0.857247771537703</v>
      </c>
      <c r="Q64" s="1"/>
      <c r="R64" s="8">
        <v>0.2</v>
      </c>
      <c r="S64" s="9">
        <f t="shared" si="25"/>
        <v>1.79261303978836</v>
      </c>
      <c r="T64" s="9">
        <f t="shared" si="26"/>
        <v>1.01953986763315</v>
      </c>
      <c r="U64" s="10">
        <f t="shared" si="27"/>
        <v>0.773073172155207</v>
      </c>
      <c r="V64" s="8">
        <v>0.1</v>
      </c>
      <c r="W64" s="9">
        <f t="shared" si="28"/>
        <v>1.84459395822702</v>
      </c>
      <c r="X64" s="9">
        <f t="shared" si="29"/>
        <v>0.000165539227843779</v>
      </c>
      <c r="Y64" s="10">
        <f t="shared" si="30"/>
        <v>1.84442841899918</v>
      </c>
    </row>
    <row r="65" spans="1:25">
      <c r="A65" s="5">
        <v>42979</v>
      </c>
      <c r="B65" s="7">
        <v>58</v>
      </c>
      <c r="C65" s="7">
        <v>6603</v>
      </c>
      <c r="D65" s="8">
        <f t="shared" si="17"/>
        <v>0.42</v>
      </c>
      <c r="E65" s="9">
        <f t="shared" si="18"/>
        <v>2.09132822873545</v>
      </c>
      <c r="F65" s="9">
        <f t="shared" si="19"/>
        <v>1.04049795146549</v>
      </c>
      <c r="G65" s="10">
        <f t="shared" si="20"/>
        <v>1.05083027726996</v>
      </c>
      <c r="H65" s="11"/>
      <c r="I65" s="14">
        <v>0.7</v>
      </c>
      <c r="J65" s="9">
        <f t="shared" si="21"/>
        <v>1.90379365604981</v>
      </c>
      <c r="K65" s="8">
        <v>0.8</v>
      </c>
      <c r="L65" s="9">
        <f t="shared" si="22"/>
        <v>2.05023577259866</v>
      </c>
      <c r="M65" s="8">
        <v>0.6</v>
      </c>
      <c r="N65" s="9">
        <f t="shared" si="31"/>
        <v>1.57414773904221</v>
      </c>
      <c r="O65" s="9">
        <f t="shared" si="23"/>
        <v>1.04049795146549</v>
      </c>
      <c r="P65" s="10">
        <f t="shared" si="24"/>
        <v>0.863295704584318</v>
      </c>
      <c r="Q65" s="1"/>
      <c r="R65" s="8">
        <v>0.2</v>
      </c>
      <c r="S65" s="9">
        <f t="shared" si="25"/>
        <v>1.79998297902459</v>
      </c>
      <c r="T65" s="9">
        <f t="shared" si="26"/>
        <v>1.04049795146549</v>
      </c>
      <c r="U65" s="10">
        <f t="shared" si="27"/>
        <v>0.759485027559096</v>
      </c>
      <c r="V65" s="8">
        <v>0.1</v>
      </c>
      <c r="W65" s="9">
        <f t="shared" si="28"/>
        <v>1.84838578197423</v>
      </c>
      <c r="X65" s="9">
        <f t="shared" si="29"/>
        <v>0.000165589391312632</v>
      </c>
      <c r="Y65" s="10">
        <f t="shared" si="30"/>
        <v>1.84822019258291</v>
      </c>
    </row>
    <row r="66" spans="1:25">
      <c r="A66" s="5">
        <v>43009</v>
      </c>
      <c r="B66" s="7">
        <v>56</v>
      </c>
      <c r="C66" s="7">
        <v>6560</v>
      </c>
      <c r="D66" s="8">
        <f t="shared" si="17"/>
        <v>0.44</v>
      </c>
      <c r="E66" s="9">
        <f t="shared" si="18"/>
        <v>2.08560819423432</v>
      </c>
      <c r="F66" s="9">
        <f t="shared" si="19"/>
        <v>1.03372202962496</v>
      </c>
      <c r="G66" s="10">
        <f t="shared" si="20"/>
        <v>1.05188616460936</v>
      </c>
      <c r="H66" s="11"/>
      <c r="I66" s="19">
        <v>0.7</v>
      </c>
      <c r="J66" s="9">
        <f t="shared" si="21"/>
        <v>1.8951151479403</v>
      </c>
      <c r="K66" s="8">
        <v>0.8</v>
      </c>
      <c r="L66" s="9">
        <f t="shared" si="22"/>
        <v>2.03955455033947</v>
      </c>
      <c r="M66" s="8">
        <v>0.6</v>
      </c>
      <c r="N66" s="9">
        <f t="shared" si="31"/>
        <v>1.57156444888618</v>
      </c>
      <c r="O66" s="9">
        <f t="shared" si="23"/>
        <v>1.03372202962496</v>
      </c>
      <c r="P66" s="10">
        <f t="shared" si="24"/>
        <v>0.861393118315337</v>
      </c>
      <c r="Q66" s="1"/>
      <c r="R66" s="8">
        <v>0.2</v>
      </c>
      <c r="S66" s="9">
        <f t="shared" si="25"/>
        <v>1.79763861227923</v>
      </c>
      <c r="T66" s="9">
        <f t="shared" si="26"/>
        <v>1.03372202962496</v>
      </c>
      <c r="U66" s="10">
        <f t="shared" si="27"/>
        <v>0.763916582654266</v>
      </c>
      <c r="V66" s="8">
        <v>0.1</v>
      </c>
      <c r="W66" s="9">
        <f t="shared" si="28"/>
        <v>1.8471820777697</v>
      </c>
      <c r="X66" s="9">
        <f t="shared" si="29"/>
        <v>0.000165755777593659</v>
      </c>
      <c r="Y66" s="10">
        <f t="shared" si="30"/>
        <v>1.84701632199211</v>
      </c>
    </row>
    <row r="67" spans="1:25">
      <c r="A67" s="5">
        <v>43040</v>
      </c>
      <c r="B67" s="7">
        <v>41</v>
      </c>
      <c r="C67" s="7">
        <v>6263</v>
      </c>
      <c r="D67" s="8">
        <f t="shared" si="17"/>
        <v>0.59</v>
      </c>
      <c r="E67" s="9">
        <f t="shared" si="18"/>
        <v>2.0440613529504</v>
      </c>
      <c r="F67" s="9">
        <f t="shared" si="19"/>
        <v>0.986920895052001</v>
      </c>
      <c r="G67" s="10">
        <f t="shared" si="20"/>
        <v>1.0571404578984</v>
      </c>
      <c r="H67" s="11"/>
      <c r="I67" s="14">
        <v>0.7</v>
      </c>
      <c r="J67" s="9">
        <f t="shared" si="21"/>
        <v>1.83505502000481</v>
      </c>
      <c r="K67" s="8">
        <v>0.8</v>
      </c>
      <c r="L67" s="9">
        <f t="shared" si="22"/>
        <v>1.96568287943084</v>
      </c>
      <c r="M67" s="8">
        <v>0.6</v>
      </c>
      <c r="N67" s="9">
        <f t="shared" si="31"/>
        <v>1.55278042063797</v>
      </c>
      <c r="O67" s="9">
        <f t="shared" si="23"/>
        <v>0.986920895052001</v>
      </c>
      <c r="P67" s="10">
        <f t="shared" si="24"/>
        <v>0.84813412495281</v>
      </c>
      <c r="Q67" s="1"/>
      <c r="R67" s="8">
        <v>0.2</v>
      </c>
      <c r="S67" s="9">
        <f t="shared" si="25"/>
        <v>1.78136121386926</v>
      </c>
      <c r="T67" s="9">
        <f t="shared" si="26"/>
        <v>0.986920895052001</v>
      </c>
      <c r="U67" s="10">
        <f t="shared" si="27"/>
        <v>0.794440318817258</v>
      </c>
      <c r="V67" s="8">
        <v>0.1</v>
      </c>
      <c r="W67" s="9">
        <f t="shared" si="28"/>
        <v>1.83881907354565</v>
      </c>
      <c r="X67" s="9">
        <f t="shared" si="29"/>
        <v>0.000166583746911188</v>
      </c>
      <c r="Y67" s="10">
        <f t="shared" si="30"/>
        <v>1.83865248979874</v>
      </c>
    </row>
    <row r="68" spans="1:25">
      <c r="A68" s="5">
        <v>43070</v>
      </c>
      <c r="B68" s="7">
        <v>33</v>
      </c>
      <c r="C68" s="7">
        <v>6250</v>
      </c>
      <c r="D68" s="8">
        <f t="shared" si="17"/>
        <v>0.67</v>
      </c>
      <c r="E68" s="15">
        <f t="shared" si="18"/>
        <v>2.04155808764988</v>
      </c>
      <c r="F68" s="15">
        <f t="shared" si="19"/>
        <v>0.984872360542074</v>
      </c>
      <c r="G68" s="10">
        <f t="shared" si="20"/>
        <v>1.05668572710781</v>
      </c>
      <c r="H68" s="11"/>
      <c r="I68" s="19">
        <v>0.7</v>
      </c>
      <c r="J68" s="9">
        <f t="shared" si="21"/>
        <v>1.83238872578766</v>
      </c>
      <c r="K68" s="8">
        <v>0.8</v>
      </c>
      <c r="L68" s="15">
        <f t="shared" si="22"/>
        <v>1.96241877246196</v>
      </c>
      <c r="M68" s="8">
        <v>0.6</v>
      </c>
      <c r="N68" s="9">
        <f t="shared" si="31"/>
        <v>1.55163945057637</v>
      </c>
      <c r="O68" s="9">
        <f t="shared" si="23"/>
        <v>0.984872360542074</v>
      </c>
      <c r="P68" s="10">
        <f t="shared" si="24"/>
        <v>0.847516365245583</v>
      </c>
      <c r="Q68" s="1"/>
      <c r="R68" s="8">
        <v>0.2</v>
      </c>
      <c r="S68" s="15">
        <f t="shared" si="25"/>
        <v>1.78062170578111</v>
      </c>
      <c r="T68" s="9">
        <f t="shared" si="26"/>
        <v>0.984872360542074</v>
      </c>
      <c r="U68" s="10">
        <f t="shared" si="27"/>
        <v>0.795749345239039</v>
      </c>
      <c r="V68" s="8">
        <v>0.1</v>
      </c>
      <c r="W68" s="23">
        <f t="shared" si="28"/>
        <v>1.83843739307374</v>
      </c>
      <c r="X68" s="9">
        <f t="shared" si="29"/>
        <v>0.000166512090625246</v>
      </c>
      <c r="Y68" s="10">
        <f t="shared" si="30"/>
        <v>1.83827088098311</v>
      </c>
    </row>
    <row r="69" spans="1:25">
      <c r="A69" s="5">
        <v>43101</v>
      </c>
      <c r="B69" s="7">
        <v>33</v>
      </c>
      <c r="C69" s="7">
        <v>6189</v>
      </c>
      <c r="D69" s="8">
        <f t="shared" si="17"/>
        <v>0.67</v>
      </c>
      <c r="E69" s="9">
        <f t="shared" si="18"/>
        <v>2.02820793100312</v>
      </c>
      <c r="F69" s="9">
        <f t="shared" si="19"/>
        <v>0.975260006303183</v>
      </c>
      <c r="G69" s="10">
        <f t="shared" si="20"/>
        <v>1.05294792469994</v>
      </c>
      <c r="H69" s="11"/>
      <c r="I69" s="14">
        <v>0.7</v>
      </c>
      <c r="J69" s="9">
        <f t="shared" si="21"/>
        <v>1.81986984601308</v>
      </c>
      <c r="K69" s="8">
        <v>0.8</v>
      </c>
      <c r="L69" s="9">
        <f t="shared" si="22"/>
        <v>1.94709620668658</v>
      </c>
      <c r="M69" s="8">
        <v>0.6</v>
      </c>
      <c r="N69" s="9">
        <f t="shared" si="31"/>
        <v>1.54555156215925</v>
      </c>
      <c r="O69" s="9">
        <f t="shared" si="23"/>
        <v>0.975260006303183</v>
      </c>
      <c r="P69" s="10">
        <f t="shared" si="24"/>
        <v>0.844609839709892</v>
      </c>
      <c r="Q69" s="1"/>
      <c r="R69" s="8">
        <v>0.2</v>
      </c>
      <c r="S69" s="9">
        <f t="shared" si="25"/>
        <v>1.77714593221143</v>
      </c>
      <c r="T69" s="9">
        <f t="shared" si="26"/>
        <v>0.975260006303183</v>
      </c>
      <c r="U69" s="10">
        <f t="shared" si="27"/>
        <v>0.801885925908245</v>
      </c>
      <c r="V69" s="8">
        <v>0.1</v>
      </c>
      <c r="W69" s="9">
        <f t="shared" si="28"/>
        <v>1.8366430781781</v>
      </c>
      <c r="X69" s="9">
        <f t="shared" si="29"/>
        <v>0.000165923089300337</v>
      </c>
      <c r="Y69" s="10">
        <f t="shared" si="30"/>
        <v>1.83647715508879</v>
      </c>
    </row>
    <row r="70" spans="1:25">
      <c r="A70" s="5">
        <v>43132</v>
      </c>
      <c r="B70" s="7">
        <v>13</v>
      </c>
      <c r="C70" s="7">
        <v>6023</v>
      </c>
      <c r="D70" s="8">
        <f t="shared" si="17"/>
        <v>0.87</v>
      </c>
      <c r="E70" s="9">
        <f t="shared" si="18"/>
        <v>1.99175983178093</v>
      </c>
      <c r="F70" s="9">
        <f t="shared" si="19"/>
        <v>0.949101796407186</v>
      </c>
      <c r="G70" s="10">
        <f t="shared" si="20"/>
        <v>1.04265803537374</v>
      </c>
      <c r="H70" s="11"/>
      <c r="I70" s="19">
        <v>0.7</v>
      </c>
      <c r="J70" s="9">
        <f t="shared" si="21"/>
        <v>1.78570134122931</v>
      </c>
      <c r="K70" s="8">
        <v>0.8</v>
      </c>
      <c r="L70" s="9">
        <f t="shared" si="22"/>
        <v>1.90531653690988</v>
      </c>
      <c r="M70" s="8">
        <v>0.6</v>
      </c>
      <c r="N70" s="9">
        <f t="shared" si="31"/>
        <v>1.52888687532034</v>
      </c>
      <c r="O70" s="9">
        <f t="shared" si="23"/>
        <v>0.949101796407186</v>
      </c>
      <c r="P70" s="10">
        <f t="shared" si="24"/>
        <v>0.836599544822125</v>
      </c>
      <c r="Q70" s="1"/>
      <c r="R70" s="8">
        <v>0.2</v>
      </c>
      <c r="S70" s="9">
        <f t="shared" si="25"/>
        <v>1.7676126885615</v>
      </c>
      <c r="T70" s="9">
        <f t="shared" si="26"/>
        <v>0.949101796407186</v>
      </c>
      <c r="U70" s="10">
        <f t="shared" si="27"/>
        <v>0.818510892154312</v>
      </c>
      <c r="V70" s="8">
        <v>0.1</v>
      </c>
      <c r="W70" s="9">
        <f t="shared" si="28"/>
        <v>1.83171687441371</v>
      </c>
      <c r="X70" s="9">
        <f t="shared" si="29"/>
        <v>0.000164301612885872</v>
      </c>
      <c r="Y70" s="10">
        <f t="shared" si="30"/>
        <v>1.83155257280083</v>
      </c>
    </row>
    <row r="71" spans="1:25">
      <c r="A71" s="5">
        <v>43160</v>
      </c>
      <c r="B71" s="7">
        <v>25</v>
      </c>
      <c r="C71" s="7">
        <v>6114</v>
      </c>
      <c r="D71" s="8">
        <f t="shared" si="17"/>
        <v>0.75</v>
      </c>
      <c r="E71" s="9">
        <f t="shared" si="18"/>
        <v>2.01794074260312</v>
      </c>
      <c r="F71" s="9">
        <f t="shared" si="19"/>
        <v>0.963441537976678</v>
      </c>
      <c r="G71" s="10">
        <f t="shared" si="20"/>
        <v>1.05449920462645</v>
      </c>
      <c r="H71" s="11"/>
      <c r="I71" s="14">
        <v>0.7</v>
      </c>
      <c r="J71" s="9">
        <f t="shared" si="21"/>
        <v>1.8045871415674</v>
      </c>
      <c r="K71" s="8">
        <v>0.8</v>
      </c>
      <c r="L71" s="9">
        <f t="shared" si="22"/>
        <v>1.92834609757517</v>
      </c>
      <c r="M71" s="8">
        <v>0.6</v>
      </c>
      <c r="N71" s="9">
        <f t="shared" si="31"/>
        <v>1.54094485047416</v>
      </c>
      <c r="O71" s="9">
        <f t="shared" si="23"/>
        <v>0.963441537976678</v>
      </c>
      <c r="P71" s="10">
        <f t="shared" si="24"/>
        <v>0.841145603590721</v>
      </c>
      <c r="Q71" s="1"/>
      <c r="R71" s="8">
        <v>0.2</v>
      </c>
      <c r="S71" s="9">
        <f t="shared" si="25"/>
        <v>1.77295397212979</v>
      </c>
      <c r="T71" s="9">
        <f t="shared" si="26"/>
        <v>0.963441537976678</v>
      </c>
      <c r="U71" s="10">
        <f t="shared" si="27"/>
        <v>0.809512434153111</v>
      </c>
      <c r="V71" s="8">
        <v>0.1</v>
      </c>
      <c r="W71" s="9">
        <f t="shared" si="28"/>
        <v>1.83448436960833</v>
      </c>
      <c r="X71" s="9">
        <f t="shared" si="29"/>
        <v>0.00016616753933603</v>
      </c>
      <c r="Y71" s="10">
        <f t="shared" si="30"/>
        <v>1.83431820206899</v>
      </c>
    </row>
    <row r="72" spans="1:25">
      <c r="A72" s="5">
        <v>43191</v>
      </c>
      <c r="B72" s="6">
        <v>10</v>
      </c>
      <c r="C72" s="7">
        <v>5860</v>
      </c>
      <c r="D72" s="8">
        <f t="shared" ref="D72:D103" si="32">(100-B72)/100</f>
        <v>0.9</v>
      </c>
      <c r="E72" s="9">
        <f t="shared" si="18"/>
        <v>1.95506574890573</v>
      </c>
      <c r="F72" s="9">
        <f t="shared" si="19"/>
        <v>0.923416325244248</v>
      </c>
      <c r="G72" s="10">
        <f t="shared" si="20"/>
        <v>1.03164942366148</v>
      </c>
      <c r="H72" s="11"/>
      <c r="I72" s="19">
        <v>0.7</v>
      </c>
      <c r="J72" s="9">
        <f t="shared" si="21"/>
        <v>1.75210830712666</v>
      </c>
      <c r="K72" s="8">
        <v>0.8</v>
      </c>
      <c r="L72" s="9">
        <f t="shared" si="22"/>
        <v>1.86425713339014</v>
      </c>
      <c r="M72" s="8">
        <v>0.6</v>
      </c>
      <c r="N72" s="9">
        <f t="shared" si="31"/>
        <v>1.51213719649817</v>
      </c>
      <c r="O72" s="9">
        <f t="shared" si="23"/>
        <v>0.923416325244248</v>
      </c>
      <c r="P72" s="10">
        <f t="shared" si="24"/>
        <v>0.828691981882411</v>
      </c>
      <c r="Q72" s="1"/>
      <c r="R72" s="8">
        <v>0.2</v>
      </c>
      <c r="S72" s="9">
        <f>S71*R71*C72/C71+S71*(1-R71)</f>
        <v>1.7582228530941</v>
      </c>
      <c r="T72" s="9">
        <f t="shared" si="26"/>
        <v>0.923416325244248</v>
      </c>
      <c r="U72" s="10">
        <f t="shared" si="27"/>
        <v>0.834806527849853</v>
      </c>
      <c r="V72" s="8">
        <v>0.1</v>
      </c>
      <c r="W72" s="9">
        <f t="shared" si="28"/>
        <v>1.8268631882233</v>
      </c>
      <c r="X72" s="9">
        <f t="shared" si="29"/>
        <v>0.000162566880501336</v>
      </c>
      <c r="Y72" s="10">
        <f t="shared" si="30"/>
        <v>1.8267006213428</v>
      </c>
    </row>
    <row r="73" spans="1:25">
      <c r="A73" s="5">
        <v>43221</v>
      </c>
      <c r="B73" s="6">
        <v>5</v>
      </c>
      <c r="C73" s="7">
        <v>5754</v>
      </c>
      <c r="D73" s="8">
        <f t="shared" si="32"/>
        <v>0.95</v>
      </c>
      <c r="E73" s="9">
        <f t="shared" ref="E73:E104" si="33">E72*D72*C73/C72+E72*(1-D72)</f>
        <v>1.92323754541671</v>
      </c>
      <c r="F73" s="9">
        <f t="shared" ref="F73:F104" si="34">C73/$C$105</f>
        <v>0.906712890009455</v>
      </c>
      <c r="G73" s="10">
        <f t="shared" ref="G73:G104" si="35">E73-F73</f>
        <v>1.01652465540726</v>
      </c>
      <c r="H73" s="11"/>
      <c r="I73" s="14">
        <v>0.7</v>
      </c>
      <c r="J73" s="9">
        <f t="shared" ref="J73:J104" si="36">J72*I72*C73/C72+J72*(1-I72)</f>
        <v>1.7299229084255</v>
      </c>
      <c r="K73" s="8">
        <v>0.8</v>
      </c>
      <c r="L73" s="9">
        <f t="shared" ref="L73:L104" si="37">L72*K72*C73/C72+L72*(1-K72)</f>
        <v>1.83727948750081</v>
      </c>
      <c r="M73" s="8">
        <v>0.6</v>
      </c>
      <c r="N73" s="9">
        <f t="shared" si="31"/>
        <v>1.49736676422384</v>
      </c>
      <c r="O73" s="9">
        <f t="shared" ref="O73:O104" si="38">C73/$C$105</f>
        <v>0.906712890009455</v>
      </c>
      <c r="P73" s="10">
        <f t="shared" ref="P73:P104" si="39">J73-O73</f>
        <v>0.823210018416045</v>
      </c>
      <c r="Q73" s="1"/>
      <c r="R73" s="8">
        <v>0.2</v>
      </c>
      <c r="S73" s="9">
        <f>S72*R72*C73/C72+S72*(1-R72)</f>
        <v>1.75186204686789</v>
      </c>
      <c r="T73" s="9">
        <f t="shared" ref="T73:T104" si="40">C73/$C$105</f>
        <v>0.906712890009455</v>
      </c>
      <c r="U73" s="10">
        <f t="shared" ref="U73:U104" si="41">S73-T73</f>
        <v>0.845149156858436</v>
      </c>
      <c r="V73" s="8">
        <v>0.1</v>
      </c>
      <c r="W73" s="9">
        <f t="shared" ref="W73:W104" si="42">W72*V72*C73/C72+W72*(1-V72)</f>
        <v>1.82355862341184</v>
      </c>
      <c r="X73" s="9">
        <f t="shared" ref="X73:X104" si="43">G73/$C$105</f>
        <v>0.000160183525907227</v>
      </c>
      <c r="Y73" s="10">
        <f t="shared" ref="Y73:Y104" si="44">W73-X73</f>
        <v>1.82339843988593</v>
      </c>
    </row>
    <row r="74" spans="1:25">
      <c r="A74" s="5">
        <v>43252</v>
      </c>
      <c r="B74" s="6">
        <v>0</v>
      </c>
      <c r="C74" s="7">
        <v>5217</v>
      </c>
      <c r="D74" s="8">
        <f t="shared" si="32"/>
        <v>1</v>
      </c>
      <c r="E74" s="9">
        <f t="shared" si="33"/>
        <v>1.75272318431238</v>
      </c>
      <c r="F74" s="9">
        <f t="shared" si="34"/>
        <v>0.82209265679168</v>
      </c>
      <c r="G74" s="10">
        <f t="shared" si="35"/>
        <v>0.930630527520701</v>
      </c>
      <c r="H74" s="11"/>
      <c r="I74" s="19">
        <v>0.7</v>
      </c>
      <c r="J74" s="9">
        <f t="shared" si="36"/>
        <v>1.61690969652471</v>
      </c>
      <c r="K74" s="8">
        <v>0.8</v>
      </c>
      <c r="L74" s="9">
        <f t="shared" si="37"/>
        <v>1.70010617018584</v>
      </c>
      <c r="M74" s="8">
        <v>0.6</v>
      </c>
      <c r="N74" s="9">
        <f t="shared" ref="N74:N105" si="45">N73*M73*E74/E73+N73*(1-M73)</f>
        <v>1.41771278562439</v>
      </c>
      <c r="O74" s="9">
        <f t="shared" si="38"/>
        <v>0.82209265679168</v>
      </c>
      <c r="P74" s="10">
        <f t="shared" si="39"/>
        <v>0.79481703973303</v>
      </c>
      <c r="Q74" s="1"/>
      <c r="R74" s="8">
        <v>0.2</v>
      </c>
      <c r="S74" s="9">
        <f>S73*R73*C74/C73+S73*(1-R73)</f>
        <v>1.71916305767192</v>
      </c>
      <c r="T74" s="9">
        <f t="shared" si="40"/>
        <v>0.82209265679168</v>
      </c>
      <c r="U74" s="10">
        <f t="shared" si="41"/>
        <v>0.897070400880242</v>
      </c>
      <c r="V74" s="8">
        <v>0.1</v>
      </c>
      <c r="W74" s="9">
        <f t="shared" si="42"/>
        <v>1.80654001060732</v>
      </c>
      <c r="X74" s="9">
        <f t="shared" si="43"/>
        <v>0.000146648365509092</v>
      </c>
      <c r="Y74" s="10">
        <f t="shared" si="44"/>
        <v>1.80639336224181</v>
      </c>
    </row>
    <row r="75" spans="1:25">
      <c r="A75" s="5">
        <v>43282</v>
      </c>
      <c r="B75" s="6">
        <v>0</v>
      </c>
      <c r="C75" s="7">
        <v>5188</v>
      </c>
      <c r="D75" s="8">
        <f t="shared" si="32"/>
        <v>1</v>
      </c>
      <c r="E75" s="9">
        <f t="shared" si="33"/>
        <v>1.74298023389163</v>
      </c>
      <c r="F75" s="9">
        <f t="shared" si="34"/>
        <v>0.817522849038765</v>
      </c>
      <c r="G75" s="10">
        <f t="shared" si="35"/>
        <v>0.925457384852865</v>
      </c>
      <c r="H75" s="11"/>
      <c r="I75" s="14">
        <v>0.7</v>
      </c>
      <c r="J75" s="9">
        <f t="shared" si="36"/>
        <v>1.61061809851063</v>
      </c>
      <c r="K75" s="8">
        <v>0.8</v>
      </c>
      <c r="L75" s="9">
        <f t="shared" si="37"/>
        <v>1.69254579772114</v>
      </c>
      <c r="M75" s="8">
        <v>0.6</v>
      </c>
      <c r="N75" s="9">
        <f t="shared" si="45"/>
        <v>1.41298435885232</v>
      </c>
      <c r="O75" s="9">
        <f t="shared" si="38"/>
        <v>0.817522849038765</v>
      </c>
      <c r="P75" s="10">
        <f t="shared" si="39"/>
        <v>0.793095249471866</v>
      </c>
      <c r="Q75" s="1"/>
      <c r="R75" s="8">
        <v>0.2</v>
      </c>
      <c r="S75" s="9">
        <f t="shared" ref="S72:S79" si="46">S74*R74*C75/C74+S74*(1-R74)</f>
        <v>1.71725177806017</v>
      </c>
      <c r="T75" s="9">
        <f t="shared" si="40"/>
        <v>0.817522849038765</v>
      </c>
      <c r="U75" s="10">
        <f t="shared" si="41"/>
        <v>0.899728929021408</v>
      </c>
      <c r="V75" s="8">
        <v>0.1</v>
      </c>
      <c r="W75" s="9">
        <f t="shared" si="42"/>
        <v>1.80553580013564</v>
      </c>
      <c r="X75" s="9">
        <f t="shared" si="43"/>
        <v>0.000145833183872182</v>
      </c>
      <c r="Y75" s="10">
        <f t="shared" si="44"/>
        <v>1.80538996695177</v>
      </c>
    </row>
    <row r="76" spans="1:25">
      <c r="A76" s="5">
        <v>43313</v>
      </c>
      <c r="B76" s="6">
        <v>0</v>
      </c>
      <c r="C76" s="7">
        <v>4812</v>
      </c>
      <c r="D76" s="8">
        <f t="shared" si="32"/>
        <v>1</v>
      </c>
      <c r="E76" s="9">
        <f t="shared" si="33"/>
        <v>1.61665784222948</v>
      </c>
      <c r="F76" s="9">
        <f t="shared" si="34"/>
        <v>0.758272927828553</v>
      </c>
      <c r="G76" s="10">
        <f t="shared" si="35"/>
        <v>0.858384914400922</v>
      </c>
      <c r="H76" s="11"/>
      <c r="I76" s="19">
        <v>0.7</v>
      </c>
      <c r="J76" s="9">
        <f t="shared" si="36"/>
        <v>1.52890748102258</v>
      </c>
      <c r="K76" s="8">
        <v>0.8</v>
      </c>
      <c r="L76" s="9">
        <f t="shared" si="37"/>
        <v>1.59441207066746</v>
      </c>
      <c r="M76" s="8">
        <v>0.6</v>
      </c>
      <c r="N76" s="9">
        <f t="shared" si="45"/>
        <v>1.35154078303176</v>
      </c>
      <c r="O76" s="9">
        <f t="shared" si="38"/>
        <v>0.758272927828553</v>
      </c>
      <c r="P76" s="10">
        <f t="shared" si="39"/>
        <v>0.770634553194028</v>
      </c>
      <c r="Q76" s="1"/>
      <c r="R76" s="8">
        <v>0.2</v>
      </c>
      <c r="S76" s="9">
        <f>S75*R75*C76/C75+S75*(1-R75)</f>
        <v>1.69236023339747</v>
      </c>
      <c r="T76" s="9">
        <f t="shared" si="40"/>
        <v>0.758272927828553</v>
      </c>
      <c r="U76" s="10">
        <f t="shared" si="41"/>
        <v>0.934087305568912</v>
      </c>
      <c r="V76" s="8">
        <v>0.1</v>
      </c>
      <c r="W76" s="9">
        <f t="shared" si="42"/>
        <v>1.7924501898648</v>
      </c>
      <c r="X76" s="9">
        <f t="shared" si="43"/>
        <v>0.000135263932303959</v>
      </c>
      <c r="Y76" s="10">
        <f t="shared" si="44"/>
        <v>1.7923149259325</v>
      </c>
    </row>
    <row r="77" spans="1:25">
      <c r="A77" s="5">
        <v>43344</v>
      </c>
      <c r="B77" s="6">
        <v>0</v>
      </c>
      <c r="C77" s="7">
        <v>4800</v>
      </c>
      <c r="D77" s="8">
        <f t="shared" si="32"/>
        <v>1</v>
      </c>
      <c r="E77" s="9">
        <f t="shared" si="33"/>
        <v>1.61262627653813</v>
      </c>
      <c r="F77" s="9">
        <f t="shared" si="34"/>
        <v>0.756381972896313</v>
      </c>
      <c r="G77" s="10">
        <f t="shared" si="35"/>
        <v>0.856244303641818</v>
      </c>
      <c r="H77" s="11"/>
      <c r="I77" s="14">
        <v>0.7</v>
      </c>
      <c r="J77" s="9">
        <f t="shared" si="36"/>
        <v>1.5262385652203</v>
      </c>
      <c r="K77" s="8">
        <v>0.8</v>
      </c>
      <c r="L77" s="9">
        <f t="shared" si="37"/>
        <v>1.59123119870603</v>
      </c>
      <c r="M77" s="8">
        <v>0.6</v>
      </c>
      <c r="N77" s="9">
        <f t="shared" si="45"/>
        <v>1.34951852749605</v>
      </c>
      <c r="O77" s="9">
        <f t="shared" si="38"/>
        <v>0.756381972896313</v>
      </c>
      <c r="P77" s="10">
        <f t="shared" si="39"/>
        <v>0.769856592323985</v>
      </c>
      <c r="Q77" s="1"/>
      <c r="R77" s="8">
        <v>0.2</v>
      </c>
      <c r="S77" s="9">
        <f t="shared" si="46"/>
        <v>1.69151616345562</v>
      </c>
      <c r="T77" s="9">
        <f t="shared" si="40"/>
        <v>0.756381972896313</v>
      </c>
      <c r="U77" s="10">
        <f t="shared" si="41"/>
        <v>0.935134190559308</v>
      </c>
      <c r="V77" s="8">
        <v>0.1</v>
      </c>
      <c r="W77" s="9">
        <f t="shared" si="42"/>
        <v>1.79200319480498</v>
      </c>
      <c r="X77" s="9">
        <f t="shared" si="43"/>
        <v>0.000134926615764547</v>
      </c>
      <c r="Y77" s="10">
        <f t="shared" si="44"/>
        <v>1.79186826818922</v>
      </c>
    </row>
    <row r="78" spans="1:25">
      <c r="A78" s="5">
        <v>43374</v>
      </c>
      <c r="B78" s="6">
        <v>0</v>
      </c>
      <c r="C78" s="7">
        <v>4272</v>
      </c>
      <c r="D78" s="8">
        <f t="shared" si="32"/>
        <v>1</v>
      </c>
      <c r="E78" s="9">
        <f t="shared" si="33"/>
        <v>1.43523738611894</v>
      </c>
      <c r="F78" s="9">
        <f t="shared" si="34"/>
        <v>0.673179955877718</v>
      </c>
      <c r="G78" s="10">
        <f t="shared" si="35"/>
        <v>0.762057430241218</v>
      </c>
      <c r="H78" s="11"/>
      <c r="I78" s="19">
        <v>0.7</v>
      </c>
      <c r="J78" s="9">
        <f t="shared" si="36"/>
        <v>1.40871819569833</v>
      </c>
      <c r="K78" s="8">
        <v>0.8</v>
      </c>
      <c r="L78" s="9">
        <f t="shared" si="37"/>
        <v>1.4512028532199</v>
      </c>
      <c r="M78" s="8">
        <v>0.6</v>
      </c>
      <c r="N78" s="9">
        <f t="shared" si="45"/>
        <v>1.26045030468131</v>
      </c>
      <c r="O78" s="9">
        <f t="shared" si="38"/>
        <v>0.673179955877718</v>
      </c>
      <c r="P78" s="10">
        <f t="shared" si="39"/>
        <v>0.735538239820616</v>
      </c>
      <c r="Q78" s="1"/>
      <c r="R78" s="8">
        <v>0.2</v>
      </c>
      <c r="S78" s="9">
        <f t="shared" si="46"/>
        <v>1.6543028078596</v>
      </c>
      <c r="T78" s="9">
        <f t="shared" si="40"/>
        <v>0.673179955877718</v>
      </c>
      <c r="U78" s="10">
        <f t="shared" si="41"/>
        <v>0.981122851981879</v>
      </c>
      <c r="V78" s="8">
        <v>0.1</v>
      </c>
      <c r="W78" s="9">
        <f t="shared" si="42"/>
        <v>1.77229115966213</v>
      </c>
      <c r="X78" s="9">
        <f t="shared" si="43"/>
        <v>0.000120084688030447</v>
      </c>
      <c r="Y78" s="10">
        <f t="shared" si="44"/>
        <v>1.7721710749741</v>
      </c>
    </row>
    <row r="79" spans="1:25">
      <c r="A79" s="5">
        <v>43405</v>
      </c>
      <c r="B79" s="6">
        <v>1</v>
      </c>
      <c r="C79" s="7">
        <v>4376</v>
      </c>
      <c r="D79" s="8">
        <f t="shared" si="32"/>
        <v>0.99</v>
      </c>
      <c r="E79" s="9">
        <f t="shared" si="33"/>
        <v>1.4701776221106</v>
      </c>
      <c r="F79" s="9">
        <f t="shared" si="34"/>
        <v>0.689568231957138</v>
      </c>
      <c r="G79" s="10">
        <f t="shared" si="35"/>
        <v>0.780609390153457</v>
      </c>
      <c r="H79" s="11"/>
      <c r="I79" s="14">
        <v>0.7</v>
      </c>
      <c r="J79" s="9">
        <f t="shared" si="36"/>
        <v>1.43272444210443</v>
      </c>
      <c r="K79" s="8">
        <v>0.8</v>
      </c>
      <c r="L79" s="9">
        <f t="shared" si="37"/>
        <v>1.47946597994927</v>
      </c>
      <c r="M79" s="8">
        <v>0.6</v>
      </c>
      <c r="N79" s="9">
        <f t="shared" si="45"/>
        <v>1.27886137654744</v>
      </c>
      <c r="O79" s="9">
        <f t="shared" si="38"/>
        <v>0.689568231957138</v>
      </c>
      <c r="P79" s="10">
        <f t="shared" si="39"/>
        <v>0.743156210147291</v>
      </c>
      <c r="Q79" s="1"/>
      <c r="R79" s="8">
        <v>0.2</v>
      </c>
      <c r="S79" s="9">
        <f t="shared" si="46"/>
        <v>1.66235746572558</v>
      </c>
      <c r="T79" s="9">
        <f t="shared" si="40"/>
        <v>0.689568231957138</v>
      </c>
      <c r="U79" s="10">
        <f t="shared" si="41"/>
        <v>0.972789233768442</v>
      </c>
      <c r="V79" s="8">
        <v>0.1</v>
      </c>
      <c r="W79" s="9">
        <f t="shared" si="42"/>
        <v>1.77660572615569</v>
      </c>
      <c r="X79" s="9">
        <f t="shared" si="43"/>
        <v>0.000123008098038679</v>
      </c>
      <c r="Y79" s="10">
        <f t="shared" si="44"/>
        <v>1.77648271805765</v>
      </c>
    </row>
    <row r="80" spans="1:25">
      <c r="A80" s="5">
        <v>43435</v>
      </c>
      <c r="B80" s="6">
        <v>1</v>
      </c>
      <c r="C80" s="7">
        <v>4168</v>
      </c>
      <c r="D80" s="8">
        <f t="shared" si="32"/>
        <v>0.99</v>
      </c>
      <c r="E80" s="15">
        <f t="shared" si="33"/>
        <v>1.40099595484711</v>
      </c>
      <c r="F80" s="15">
        <f t="shared" si="34"/>
        <v>0.656791679798298</v>
      </c>
      <c r="G80" s="10">
        <f t="shared" si="35"/>
        <v>0.744204275048812</v>
      </c>
      <c r="H80" s="11"/>
      <c r="I80" s="19">
        <v>0.7</v>
      </c>
      <c r="J80" s="9">
        <f t="shared" si="36"/>
        <v>1.38505426871083</v>
      </c>
      <c r="K80" s="8">
        <v>0.8</v>
      </c>
      <c r="L80" s="15">
        <f t="shared" si="37"/>
        <v>1.42320840703712</v>
      </c>
      <c r="M80" s="8">
        <v>0.6</v>
      </c>
      <c r="N80" s="9">
        <f t="shared" si="45"/>
        <v>1.24275399976609</v>
      </c>
      <c r="O80" s="9">
        <f t="shared" si="38"/>
        <v>0.656791679798298</v>
      </c>
      <c r="P80" s="10">
        <f t="shared" si="39"/>
        <v>0.728262588912529</v>
      </c>
      <c r="Q80" s="1"/>
      <c r="R80" s="8">
        <v>0.2</v>
      </c>
      <c r="S80" s="15">
        <f t="shared" ref="S73:S104" si="47">S79*R79*C80/C79+S79*(1-R79)</f>
        <v>1.64655443314464</v>
      </c>
      <c r="T80" s="9">
        <f t="shared" si="40"/>
        <v>0.656791679798298</v>
      </c>
      <c r="U80" s="10">
        <f t="shared" si="41"/>
        <v>0.989762753346345</v>
      </c>
      <c r="V80" s="8">
        <v>0.1</v>
      </c>
      <c r="W80" s="23">
        <f t="shared" si="42"/>
        <v>1.76816116511729</v>
      </c>
      <c r="X80" s="9">
        <f t="shared" si="43"/>
        <v>0.000117271395374852</v>
      </c>
      <c r="Y80" s="10">
        <f t="shared" si="44"/>
        <v>1.76804389372191</v>
      </c>
    </row>
    <row r="81" spans="1:25">
      <c r="A81" s="5">
        <v>43466</v>
      </c>
      <c r="B81" s="6">
        <v>0</v>
      </c>
      <c r="C81" s="7">
        <v>4176</v>
      </c>
      <c r="D81" s="8">
        <f t="shared" si="32"/>
        <v>1</v>
      </c>
      <c r="E81" s="9">
        <f t="shared" si="33"/>
        <v>1.40365811606649</v>
      </c>
      <c r="F81" s="9">
        <f t="shared" si="34"/>
        <v>0.658052316419792</v>
      </c>
      <c r="G81" s="10">
        <f t="shared" si="35"/>
        <v>0.745605799646701</v>
      </c>
      <c r="H81" s="11"/>
      <c r="I81" s="14">
        <v>0.7</v>
      </c>
      <c r="J81" s="9">
        <f t="shared" si="36"/>
        <v>1.38691518615439</v>
      </c>
      <c r="K81" s="8">
        <v>0.8</v>
      </c>
      <c r="L81" s="9">
        <f t="shared" si="37"/>
        <v>1.42539375583872</v>
      </c>
      <c r="M81" s="8">
        <v>0.6</v>
      </c>
      <c r="N81" s="9">
        <f t="shared" si="45"/>
        <v>1.24417088244529</v>
      </c>
      <c r="O81" s="9">
        <f t="shared" si="38"/>
        <v>0.658052316419792</v>
      </c>
      <c r="P81" s="10">
        <f t="shared" si="39"/>
        <v>0.7288628697346</v>
      </c>
      <c r="Q81" s="1"/>
      <c r="R81" s="8">
        <v>0.2</v>
      </c>
      <c r="S81" s="9">
        <f t="shared" si="47"/>
        <v>1.64718650778309</v>
      </c>
      <c r="T81" s="9">
        <f t="shared" si="40"/>
        <v>0.658052316419792</v>
      </c>
      <c r="U81" s="10">
        <f t="shared" si="41"/>
        <v>0.989134191363294</v>
      </c>
      <c r="V81" s="8">
        <v>0.1</v>
      </c>
      <c r="W81" s="9">
        <f t="shared" si="42"/>
        <v>1.76850054345992</v>
      </c>
      <c r="X81" s="9">
        <f t="shared" si="43"/>
        <v>0.000117492247029105</v>
      </c>
      <c r="Y81" s="10">
        <f t="shared" si="44"/>
        <v>1.76838305121289</v>
      </c>
    </row>
    <row r="82" spans="1:25">
      <c r="A82" s="5">
        <v>43497</v>
      </c>
      <c r="B82" s="6">
        <v>6</v>
      </c>
      <c r="C82" s="7">
        <v>5025</v>
      </c>
      <c r="D82" s="8">
        <f t="shared" si="32"/>
        <v>0.94</v>
      </c>
      <c r="E82" s="9">
        <f t="shared" si="33"/>
        <v>1.68902826466334</v>
      </c>
      <c r="F82" s="9">
        <f t="shared" si="34"/>
        <v>0.791837377875827</v>
      </c>
      <c r="G82" s="10">
        <f t="shared" si="35"/>
        <v>0.897190886787518</v>
      </c>
      <c r="H82" s="11"/>
      <c r="I82" s="19">
        <v>0.7</v>
      </c>
      <c r="J82" s="9">
        <f t="shared" si="36"/>
        <v>1.58429154993111</v>
      </c>
      <c r="K82" s="8">
        <v>0.8</v>
      </c>
      <c r="L82" s="9">
        <f t="shared" si="37"/>
        <v>1.65722503911593</v>
      </c>
      <c r="M82" s="8">
        <v>0.6</v>
      </c>
      <c r="N82" s="9">
        <f t="shared" si="45"/>
        <v>1.3959382788815</v>
      </c>
      <c r="O82" s="9">
        <f t="shared" si="38"/>
        <v>0.791837377875827</v>
      </c>
      <c r="P82" s="10">
        <f t="shared" si="39"/>
        <v>0.792454172055279</v>
      </c>
      <c r="Q82" s="1"/>
      <c r="R82" s="20">
        <v>0.8</v>
      </c>
      <c r="S82" s="9">
        <f t="shared" si="47"/>
        <v>1.71416262584381</v>
      </c>
      <c r="T82" s="9">
        <f t="shared" si="40"/>
        <v>0.791837377875827</v>
      </c>
      <c r="U82" s="10">
        <f t="shared" si="41"/>
        <v>0.922325247967979</v>
      </c>
      <c r="V82" s="20">
        <v>0.9</v>
      </c>
      <c r="W82" s="9">
        <f t="shared" si="42"/>
        <v>1.80445497261216</v>
      </c>
      <c r="X82" s="9">
        <f t="shared" si="43"/>
        <v>0.000141378961044361</v>
      </c>
      <c r="Y82" s="10">
        <f t="shared" si="44"/>
        <v>1.80431359365112</v>
      </c>
    </row>
    <row r="83" spans="1:25">
      <c r="A83" s="5">
        <v>43525</v>
      </c>
      <c r="B83" s="7">
        <v>13</v>
      </c>
      <c r="C83" s="7">
        <v>5547</v>
      </c>
      <c r="D83" s="8">
        <f t="shared" si="32"/>
        <v>0.87</v>
      </c>
      <c r="E83" s="9">
        <f t="shared" si="33"/>
        <v>1.85395809330116</v>
      </c>
      <c r="F83" s="9">
        <f t="shared" si="34"/>
        <v>0.874093917428301</v>
      </c>
      <c r="G83" s="10">
        <f t="shared" si="35"/>
        <v>0.979864175872857</v>
      </c>
      <c r="H83" s="11"/>
      <c r="I83" s="14">
        <v>0.7</v>
      </c>
      <c r="J83" s="9">
        <f t="shared" si="36"/>
        <v>1.69949555636789</v>
      </c>
      <c r="K83" s="8">
        <v>0.8</v>
      </c>
      <c r="L83" s="9">
        <f t="shared" si="37"/>
        <v>1.79494786027709</v>
      </c>
      <c r="M83" s="8">
        <v>0.6</v>
      </c>
      <c r="N83" s="9">
        <f t="shared" si="45"/>
        <v>1.4777244275002</v>
      </c>
      <c r="O83" s="9">
        <f t="shared" si="38"/>
        <v>0.874093917428301</v>
      </c>
      <c r="P83" s="10">
        <f t="shared" si="39"/>
        <v>0.825401638939586</v>
      </c>
      <c r="Q83" s="1"/>
      <c r="R83" s="8">
        <v>0.8</v>
      </c>
      <c r="S83" s="9">
        <f t="shared" si="47"/>
        <v>1.85661721540647</v>
      </c>
      <c r="T83" s="9">
        <f t="shared" si="40"/>
        <v>0.874093917428301</v>
      </c>
      <c r="U83" s="10">
        <f t="shared" si="41"/>
        <v>0.982523297978167</v>
      </c>
      <c r="V83" s="8">
        <v>0.9</v>
      </c>
      <c r="W83" s="9">
        <f t="shared" si="42"/>
        <v>1.97315804646951</v>
      </c>
      <c r="X83" s="9">
        <f t="shared" si="43"/>
        <v>0.000154406583024402</v>
      </c>
      <c r="Y83" s="10">
        <f t="shared" si="44"/>
        <v>1.97300363988649</v>
      </c>
    </row>
    <row r="84" spans="1:25">
      <c r="A84" s="5">
        <v>43556</v>
      </c>
      <c r="B84" s="7">
        <v>16</v>
      </c>
      <c r="C84" s="7">
        <v>5307</v>
      </c>
      <c r="D84" s="8">
        <f t="shared" si="32"/>
        <v>0.84</v>
      </c>
      <c r="E84" s="9">
        <f t="shared" si="33"/>
        <v>1.78417146090864</v>
      </c>
      <c r="F84" s="9">
        <f t="shared" si="34"/>
        <v>0.836274818783486</v>
      </c>
      <c r="G84" s="10">
        <f t="shared" si="35"/>
        <v>0.947896642125157</v>
      </c>
      <c r="H84" s="11"/>
      <c r="I84" s="19">
        <v>0.7</v>
      </c>
      <c r="J84" s="9">
        <f t="shared" si="36"/>
        <v>1.64802354384404</v>
      </c>
      <c r="K84" s="8">
        <v>0.8</v>
      </c>
      <c r="L84" s="9">
        <f t="shared" si="37"/>
        <v>1.7328187834476</v>
      </c>
      <c r="M84" s="8">
        <v>0.6</v>
      </c>
      <c r="N84" s="9">
        <f t="shared" si="45"/>
        <v>1.44434975357245</v>
      </c>
      <c r="O84" s="9">
        <f t="shared" si="38"/>
        <v>0.836274818783486</v>
      </c>
      <c r="P84" s="10">
        <f t="shared" si="39"/>
        <v>0.81174872506055</v>
      </c>
      <c r="Q84" s="1"/>
      <c r="R84" s="8">
        <v>0.8</v>
      </c>
      <c r="S84" s="9">
        <f t="shared" si="47"/>
        <v>1.79235355841025</v>
      </c>
      <c r="T84" s="9">
        <f t="shared" si="40"/>
        <v>0.836274818783486</v>
      </c>
      <c r="U84" s="10">
        <f t="shared" si="41"/>
        <v>0.956078739626761</v>
      </c>
      <c r="V84" s="8">
        <v>0.9</v>
      </c>
      <c r="W84" s="9">
        <f t="shared" si="42"/>
        <v>1.89632333616892</v>
      </c>
      <c r="X84" s="9">
        <f t="shared" si="43"/>
        <v>0.000149369152556753</v>
      </c>
      <c r="Y84" s="10">
        <f t="shared" si="44"/>
        <v>1.89617396701636</v>
      </c>
    </row>
    <row r="85" spans="1:25">
      <c r="A85" s="5">
        <v>43586</v>
      </c>
      <c r="B85" s="7">
        <v>10</v>
      </c>
      <c r="C85" s="7">
        <v>4912</v>
      </c>
      <c r="D85" s="8">
        <f t="shared" si="32"/>
        <v>0.9</v>
      </c>
      <c r="E85" s="9">
        <f t="shared" si="33"/>
        <v>1.67262292299089</v>
      </c>
      <c r="F85" s="9">
        <f t="shared" si="34"/>
        <v>0.774030885597227</v>
      </c>
      <c r="G85" s="10">
        <f t="shared" si="35"/>
        <v>0.898592037393668</v>
      </c>
      <c r="H85" s="11"/>
      <c r="I85" s="14">
        <v>0.7</v>
      </c>
      <c r="J85" s="9">
        <f t="shared" si="36"/>
        <v>1.56215987135998</v>
      </c>
      <c r="K85" s="8">
        <v>0.8</v>
      </c>
      <c r="L85" s="9">
        <f t="shared" si="37"/>
        <v>1.62963982441812</v>
      </c>
      <c r="M85" s="8">
        <v>0.6</v>
      </c>
      <c r="N85" s="9">
        <f t="shared" si="45"/>
        <v>1.3901682670563</v>
      </c>
      <c r="O85" s="9">
        <f t="shared" si="38"/>
        <v>0.774030885597227</v>
      </c>
      <c r="P85" s="10">
        <f t="shared" si="39"/>
        <v>0.788128985762755</v>
      </c>
      <c r="Q85" s="1"/>
      <c r="R85" s="8">
        <v>0.8</v>
      </c>
      <c r="S85" s="9">
        <f t="shared" si="47"/>
        <v>1.68562966083014</v>
      </c>
      <c r="T85" s="9">
        <f t="shared" si="40"/>
        <v>0.774030885597227</v>
      </c>
      <c r="U85" s="10">
        <f t="shared" si="41"/>
        <v>0.911598775232911</v>
      </c>
      <c r="V85" s="8">
        <v>0.9</v>
      </c>
      <c r="W85" s="9">
        <f t="shared" si="42"/>
        <v>1.76929432806489</v>
      </c>
      <c r="X85" s="9">
        <f t="shared" si="43"/>
        <v>0.000141599753765154</v>
      </c>
      <c r="Y85" s="10">
        <f t="shared" si="44"/>
        <v>1.76915272831113</v>
      </c>
    </row>
    <row r="86" spans="1:25">
      <c r="A86" s="5">
        <v>43617</v>
      </c>
      <c r="B86" s="7">
        <v>10</v>
      </c>
      <c r="C86" s="7">
        <v>4950</v>
      </c>
      <c r="D86" s="8">
        <f t="shared" si="32"/>
        <v>0.9</v>
      </c>
      <c r="E86" s="9">
        <f t="shared" si="33"/>
        <v>1.68426862819576</v>
      </c>
      <c r="F86" s="9">
        <f t="shared" si="34"/>
        <v>0.780018909549322</v>
      </c>
      <c r="G86" s="10">
        <f t="shared" si="35"/>
        <v>0.904249718646436</v>
      </c>
      <c r="H86" s="11"/>
      <c r="I86" s="19">
        <v>0.7</v>
      </c>
      <c r="J86" s="9">
        <f t="shared" si="36"/>
        <v>1.57061945046792</v>
      </c>
      <c r="K86" s="8">
        <v>0.8</v>
      </c>
      <c r="L86" s="9">
        <f t="shared" si="37"/>
        <v>1.63972554320116</v>
      </c>
      <c r="M86" s="8">
        <v>0.6</v>
      </c>
      <c r="N86" s="9">
        <f t="shared" si="45"/>
        <v>1.39597572895369</v>
      </c>
      <c r="O86" s="9">
        <f t="shared" si="38"/>
        <v>0.780018909549322</v>
      </c>
      <c r="P86" s="10">
        <f t="shared" si="39"/>
        <v>0.790600540918593</v>
      </c>
      <c r="Q86" s="1"/>
      <c r="R86" s="8">
        <v>0.8</v>
      </c>
      <c r="S86" s="9">
        <f t="shared" si="47"/>
        <v>1.69606189651606</v>
      </c>
      <c r="T86" s="9">
        <f t="shared" si="40"/>
        <v>0.780018909549322</v>
      </c>
      <c r="U86" s="10">
        <f t="shared" si="41"/>
        <v>0.916042986966735</v>
      </c>
      <c r="V86" s="8">
        <v>0.9</v>
      </c>
      <c r="W86" s="9">
        <f t="shared" si="42"/>
        <v>1.78161311186372</v>
      </c>
      <c r="X86" s="9">
        <f t="shared" si="43"/>
        <v>0.000142491288787651</v>
      </c>
      <c r="Y86" s="10">
        <f t="shared" si="44"/>
        <v>1.78147062057493</v>
      </c>
    </row>
    <row r="87" spans="1:25">
      <c r="A87" s="5">
        <v>43647</v>
      </c>
      <c r="B87" s="7">
        <v>11</v>
      </c>
      <c r="C87" s="7">
        <v>4903</v>
      </c>
      <c r="D87" s="8">
        <f t="shared" si="32"/>
        <v>0.89</v>
      </c>
      <c r="E87" s="9">
        <f t="shared" si="33"/>
        <v>1.66987578719118</v>
      </c>
      <c r="F87" s="9">
        <f t="shared" si="34"/>
        <v>0.772612669398046</v>
      </c>
      <c r="G87" s="10">
        <f t="shared" si="35"/>
        <v>0.89726311779313</v>
      </c>
      <c r="H87" s="11"/>
      <c r="I87" s="14">
        <v>0.7</v>
      </c>
      <c r="J87" s="9">
        <f t="shared" si="36"/>
        <v>1.56018038381733</v>
      </c>
      <c r="K87" s="8">
        <v>0.8</v>
      </c>
      <c r="L87" s="9">
        <f t="shared" si="37"/>
        <v>1.62727025422654</v>
      </c>
      <c r="M87" s="8">
        <v>0.6</v>
      </c>
      <c r="N87" s="9">
        <f t="shared" si="45"/>
        <v>1.38881818067069</v>
      </c>
      <c r="O87" s="9">
        <f t="shared" si="38"/>
        <v>0.772612669398046</v>
      </c>
      <c r="P87" s="10">
        <f t="shared" si="39"/>
        <v>0.787567714419285</v>
      </c>
      <c r="Q87" s="1"/>
      <c r="R87" s="8">
        <v>0.8</v>
      </c>
      <c r="S87" s="9">
        <f t="shared" si="47"/>
        <v>1.68317867887787</v>
      </c>
      <c r="T87" s="9">
        <f t="shared" si="40"/>
        <v>0.772612669398046</v>
      </c>
      <c r="U87" s="10">
        <f t="shared" si="41"/>
        <v>0.910566009479829</v>
      </c>
      <c r="V87" s="8">
        <v>0.9</v>
      </c>
      <c r="W87" s="9">
        <f t="shared" si="42"/>
        <v>1.7663884179987</v>
      </c>
      <c r="X87" s="9">
        <f t="shared" si="43"/>
        <v>0.000141390343175722</v>
      </c>
      <c r="Y87" s="10">
        <f t="shared" si="44"/>
        <v>1.76624702765552</v>
      </c>
    </row>
    <row r="88" spans="1:25">
      <c r="A88" s="5">
        <v>43678</v>
      </c>
      <c r="B88" s="6">
        <v>8</v>
      </c>
      <c r="C88" s="7">
        <v>4886</v>
      </c>
      <c r="D88" s="8">
        <f t="shared" si="32"/>
        <v>0.92</v>
      </c>
      <c r="E88" s="9">
        <f t="shared" si="33"/>
        <v>1.66472277461516</v>
      </c>
      <c r="F88" s="9">
        <f t="shared" si="34"/>
        <v>0.769933816577372</v>
      </c>
      <c r="G88" s="10">
        <f t="shared" si="35"/>
        <v>0.89478895803779</v>
      </c>
      <c r="H88" s="11"/>
      <c r="I88" s="19">
        <v>0.7</v>
      </c>
      <c r="J88" s="9">
        <f t="shared" si="36"/>
        <v>1.55639369269609</v>
      </c>
      <c r="K88" s="8">
        <v>0.8</v>
      </c>
      <c r="L88" s="9">
        <f t="shared" si="37"/>
        <v>1.62275651254645</v>
      </c>
      <c r="M88" s="8">
        <v>0.6</v>
      </c>
      <c r="N88" s="9">
        <f t="shared" si="45"/>
        <v>1.38624675675796</v>
      </c>
      <c r="O88" s="9">
        <f t="shared" si="38"/>
        <v>0.769933816577372</v>
      </c>
      <c r="P88" s="10">
        <f t="shared" si="39"/>
        <v>0.786459876118722</v>
      </c>
      <c r="Q88" s="1"/>
      <c r="R88" s="8">
        <v>0.8</v>
      </c>
      <c r="S88" s="9">
        <f t="shared" si="47"/>
        <v>1.67850985774128</v>
      </c>
      <c r="T88" s="9">
        <f t="shared" si="40"/>
        <v>0.769933816577372</v>
      </c>
      <c r="U88" s="10">
        <f t="shared" si="41"/>
        <v>0.908576041163905</v>
      </c>
      <c r="V88" s="8">
        <v>0.9</v>
      </c>
      <c r="W88" s="9">
        <f t="shared" si="42"/>
        <v>1.76087633503003</v>
      </c>
      <c r="X88" s="9">
        <f t="shared" si="43"/>
        <v>0.000141000466126346</v>
      </c>
      <c r="Y88" s="10">
        <f t="shared" si="44"/>
        <v>1.7607353345639</v>
      </c>
    </row>
    <row r="89" spans="1:25">
      <c r="A89" s="5">
        <v>43709</v>
      </c>
      <c r="B89" s="7">
        <v>18</v>
      </c>
      <c r="C89" s="7">
        <v>4940</v>
      </c>
      <c r="D89" s="8">
        <f t="shared" si="32"/>
        <v>0.82</v>
      </c>
      <c r="E89" s="9">
        <f t="shared" si="33"/>
        <v>1.68164938686299</v>
      </c>
      <c r="F89" s="9">
        <f t="shared" si="34"/>
        <v>0.778443113772455</v>
      </c>
      <c r="G89" s="10">
        <f t="shared" si="35"/>
        <v>0.903206273090533</v>
      </c>
      <c r="H89" s="11"/>
      <c r="I89" s="14">
        <v>0.7</v>
      </c>
      <c r="J89" s="9">
        <f t="shared" si="36"/>
        <v>1.56843456080578</v>
      </c>
      <c r="K89" s="8">
        <v>0.8</v>
      </c>
      <c r="L89" s="9">
        <f t="shared" si="37"/>
        <v>1.63710425739746</v>
      </c>
      <c r="M89" s="8">
        <v>0.6</v>
      </c>
      <c r="N89" s="9">
        <f t="shared" si="45"/>
        <v>1.39470382661581</v>
      </c>
      <c r="O89" s="9">
        <f t="shared" si="38"/>
        <v>0.778443113772455</v>
      </c>
      <c r="P89" s="10">
        <f t="shared" si="39"/>
        <v>0.789991447033322</v>
      </c>
      <c r="Q89" s="1"/>
      <c r="R89" s="8">
        <v>0.8</v>
      </c>
      <c r="S89" s="9">
        <f t="shared" si="47"/>
        <v>1.69335055071189</v>
      </c>
      <c r="T89" s="9">
        <f t="shared" si="40"/>
        <v>0.778443113772455</v>
      </c>
      <c r="U89" s="10">
        <f t="shared" si="41"/>
        <v>0.914907436939436</v>
      </c>
      <c r="V89" s="8">
        <v>0.9</v>
      </c>
      <c r="W89" s="9">
        <f t="shared" si="42"/>
        <v>1.77839139640589</v>
      </c>
      <c r="X89" s="9">
        <f t="shared" si="43"/>
        <v>0.000142326863077613</v>
      </c>
      <c r="Y89" s="10">
        <f t="shared" si="44"/>
        <v>1.77824906954281</v>
      </c>
    </row>
    <row r="90" spans="1:25">
      <c r="A90" s="5">
        <v>43739</v>
      </c>
      <c r="B90" s="7">
        <v>16</v>
      </c>
      <c r="C90" s="7">
        <v>4917</v>
      </c>
      <c r="D90" s="8">
        <f t="shared" si="32"/>
        <v>0.84</v>
      </c>
      <c r="E90" s="9">
        <f t="shared" si="33"/>
        <v>1.67522916268561</v>
      </c>
      <c r="F90" s="9">
        <f t="shared" si="34"/>
        <v>0.77481878348566</v>
      </c>
      <c r="G90" s="10">
        <f t="shared" si="35"/>
        <v>0.900410379199952</v>
      </c>
      <c r="H90" s="11"/>
      <c r="I90" s="19">
        <v>0.7</v>
      </c>
      <c r="J90" s="9">
        <f t="shared" si="36"/>
        <v>1.5633228611238</v>
      </c>
      <c r="K90" s="8">
        <v>0.8</v>
      </c>
      <c r="L90" s="9">
        <f t="shared" si="37"/>
        <v>1.63100654113509</v>
      </c>
      <c r="M90" s="8">
        <v>0.6</v>
      </c>
      <c r="N90" s="9">
        <f t="shared" si="45"/>
        <v>1.39150899493524</v>
      </c>
      <c r="O90" s="9">
        <f t="shared" si="38"/>
        <v>0.77481878348566</v>
      </c>
      <c r="P90" s="10">
        <f t="shared" si="39"/>
        <v>0.788504077638138</v>
      </c>
      <c r="Q90" s="1"/>
      <c r="R90" s="8">
        <v>0.8</v>
      </c>
      <c r="S90" s="9">
        <f t="shared" si="47"/>
        <v>1.68704333408576</v>
      </c>
      <c r="T90" s="9">
        <f t="shared" si="40"/>
        <v>0.77481878348566</v>
      </c>
      <c r="U90" s="10">
        <f t="shared" si="41"/>
        <v>0.912224550600098</v>
      </c>
      <c r="V90" s="8">
        <v>0.9</v>
      </c>
      <c r="W90" s="9">
        <f t="shared" si="42"/>
        <v>1.77093943245739</v>
      </c>
      <c r="X90" s="9">
        <f t="shared" si="43"/>
        <v>0.000141886287299078</v>
      </c>
      <c r="Y90" s="10">
        <f t="shared" si="44"/>
        <v>1.77079754617009</v>
      </c>
    </row>
    <row r="91" spans="1:25">
      <c r="A91" s="5">
        <v>43770</v>
      </c>
      <c r="B91" s="7">
        <v>11</v>
      </c>
      <c r="C91" s="7">
        <v>4894</v>
      </c>
      <c r="D91" s="8">
        <f t="shared" si="32"/>
        <v>0.89</v>
      </c>
      <c r="E91" s="9">
        <f t="shared" si="33"/>
        <v>1.66864681014888</v>
      </c>
      <c r="F91" s="9">
        <f t="shared" si="34"/>
        <v>0.771194453198865</v>
      </c>
      <c r="G91" s="10">
        <f t="shared" si="35"/>
        <v>0.897452356950019</v>
      </c>
      <c r="H91" s="11"/>
      <c r="I91" s="14">
        <v>0.7</v>
      </c>
      <c r="J91" s="9">
        <f t="shared" si="36"/>
        <v>1.55820398822079</v>
      </c>
      <c r="K91" s="8">
        <v>0.8</v>
      </c>
      <c r="L91" s="9">
        <f t="shared" si="37"/>
        <v>1.62490312027747</v>
      </c>
      <c r="M91" s="8">
        <v>0.6</v>
      </c>
      <c r="N91" s="9">
        <f t="shared" si="45"/>
        <v>1.38822846366225</v>
      </c>
      <c r="O91" s="9">
        <f t="shared" si="38"/>
        <v>0.771194453198865</v>
      </c>
      <c r="P91" s="10">
        <f t="shared" si="39"/>
        <v>0.787009535021924</v>
      </c>
      <c r="Q91" s="1"/>
      <c r="R91" s="8">
        <v>0.8</v>
      </c>
      <c r="S91" s="9">
        <f t="shared" si="47"/>
        <v>1.68073021687055</v>
      </c>
      <c r="T91" s="9">
        <f t="shared" si="40"/>
        <v>0.771194453198865</v>
      </c>
      <c r="U91" s="10">
        <f t="shared" si="41"/>
        <v>0.909535763671685</v>
      </c>
      <c r="V91" s="8">
        <v>0.9</v>
      </c>
      <c r="W91" s="9">
        <f t="shared" si="42"/>
        <v>1.76348398274174</v>
      </c>
      <c r="X91" s="9">
        <f t="shared" si="43"/>
        <v>0.000141420163402146</v>
      </c>
      <c r="Y91" s="10">
        <f t="shared" si="44"/>
        <v>1.76334256257833</v>
      </c>
    </row>
    <row r="92" spans="1:25">
      <c r="A92" s="5">
        <v>43800</v>
      </c>
      <c r="B92" s="7">
        <v>16</v>
      </c>
      <c r="C92" s="7">
        <v>5241</v>
      </c>
      <c r="D92" s="8">
        <f t="shared" si="32"/>
        <v>0.84</v>
      </c>
      <c r="E92" s="15">
        <f t="shared" si="33"/>
        <v>1.77394476568184</v>
      </c>
      <c r="F92" s="15">
        <f t="shared" si="34"/>
        <v>0.825874566656161</v>
      </c>
      <c r="G92" s="10">
        <f t="shared" si="35"/>
        <v>0.948070199025678</v>
      </c>
      <c r="H92" s="11"/>
      <c r="I92" s="19">
        <v>0.7</v>
      </c>
      <c r="J92" s="9">
        <f t="shared" si="36"/>
        <v>1.63554108440772</v>
      </c>
      <c r="K92" s="8">
        <v>0.8</v>
      </c>
      <c r="L92" s="15">
        <f t="shared" si="37"/>
        <v>1.71707171573906</v>
      </c>
      <c r="M92" s="8">
        <v>0.6</v>
      </c>
      <c r="N92" s="9">
        <f t="shared" si="45"/>
        <v>1.44078995893395</v>
      </c>
      <c r="O92" s="9">
        <f t="shared" si="38"/>
        <v>0.825874566656161</v>
      </c>
      <c r="P92" s="10">
        <f t="shared" si="39"/>
        <v>0.809666517751557</v>
      </c>
      <c r="Q92" s="1"/>
      <c r="R92" s="8">
        <v>0.8</v>
      </c>
      <c r="S92" s="15">
        <f t="shared" si="47"/>
        <v>1.77606546578826</v>
      </c>
      <c r="T92" s="9">
        <f t="shared" si="40"/>
        <v>0.825874566656161</v>
      </c>
      <c r="U92" s="10">
        <f t="shared" si="41"/>
        <v>0.950190899132097</v>
      </c>
      <c r="V92" s="8">
        <v>0.9</v>
      </c>
      <c r="W92" s="23">
        <f t="shared" si="42"/>
        <v>1.87601688993631</v>
      </c>
      <c r="X92" s="9">
        <f t="shared" si="43"/>
        <v>0.000149396501579842</v>
      </c>
      <c r="Y92" s="10">
        <f t="shared" si="44"/>
        <v>1.87586749343473</v>
      </c>
    </row>
    <row r="93" spans="1:25">
      <c r="A93" s="5">
        <v>43831</v>
      </c>
      <c r="B93" s="7">
        <v>25</v>
      </c>
      <c r="C93" s="7">
        <v>5377</v>
      </c>
      <c r="D93" s="8">
        <f t="shared" si="32"/>
        <v>0.75</v>
      </c>
      <c r="E93" s="9">
        <f t="shared" si="33"/>
        <v>1.81261209062584</v>
      </c>
      <c r="F93" s="9">
        <f t="shared" si="34"/>
        <v>0.847305389221557</v>
      </c>
      <c r="G93" s="10">
        <f t="shared" si="35"/>
        <v>0.965306701404281</v>
      </c>
      <c r="H93" s="11"/>
      <c r="I93" s="14">
        <v>0.7</v>
      </c>
      <c r="J93" s="9">
        <f t="shared" si="36"/>
        <v>1.66524982534182</v>
      </c>
      <c r="K93" s="8">
        <v>0.8</v>
      </c>
      <c r="L93" s="9">
        <f t="shared" si="37"/>
        <v>1.75271708926938</v>
      </c>
      <c r="M93" s="8">
        <v>0.6</v>
      </c>
      <c r="N93" s="9">
        <f t="shared" si="45"/>
        <v>1.4596332153631</v>
      </c>
      <c r="O93" s="9">
        <f t="shared" si="38"/>
        <v>0.847305389221557</v>
      </c>
      <c r="P93" s="10">
        <f t="shared" si="39"/>
        <v>0.817944436120261</v>
      </c>
      <c r="Q93" s="1"/>
      <c r="R93" s="8">
        <v>0.8</v>
      </c>
      <c r="S93" s="9">
        <f t="shared" si="47"/>
        <v>1.812935514</v>
      </c>
      <c r="T93" s="9">
        <f t="shared" si="40"/>
        <v>0.847305389221557</v>
      </c>
      <c r="U93" s="10">
        <f t="shared" si="41"/>
        <v>0.965630124778448</v>
      </c>
      <c r="V93" s="8">
        <v>0.9</v>
      </c>
      <c r="W93" s="9">
        <f t="shared" si="42"/>
        <v>1.91982999188788</v>
      </c>
      <c r="X93" s="9">
        <f t="shared" si="43"/>
        <v>0.000152112622345459</v>
      </c>
      <c r="Y93" s="10">
        <f t="shared" si="44"/>
        <v>1.91967787926554</v>
      </c>
    </row>
    <row r="94" spans="1:25">
      <c r="A94" s="5">
        <v>43862</v>
      </c>
      <c r="B94" s="7">
        <v>25</v>
      </c>
      <c r="C94" s="7">
        <v>5451</v>
      </c>
      <c r="D94" s="8">
        <f t="shared" si="32"/>
        <v>0.75</v>
      </c>
      <c r="E94" s="9">
        <f t="shared" si="33"/>
        <v>1.83132140270129</v>
      </c>
      <c r="F94" s="9">
        <f t="shared" si="34"/>
        <v>0.858966277970375</v>
      </c>
      <c r="G94" s="10">
        <f t="shared" si="35"/>
        <v>0.97235512473092</v>
      </c>
      <c r="H94" s="11"/>
      <c r="I94" s="19">
        <v>0.7</v>
      </c>
      <c r="J94" s="9">
        <f t="shared" si="36"/>
        <v>1.68129221718722</v>
      </c>
      <c r="K94" s="8">
        <v>0.8</v>
      </c>
      <c r="L94" s="9">
        <f t="shared" si="37"/>
        <v>1.77201425342872</v>
      </c>
      <c r="M94" s="8">
        <v>0.6</v>
      </c>
      <c r="N94" s="9">
        <f t="shared" si="45"/>
        <v>1.46867278874446</v>
      </c>
      <c r="O94" s="9">
        <f t="shared" si="38"/>
        <v>0.858966277970375</v>
      </c>
      <c r="P94" s="10">
        <f t="shared" si="39"/>
        <v>0.822325939216841</v>
      </c>
      <c r="Q94" s="1"/>
      <c r="R94" s="8">
        <v>0.8</v>
      </c>
      <c r="S94" s="9">
        <f t="shared" si="47"/>
        <v>1.83289567439219</v>
      </c>
      <c r="T94" s="9">
        <f t="shared" si="40"/>
        <v>0.858966277970375</v>
      </c>
      <c r="U94" s="10">
        <f t="shared" si="41"/>
        <v>0.973929396421819</v>
      </c>
      <c r="V94" s="8">
        <v>0.9</v>
      </c>
      <c r="W94" s="9">
        <f t="shared" si="42"/>
        <v>1.94360917683483</v>
      </c>
      <c r="X94" s="9">
        <f t="shared" si="43"/>
        <v>0.000153223309916628</v>
      </c>
      <c r="Y94" s="10">
        <f t="shared" si="44"/>
        <v>1.94345595352491</v>
      </c>
    </row>
    <row r="95" spans="1:25">
      <c r="A95" s="5">
        <v>43891</v>
      </c>
      <c r="B95" s="7">
        <v>21</v>
      </c>
      <c r="C95" s="7">
        <v>5041</v>
      </c>
      <c r="D95" s="8">
        <f t="shared" si="32"/>
        <v>0.79</v>
      </c>
      <c r="E95" s="9">
        <f t="shared" si="33"/>
        <v>1.72801350849277</v>
      </c>
      <c r="F95" s="9">
        <f t="shared" si="34"/>
        <v>0.794358651118815</v>
      </c>
      <c r="G95" s="10">
        <f t="shared" si="35"/>
        <v>0.933654857373959</v>
      </c>
      <c r="H95" s="11"/>
      <c r="I95" s="14">
        <v>0.7</v>
      </c>
      <c r="J95" s="9">
        <f t="shared" si="36"/>
        <v>1.59277068603096</v>
      </c>
      <c r="K95" s="8">
        <v>0.8</v>
      </c>
      <c r="L95" s="9">
        <f t="shared" si="37"/>
        <v>1.66538782247575</v>
      </c>
      <c r="M95" s="8">
        <v>0.6</v>
      </c>
      <c r="N95" s="9">
        <f t="shared" si="45"/>
        <v>1.41896262005553</v>
      </c>
      <c r="O95" s="9">
        <f t="shared" si="38"/>
        <v>0.794358651118815</v>
      </c>
      <c r="P95" s="10">
        <f t="shared" si="39"/>
        <v>0.798412034912149</v>
      </c>
      <c r="Q95" s="1"/>
      <c r="R95" s="8">
        <v>0.8</v>
      </c>
      <c r="S95" s="9">
        <f t="shared" si="47"/>
        <v>1.72260585945904</v>
      </c>
      <c r="T95" s="9">
        <f t="shared" si="40"/>
        <v>0.794358651118815</v>
      </c>
      <c r="U95" s="10">
        <f t="shared" si="41"/>
        <v>0.928247208340222</v>
      </c>
      <c r="V95" s="8">
        <v>0.9</v>
      </c>
      <c r="W95" s="9">
        <f t="shared" si="42"/>
        <v>1.81203849507881</v>
      </c>
      <c r="X95" s="9">
        <f t="shared" si="43"/>
        <v>0.000147124938130154</v>
      </c>
      <c r="Y95" s="10">
        <f t="shared" si="44"/>
        <v>1.81189137014068</v>
      </c>
    </row>
    <row r="96" spans="1:25">
      <c r="A96" s="5">
        <v>43922</v>
      </c>
      <c r="B96" s="7">
        <v>18</v>
      </c>
      <c r="C96" s="7">
        <v>5353</v>
      </c>
      <c r="D96" s="8">
        <f t="shared" si="32"/>
        <v>0.82</v>
      </c>
      <c r="E96" s="9">
        <f t="shared" si="33"/>
        <v>1.81250483354203</v>
      </c>
      <c r="F96" s="9">
        <f t="shared" si="34"/>
        <v>0.843523479357075</v>
      </c>
      <c r="G96" s="10">
        <f t="shared" si="35"/>
        <v>0.968981354184954</v>
      </c>
      <c r="H96" s="11"/>
      <c r="I96" s="19">
        <v>0.7</v>
      </c>
      <c r="J96" s="9">
        <f t="shared" si="36"/>
        <v>1.66177705735196</v>
      </c>
      <c r="K96" s="8">
        <v>0.8</v>
      </c>
      <c r="L96" s="9">
        <f t="shared" si="37"/>
        <v>1.74784781067055</v>
      </c>
      <c r="M96" s="8">
        <v>0.6</v>
      </c>
      <c r="N96" s="9">
        <f t="shared" si="45"/>
        <v>1.46059077795174</v>
      </c>
      <c r="O96" s="9">
        <f t="shared" si="38"/>
        <v>0.843523479357075</v>
      </c>
      <c r="P96" s="10">
        <f t="shared" si="39"/>
        <v>0.818253577994889</v>
      </c>
      <c r="Q96" s="1"/>
      <c r="R96" s="8">
        <v>0.8</v>
      </c>
      <c r="S96" s="9">
        <f t="shared" si="47"/>
        <v>1.80789894069708</v>
      </c>
      <c r="T96" s="9">
        <f t="shared" si="40"/>
        <v>0.843523479357075</v>
      </c>
      <c r="U96" s="10">
        <f t="shared" si="41"/>
        <v>0.964375461340004</v>
      </c>
      <c r="V96" s="8">
        <v>0.9</v>
      </c>
      <c r="W96" s="9">
        <f t="shared" si="42"/>
        <v>1.91297489845476</v>
      </c>
      <c r="X96" s="9">
        <f t="shared" si="43"/>
        <v>0.000152691672578783</v>
      </c>
      <c r="Y96" s="10">
        <f t="shared" si="44"/>
        <v>1.91282220678218</v>
      </c>
    </row>
    <row r="97" spans="1:25">
      <c r="A97" s="5">
        <v>43952</v>
      </c>
      <c r="B97" s="7">
        <v>28</v>
      </c>
      <c r="C97" s="7">
        <v>5406</v>
      </c>
      <c r="D97" s="8">
        <f t="shared" si="32"/>
        <v>0.72</v>
      </c>
      <c r="E97" s="9">
        <f t="shared" si="33"/>
        <v>1.8272202193193</v>
      </c>
      <c r="F97" s="9">
        <f t="shared" si="34"/>
        <v>0.851875196974472</v>
      </c>
      <c r="G97" s="10">
        <f t="shared" si="35"/>
        <v>0.97534502234483</v>
      </c>
      <c r="H97" s="11"/>
      <c r="I97" s="14">
        <v>0.7</v>
      </c>
      <c r="J97" s="9">
        <f t="shared" si="36"/>
        <v>1.67329432408609</v>
      </c>
      <c r="K97" s="8">
        <v>0.8</v>
      </c>
      <c r="L97" s="9">
        <f t="shared" si="37"/>
        <v>1.76169214976497</v>
      </c>
      <c r="M97" s="8">
        <v>0.6</v>
      </c>
      <c r="N97" s="9">
        <f t="shared" si="45"/>
        <v>1.46770573500869</v>
      </c>
      <c r="O97" s="9">
        <f t="shared" si="38"/>
        <v>0.851875196974472</v>
      </c>
      <c r="P97" s="10">
        <f t="shared" si="39"/>
        <v>0.821419127111615</v>
      </c>
      <c r="Q97" s="1"/>
      <c r="R97" s="8">
        <v>0.8</v>
      </c>
      <c r="S97" s="9">
        <f t="shared" si="47"/>
        <v>1.82221893230656</v>
      </c>
      <c r="T97" s="9">
        <f t="shared" si="40"/>
        <v>0.851875196974472</v>
      </c>
      <c r="U97" s="10">
        <f t="shared" si="41"/>
        <v>0.970343735332089</v>
      </c>
      <c r="V97" s="8">
        <v>0.9</v>
      </c>
      <c r="W97" s="9">
        <f t="shared" si="42"/>
        <v>1.93002120943109</v>
      </c>
      <c r="X97" s="9">
        <f t="shared" si="43"/>
        <v>0.000153694456719954</v>
      </c>
      <c r="Y97" s="10">
        <f t="shared" si="44"/>
        <v>1.92986751497437</v>
      </c>
    </row>
    <row r="98" spans="1:25">
      <c r="A98" s="5">
        <v>43983</v>
      </c>
      <c r="B98" s="7">
        <v>33</v>
      </c>
      <c r="C98" s="7">
        <v>5864</v>
      </c>
      <c r="D98" s="8">
        <f t="shared" si="32"/>
        <v>0.67</v>
      </c>
      <c r="E98" s="9">
        <f t="shared" si="33"/>
        <v>1.93867862470641</v>
      </c>
      <c r="F98" s="9">
        <f t="shared" si="34"/>
        <v>0.924046643554995</v>
      </c>
      <c r="G98" s="10">
        <f t="shared" si="35"/>
        <v>1.01463198115142</v>
      </c>
      <c r="H98" s="11"/>
      <c r="I98" s="19">
        <v>0.7</v>
      </c>
      <c r="J98" s="9">
        <f t="shared" si="36"/>
        <v>1.77252816801912</v>
      </c>
      <c r="K98" s="8">
        <v>0.8</v>
      </c>
      <c r="L98" s="9">
        <f t="shared" si="37"/>
        <v>1.88109355628992</v>
      </c>
      <c r="M98" s="8">
        <v>0.6</v>
      </c>
      <c r="N98" s="9">
        <f t="shared" si="45"/>
        <v>1.5214227875255</v>
      </c>
      <c r="O98" s="9">
        <f t="shared" si="38"/>
        <v>0.924046643554995</v>
      </c>
      <c r="P98" s="10">
        <f t="shared" si="39"/>
        <v>0.848481524464129</v>
      </c>
      <c r="Q98" s="1"/>
      <c r="R98" s="8">
        <v>0.8</v>
      </c>
      <c r="S98" s="9">
        <f t="shared" si="47"/>
        <v>1.94572263500673</v>
      </c>
      <c r="T98" s="9">
        <f t="shared" si="40"/>
        <v>0.924046643554995</v>
      </c>
      <c r="U98" s="10">
        <f t="shared" si="41"/>
        <v>1.02167599145174</v>
      </c>
      <c r="V98" s="8">
        <v>0.9</v>
      </c>
      <c r="W98" s="9">
        <f t="shared" si="42"/>
        <v>2.07718264904032</v>
      </c>
      <c r="X98" s="9">
        <f t="shared" si="43"/>
        <v>0.000159885279097293</v>
      </c>
      <c r="Y98" s="10">
        <f t="shared" si="44"/>
        <v>2.07702276376122</v>
      </c>
    </row>
    <row r="99" spans="1:25">
      <c r="A99" s="5">
        <v>44013</v>
      </c>
      <c r="B99" s="7">
        <v>41</v>
      </c>
      <c r="C99" s="7">
        <v>6579</v>
      </c>
      <c r="D99" s="8">
        <f t="shared" si="32"/>
        <v>0.59</v>
      </c>
      <c r="E99" s="9">
        <f t="shared" si="33"/>
        <v>2.09705584079878</v>
      </c>
      <c r="F99" s="9">
        <f t="shared" si="34"/>
        <v>1.03671604160101</v>
      </c>
      <c r="G99" s="10">
        <f t="shared" si="35"/>
        <v>1.06033979919777</v>
      </c>
      <c r="H99" s="11"/>
      <c r="I99" s="14">
        <v>0.7</v>
      </c>
      <c r="J99" s="9">
        <f t="shared" si="36"/>
        <v>1.92381574443344</v>
      </c>
      <c r="K99" s="8">
        <v>0.8</v>
      </c>
      <c r="L99" s="9">
        <f t="shared" si="37"/>
        <v>2.06458358258559</v>
      </c>
      <c r="M99" s="8">
        <v>0.6</v>
      </c>
      <c r="N99" s="9">
        <f t="shared" si="45"/>
        <v>1.59599689254229</v>
      </c>
      <c r="O99" s="9">
        <f t="shared" si="38"/>
        <v>1.03671604160101</v>
      </c>
      <c r="P99" s="10">
        <f t="shared" si="39"/>
        <v>0.887099702832435</v>
      </c>
      <c r="Q99" s="1"/>
      <c r="R99" s="8">
        <v>0.8</v>
      </c>
      <c r="S99" s="9">
        <f t="shared" si="47"/>
        <v>2.13551686202308</v>
      </c>
      <c r="T99" s="9">
        <f t="shared" si="40"/>
        <v>1.03671604160101</v>
      </c>
      <c r="U99" s="10">
        <f t="shared" si="41"/>
        <v>1.09880082042207</v>
      </c>
      <c r="V99" s="8">
        <v>0.9</v>
      </c>
      <c r="W99" s="9">
        <f t="shared" si="42"/>
        <v>2.30512723203101</v>
      </c>
      <c r="X99" s="9">
        <f t="shared" si="43"/>
        <v>0.000167087897762018</v>
      </c>
      <c r="Y99" s="10">
        <f t="shared" si="44"/>
        <v>2.30496014413325</v>
      </c>
    </row>
    <row r="100" spans="1:25">
      <c r="A100" s="5">
        <v>44044</v>
      </c>
      <c r="B100" s="7">
        <v>45</v>
      </c>
      <c r="C100" s="7">
        <v>6668</v>
      </c>
      <c r="D100" s="8">
        <f t="shared" si="32"/>
        <v>0.55</v>
      </c>
      <c r="E100" s="9">
        <f t="shared" si="33"/>
        <v>2.11379340003275</v>
      </c>
      <c r="F100" s="9">
        <f t="shared" si="34"/>
        <v>1.05074062401513</v>
      </c>
      <c r="G100" s="10">
        <f t="shared" si="35"/>
        <v>1.06305277601763</v>
      </c>
      <c r="H100" s="11"/>
      <c r="I100" s="19">
        <v>0.7</v>
      </c>
      <c r="J100" s="9">
        <f t="shared" si="36"/>
        <v>1.94203336426597</v>
      </c>
      <c r="K100" s="8">
        <v>0.8</v>
      </c>
      <c r="L100" s="9">
        <f t="shared" si="37"/>
        <v>2.0869271532012</v>
      </c>
      <c r="M100" s="8">
        <v>0.6</v>
      </c>
      <c r="N100" s="9">
        <f t="shared" si="45"/>
        <v>1.60363992006873</v>
      </c>
      <c r="O100" s="9">
        <f t="shared" si="38"/>
        <v>1.05074062401513</v>
      </c>
      <c r="P100" s="10">
        <f t="shared" si="39"/>
        <v>0.891292740250845</v>
      </c>
      <c r="Q100" s="1"/>
      <c r="R100" s="8">
        <v>0.8</v>
      </c>
      <c r="S100" s="9">
        <f t="shared" si="47"/>
        <v>2.15862809482077</v>
      </c>
      <c r="T100" s="9">
        <f t="shared" si="40"/>
        <v>1.05074062401513</v>
      </c>
      <c r="U100" s="10">
        <f t="shared" si="41"/>
        <v>1.10788747080565</v>
      </c>
      <c r="V100" s="8">
        <v>0.9</v>
      </c>
      <c r="W100" s="9">
        <f t="shared" si="42"/>
        <v>2.33319239258515</v>
      </c>
      <c r="X100" s="9">
        <f t="shared" si="43"/>
        <v>0.000167515407503566</v>
      </c>
      <c r="Y100" s="10">
        <f t="shared" si="44"/>
        <v>2.33302487717765</v>
      </c>
    </row>
    <row r="101" spans="1:25">
      <c r="A101" s="5">
        <v>44075</v>
      </c>
      <c r="B101" s="7">
        <v>43</v>
      </c>
      <c r="C101" s="7">
        <v>6192</v>
      </c>
      <c r="D101" s="8">
        <f t="shared" si="32"/>
        <v>0.57</v>
      </c>
      <c r="E101" s="9">
        <f t="shared" si="33"/>
        <v>2.03080133162715</v>
      </c>
      <c r="F101" s="9">
        <f t="shared" si="34"/>
        <v>0.975732745036243</v>
      </c>
      <c r="G101" s="10">
        <f t="shared" si="35"/>
        <v>1.05506858659091</v>
      </c>
      <c r="H101" s="11"/>
      <c r="I101" s="14">
        <v>0.7</v>
      </c>
      <c r="J101" s="9">
        <f t="shared" si="36"/>
        <v>1.84498994540373</v>
      </c>
      <c r="K101" s="8">
        <v>0.8</v>
      </c>
      <c r="L101" s="9">
        <f t="shared" si="37"/>
        <v>1.96774571049889</v>
      </c>
      <c r="M101" s="8">
        <v>0.6</v>
      </c>
      <c r="N101" s="9">
        <f t="shared" si="45"/>
        <v>1.56586251175374</v>
      </c>
      <c r="O101" s="9">
        <f t="shared" si="38"/>
        <v>0.975732745036243</v>
      </c>
      <c r="P101" s="10">
        <f t="shared" si="39"/>
        <v>0.869257200367488</v>
      </c>
      <c r="Q101" s="1"/>
      <c r="R101" s="8">
        <v>0.8</v>
      </c>
      <c r="S101" s="9">
        <f t="shared" si="47"/>
        <v>2.03535191328092</v>
      </c>
      <c r="T101" s="9">
        <f t="shared" si="40"/>
        <v>0.975732745036243</v>
      </c>
      <c r="U101" s="10">
        <f t="shared" si="41"/>
        <v>1.05961916824468</v>
      </c>
      <c r="V101" s="8">
        <v>0.9</v>
      </c>
      <c r="W101" s="9">
        <f t="shared" si="42"/>
        <v>2.18329142963022</v>
      </c>
      <c r="X101" s="9">
        <f t="shared" si="43"/>
        <v>0.000166257262305532</v>
      </c>
      <c r="Y101" s="10">
        <f t="shared" si="44"/>
        <v>2.18312517236792</v>
      </c>
    </row>
    <row r="102" spans="1:25">
      <c r="A102" s="5">
        <v>44105</v>
      </c>
      <c r="B102" s="7">
        <v>41</v>
      </c>
      <c r="C102" s="7">
        <v>6111</v>
      </c>
      <c r="D102" s="8">
        <f t="shared" si="32"/>
        <v>0.59</v>
      </c>
      <c r="E102" s="9">
        <f t="shared" si="33"/>
        <v>2.01565887402359</v>
      </c>
      <c r="F102" s="9">
        <f t="shared" si="34"/>
        <v>0.962968799243618</v>
      </c>
      <c r="G102" s="10">
        <f t="shared" si="35"/>
        <v>1.05269007477997</v>
      </c>
      <c r="H102" s="11"/>
      <c r="I102" s="19">
        <v>0.7</v>
      </c>
      <c r="J102" s="9">
        <f t="shared" si="36"/>
        <v>1.82809541538041</v>
      </c>
      <c r="K102" s="8">
        <v>0.8</v>
      </c>
      <c r="L102" s="9">
        <f t="shared" si="37"/>
        <v>1.94715302283088</v>
      </c>
      <c r="M102" s="8">
        <v>0.6</v>
      </c>
      <c r="N102" s="9">
        <f t="shared" si="45"/>
        <v>1.558857097784</v>
      </c>
      <c r="O102" s="9">
        <f t="shared" si="38"/>
        <v>0.962968799243618</v>
      </c>
      <c r="P102" s="10">
        <f t="shared" si="39"/>
        <v>0.865126616136795</v>
      </c>
      <c r="Q102" s="1"/>
      <c r="R102" s="8">
        <v>0.8</v>
      </c>
      <c r="S102" s="9">
        <f t="shared" si="47"/>
        <v>2.01405171883961</v>
      </c>
      <c r="T102" s="9">
        <f t="shared" si="40"/>
        <v>0.962968799243618</v>
      </c>
      <c r="U102" s="10">
        <f t="shared" si="41"/>
        <v>1.05108291959599</v>
      </c>
      <c r="V102" s="8">
        <v>0.9</v>
      </c>
      <c r="W102" s="9">
        <f t="shared" si="42"/>
        <v>2.15758698111277</v>
      </c>
      <c r="X102" s="9">
        <f t="shared" si="43"/>
        <v>0.000165882457418842</v>
      </c>
      <c r="Y102" s="10">
        <f t="shared" si="44"/>
        <v>2.15742109865535</v>
      </c>
    </row>
    <row r="103" spans="1:25">
      <c r="A103" s="5">
        <v>44136</v>
      </c>
      <c r="B103" s="7">
        <v>40</v>
      </c>
      <c r="C103" s="7">
        <v>6320</v>
      </c>
      <c r="D103" s="8">
        <f t="shared" si="32"/>
        <v>0.6</v>
      </c>
      <c r="E103" s="9">
        <f t="shared" si="33"/>
        <v>2.05633157828735</v>
      </c>
      <c r="F103" s="9">
        <f t="shared" si="34"/>
        <v>0.995902930980145</v>
      </c>
      <c r="G103" s="10">
        <f t="shared" si="35"/>
        <v>1.06042864730721</v>
      </c>
      <c r="H103" s="11"/>
      <c r="I103" s="14">
        <v>0.7</v>
      </c>
      <c r="J103" s="9">
        <f t="shared" si="36"/>
        <v>1.87186081535916</v>
      </c>
      <c r="K103" s="8">
        <v>0.8</v>
      </c>
      <c r="L103" s="9">
        <f t="shared" si="37"/>
        <v>2.00042809817326</v>
      </c>
      <c r="M103" s="8">
        <v>0.6</v>
      </c>
      <c r="N103" s="9">
        <f t="shared" si="45"/>
        <v>1.57773021204298</v>
      </c>
      <c r="O103" s="9">
        <f t="shared" si="38"/>
        <v>0.995902930980145</v>
      </c>
      <c r="P103" s="10">
        <f t="shared" si="39"/>
        <v>0.87595788437902</v>
      </c>
      <c r="Q103" s="1"/>
      <c r="R103" s="8">
        <v>0.8</v>
      </c>
      <c r="S103" s="9">
        <f t="shared" si="47"/>
        <v>2.06915717578446</v>
      </c>
      <c r="T103" s="9">
        <f t="shared" si="40"/>
        <v>0.995902930980145</v>
      </c>
      <c r="U103" s="10">
        <f t="shared" si="41"/>
        <v>1.07325424480431</v>
      </c>
      <c r="V103" s="8">
        <v>0.9</v>
      </c>
      <c r="W103" s="9">
        <f t="shared" si="42"/>
        <v>2.22399871587751</v>
      </c>
      <c r="X103" s="9">
        <f t="shared" si="43"/>
        <v>0.000167101898409582</v>
      </c>
      <c r="Y103" s="10">
        <f t="shared" si="44"/>
        <v>2.2238316139791</v>
      </c>
    </row>
    <row r="104" spans="1:25">
      <c r="A104" s="5">
        <v>44166</v>
      </c>
      <c r="B104" s="7">
        <v>38</v>
      </c>
      <c r="C104" s="7">
        <v>6269</v>
      </c>
      <c r="D104" s="8">
        <f t="shared" ref="D104:D130" si="48">(100-B104)/100</f>
        <v>0.62</v>
      </c>
      <c r="E104" s="15">
        <f t="shared" si="33"/>
        <v>2.04637528931653</v>
      </c>
      <c r="F104" s="15">
        <f t="shared" si="34"/>
        <v>0.987866372518122</v>
      </c>
      <c r="G104" s="10">
        <f t="shared" si="35"/>
        <v>1.05850891679841</v>
      </c>
      <c r="H104" s="11"/>
      <c r="I104" s="19">
        <v>0.7</v>
      </c>
      <c r="J104" s="9">
        <f t="shared" si="36"/>
        <v>1.86128717119646</v>
      </c>
      <c r="K104" s="8">
        <v>0.8</v>
      </c>
      <c r="L104" s="15">
        <f t="shared" si="37"/>
        <v>1.98751394209645</v>
      </c>
      <c r="M104" s="8">
        <v>0.6</v>
      </c>
      <c r="N104" s="9">
        <f t="shared" si="45"/>
        <v>1.57314680592066</v>
      </c>
      <c r="O104" s="9">
        <f t="shared" si="38"/>
        <v>0.987866372518122</v>
      </c>
      <c r="P104" s="10">
        <f t="shared" si="39"/>
        <v>0.873420798678334</v>
      </c>
      <c r="Q104" s="1"/>
      <c r="R104" s="8">
        <v>0.8</v>
      </c>
      <c r="S104" s="15">
        <f t="shared" si="47"/>
        <v>2.05579932566231</v>
      </c>
      <c r="T104" s="9">
        <f t="shared" si="40"/>
        <v>0.987866372518122</v>
      </c>
      <c r="U104" s="10">
        <f t="shared" si="41"/>
        <v>1.06793295314418</v>
      </c>
      <c r="V104" s="8">
        <v>0.9</v>
      </c>
      <c r="W104" s="23">
        <f t="shared" si="42"/>
        <v>2.20784657330492</v>
      </c>
      <c r="X104" s="9">
        <f t="shared" si="43"/>
        <v>0.000166799388086733</v>
      </c>
      <c r="Y104" s="10">
        <f t="shared" si="44"/>
        <v>2.20767977391683</v>
      </c>
    </row>
    <row r="105" spans="1:25">
      <c r="A105" s="5">
        <v>44197</v>
      </c>
      <c r="B105" s="7">
        <v>43</v>
      </c>
      <c r="C105" s="7">
        <v>6346</v>
      </c>
      <c r="D105" s="8">
        <f t="shared" si="48"/>
        <v>0.57</v>
      </c>
      <c r="E105" s="9">
        <f t="shared" ref="E105:E130" si="49">E104*D104*C105/C104+E104*(1-D104)</f>
        <v>2.06195894800404</v>
      </c>
      <c r="F105" s="9">
        <f t="shared" ref="F105:F130" si="50">C105/$C$105</f>
        <v>1</v>
      </c>
      <c r="G105" s="10">
        <f t="shared" ref="G105:G130" si="51">E105-F105</f>
        <v>1.06195894800404</v>
      </c>
      <c r="H105" s="11"/>
      <c r="I105" s="14">
        <v>0.7</v>
      </c>
      <c r="J105" s="9">
        <f t="shared" ref="J105:J130" si="52">J104*I104*C105/C104+J104*(1-I104)</f>
        <v>1.87729026236371</v>
      </c>
      <c r="K105" s="8">
        <v>0.8</v>
      </c>
      <c r="L105" s="9">
        <f t="shared" ref="L105:L130" si="53">L104*K104*C105/C104+L104*(1-K104)</f>
        <v>2.00704350962446</v>
      </c>
      <c r="M105" s="8">
        <v>0.6</v>
      </c>
      <c r="N105" s="9">
        <f t="shared" si="45"/>
        <v>1.58033474931016</v>
      </c>
      <c r="O105" s="9">
        <f t="shared" ref="O105:O130" si="54">C105/$C$105</f>
        <v>1</v>
      </c>
      <c r="P105" s="10">
        <f t="shared" ref="P105:P130" si="55">J105-O105</f>
        <v>0.877290262363706</v>
      </c>
      <c r="Q105" s="1"/>
      <c r="R105" s="8">
        <v>0.8</v>
      </c>
      <c r="S105" s="9">
        <f t="shared" ref="S105:S130" si="56">S104*R104*C105/C104+S104*(1-R104)</f>
        <v>2.07599987414864</v>
      </c>
      <c r="T105" s="9">
        <f t="shared" ref="T105:T130" si="57">C105/$C$105</f>
        <v>1</v>
      </c>
      <c r="U105" s="10">
        <f t="shared" ref="U105:U130" si="58">S105-T105</f>
        <v>1.07599987414864</v>
      </c>
      <c r="V105" s="8">
        <v>0.9</v>
      </c>
      <c r="W105" s="9">
        <f t="shared" ref="W105:W130" si="59">W104*V104*C105/C104+W104*(1-V104)</f>
        <v>2.23225298063145</v>
      </c>
      <c r="X105" s="9">
        <f t="shared" ref="X105:X130" si="60">G105/$C$105</f>
        <v>0.000167343042547122</v>
      </c>
      <c r="Y105" s="10">
        <f t="shared" ref="Y105:Y130" si="61">W105-X105</f>
        <v>2.2320856375889</v>
      </c>
    </row>
    <row r="106" spans="1:25">
      <c r="A106" s="5">
        <v>44228</v>
      </c>
      <c r="B106" s="7">
        <v>42</v>
      </c>
      <c r="C106" s="7">
        <v>6364</v>
      </c>
      <c r="D106" s="8">
        <f t="shared" si="48"/>
        <v>0.58</v>
      </c>
      <c r="E106" s="9">
        <f t="shared" si="49"/>
        <v>2.06529265408764</v>
      </c>
      <c r="F106" s="9">
        <f t="shared" si="50"/>
        <v>1.00283643239836</v>
      </c>
      <c r="G106" s="10">
        <f t="shared" si="51"/>
        <v>1.06245622168928</v>
      </c>
      <c r="H106" s="11"/>
      <c r="I106" s="19">
        <v>0.7</v>
      </c>
      <c r="J106" s="9">
        <f t="shared" si="52"/>
        <v>1.88101762720861</v>
      </c>
      <c r="K106" s="8">
        <v>0.8</v>
      </c>
      <c r="L106" s="9">
        <f t="shared" si="53"/>
        <v>2.01159778421296</v>
      </c>
      <c r="M106" s="8">
        <v>0.6</v>
      </c>
      <c r="N106" s="9">
        <f t="shared" ref="N106:N130" si="62">N105*M105*E106/E105+N105*(1-M105)</f>
        <v>1.58186776864781</v>
      </c>
      <c r="O106" s="9">
        <f t="shared" si="54"/>
        <v>1.00283643239836</v>
      </c>
      <c r="P106" s="10">
        <f t="shared" si="55"/>
        <v>0.878181194810252</v>
      </c>
      <c r="Q106" s="1"/>
      <c r="R106" s="8">
        <v>0.8</v>
      </c>
      <c r="S106" s="9">
        <f t="shared" si="56"/>
        <v>2.08071062079026</v>
      </c>
      <c r="T106" s="9">
        <f t="shared" si="57"/>
        <v>1.00283643239836</v>
      </c>
      <c r="U106" s="10">
        <f t="shared" si="58"/>
        <v>1.0778741883919</v>
      </c>
      <c r="V106" s="8">
        <v>0.9</v>
      </c>
      <c r="W106" s="9">
        <f t="shared" si="59"/>
        <v>2.23795145183949</v>
      </c>
      <c r="X106" s="9">
        <f t="shared" si="60"/>
        <v>0.000167421402724437</v>
      </c>
      <c r="Y106" s="10">
        <f t="shared" si="61"/>
        <v>2.23778403043677</v>
      </c>
    </row>
    <row r="107" spans="1:25">
      <c r="A107" s="5">
        <v>44256</v>
      </c>
      <c r="B107" s="7">
        <v>38</v>
      </c>
      <c r="C107" s="7">
        <v>6254</v>
      </c>
      <c r="D107" s="8">
        <f t="shared" si="48"/>
        <v>0.62</v>
      </c>
      <c r="E107" s="9">
        <f t="shared" si="49"/>
        <v>2.04458780315571</v>
      </c>
      <c r="F107" s="9">
        <f t="shared" si="50"/>
        <v>0.985502678852821</v>
      </c>
      <c r="G107" s="10">
        <f t="shared" si="51"/>
        <v>1.05908512430289</v>
      </c>
      <c r="H107" s="11"/>
      <c r="I107" s="14">
        <v>0.7</v>
      </c>
      <c r="J107" s="9">
        <f t="shared" si="52"/>
        <v>1.8582586144344</v>
      </c>
      <c r="K107" s="8">
        <v>0.8</v>
      </c>
      <c r="L107" s="9">
        <f t="shared" si="53"/>
        <v>1.98378185005037</v>
      </c>
      <c r="M107" s="8">
        <v>0.6</v>
      </c>
      <c r="N107" s="9">
        <f t="shared" si="62"/>
        <v>1.57235269979429</v>
      </c>
      <c r="O107" s="9">
        <f t="shared" si="54"/>
        <v>0.985502678852821</v>
      </c>
      <c r="P107" s="10">
        <f t="shared" si="55"/>
        <v>0.872755935581584</v>
      </c>
      <c r="Q107" s="1"/>
      <c r="R107" s="8">
        <v>0.8</v>
      </c>
      <c r="S107" s="9">
        <f t="shared" si="56"/>
        <v>2.05193900944055</v>
      </c>
      <c r="T107" s="9">
        <f t="shared" si="57"/>
        <v>0.985502678852821</v>
      </c>
      <c r="U107" s="10">
        <f t="shared" si="58"/>
        <v>1.06643633058773</v>
      </c>
      <c r="V107" s="8">
        <v>0.9</v>
      </c>
      <c r="W107" s="9">
        <f t="shared" si="59"/>
        <v>2.20313731077536</v>
      </c>
      <c r="X107" s="9">
        <f t="shared" si="60"/>
        <v>0.000166890186621949</v>
      </c>
      <c r="Y107" s="10">
        <f t="shared" si="61"/>
        <v>2.20297042058874</v>
      </c>
    </row>
    <row r="108" spans="1:25">
      <c r="A108" s="5">
        <v>44287</v>
      </c>
      <c r="B108" s="7">
        <v>42</v>
      </c>
      <c r="C108" s="7">
        <v>6485</v>
      </c>
      <c r="D108" s="8">
        <f t="shared" si="48"/>
        <v>0.58</v>
      </c>
      <c r="E108" s="9">
        <f t="shared" si="49"/>
        <v>2.09140997539235</v>
      </c>
      <c r="F108" s="9">
        <f t="shared" si="50"/>
        <v>1.02190356129846</v>
      </c>
      <c r="G108" s="10">
        <f t="shared" si="51"/>
        <v>1.0695064140939</v>
      </c>
      <c r="H108" s="11"/>
      <c r="I108" s="19">
        <v>0.7</v>
      </c>
      <c r="J108" s="9">
        <f t="shared" si="52"/>
        <v>1.90630473179194</v>
      </c>
      <c r="K108" s="8">
        <v>0.8</v>
      </c>
      <c r="L108" s="9">
        <f t="shared" si="53"/>
        <v>2.04240079566746</v>
      </c>
      <c r="M108" s="8">
        <v>0.6</v>
      </c>
      <c r="N108" s="9">
        <f t="shared" si="62"/>
        <v>1.59395733877713</v>
      </c>
      <c r="O108" s="9">
        <f t="shared" si="54"/>
        <v>1.02190356129846</v>
      </c>
      <c r="P108" s="10">
        <f t="shared" si="55"/>
        <v>0.884401170493487</v>
      </c>
      <c r="Q108" s="1"/>
      <c r="R108" s="8">
        <v>0.8</v>
      </c>
      <c r="S108" s="9">
        <f t="shared" si="56"/>
        <v>2.11257193699805</v>
      </c>
      <c r="T108" s="9">
        <f t="shared" si="57"/>
        <v>1.02190356129846</v>
      </c>
      <c r="U108" s="10">
        <f t="shared" si="58"/>
        <v>1.0906683756996</v>
      </c>
      <c r="V108" s="8">
        <v>0.9</v>
      </c>
      <c r="W108" s="9">
        <f t="shared" si="59"/>
        <v>2.27637559777731</v>
      </c>
      <c r="X108" s="9">
        <f t="shared" si="60"/>
        <v>0.000168532369066167</v>
      </c>
      <c r="Y108" s="10">
        <f t="shared" si="61"/>
        <v>2.27620706540825</v>
      </c>
    </row>
    <row r="109" spans="1:25">
      <c r="A109" s="5">
        <v>44317</v>
      </c>
      <c r="B109" s="7">
        <v>50</v>
      </c>
      <c r="C109" s="7">
        <v>6729</v>
      </c>
      <c r="D109" s="8">
        <f t="shared" si="48"/>
        <v>0.5</v>
      </c>
      <c r="E109" s="9">
        <f t="shared" si="49"/>
        <v>2.13705012029868</v>
      </c>
      <c r="F109" s="9">
        <f t="shared" si="50"/>
        <v>1.06035297825402</v>
      </c>
      <c r="G109" s="10">
        <f t="shared" si="51"/>
        <v>1.07669714204466</v>
      </c>
      <c r="H109" s="11"/>
      <c r="I109" s="14">
        <v>0.7</v>
      </c>
      <c r="J109" s="9">
        <f t="shared" si="52"/>
        <v>1.95651241848278</v>
      </c>
      <c r="K109" s="8">
        <v>0.8</v>
      </c>
      <c r="L109" s="9">
        <f t="shared" si="53"/>
        <v>2.1038775320305</v>
      </c>
      <c r="M109" s="8">
        <v>0.6</v>
      </c>
      <c r="N109" s="9">
        <f t="shared" si="62"/>
        <v>1.61482797957131</v>
      </c>
      <c r="O109" s="9">
        <f t="shared" si="54"/>
        <v>1.06035297825402</v>
      </c>
      <c r="P109" s="10">
        <f t="shared" si="55"/>
        <v>0.896159440228759</v>
      </c>
      <c r="Q109" s="1"/>
      <c r="R109" s="8">
        <v>0.8</v>
      </c>
      <c r="S109" s="9">
        <f t="shared" si="56"/>
        <v>2.17616084094593</v>
      </c>
      <c r="T109" s="9">
        <f t="shared" si="57"/>
        <v>1.06035297825402</v>
      </c>
      <c r="U109" s="10">
        <f t="shared" si="58"/>
        <v>1.11580786269192</v>
      </c>
      <c r="V109" s="8">
        <v>0.9</v>
      </c>
      <c r="W109" s="9">
        <f t="shared" si="59"/>
        <v>2.35345995880613</v>
      </c>
      <c r="X109" s="9">
        <f t="shared" si="60"/>
        <v>0.000169665480939908</v>
      </c>
      <c r="Y109" s="10">
        <f t="shared" si="61"/>
        <v>2.35329029332519</v>
      </c>
    </row>
    <row r="110" spans="1:25">
      <c r="A110" s="5">
        <v>44348</v>
      </c>
      <c r="B110" s="7">
        <v>43</v>
      </c>
      <c r="C110" s="7">
        <v>6808</v>
      </c>
      <c r="D110" s="8">
        <f t="shared" si="48"/>
        <v>0.57</v>
      </c>
      <c r="E110" s="9">
        <f t="shared" si="49"/>
        <v>2.14959484904764</v>
      </c>
      <c r="F110" s="9">
        <f t="shared" si="50"/>
        <v>1.07280176489127</v>
      </c>
      <c r="G110" s="10">
        <f t="shared" si="51"/>
        <v>1.07679308415637</v>
      </c>
      <c r="H110" s="11"/>
      <c r="I110" s="19">
        <v>0.7</v>
      </c>
      <c r="J110" s="9">
        <f t="shared" si="52"/>
        <v>1.97259135097529</v>
      </c>
      <c r="K110" s="8">
        <v>0.8</v>
      </c>
      <c r="L110" s="9">
        <f t="shared" si="53"/>
        <v>2.12363753500632</v>
      </c>
      <c r="M110" s="8">
        <v>0.6</v>
      </c>
      <c r="N110" s="9">
        <f t="shared" si="62"/>
        <v>1.6205155145863</v>
      </c>
      <c r="O110" s="9">
        <f t="shared" si="54"/>
        <v>1.07280176489127</v>
      </c>
      <c r="P110" s="10">
        <f t="shared" si="55"/>
        <v>0.899789586084017</v>
      </c>
      <c r="Q110" s="1"/>
      <c r="R110" s="8">
        <v>0.8</v>
      </c>
      <c r="S110" s="9">
        <f t="shared" si="56"/>
        <v>2.19659974199331</v>
      </c>
      <c r="T110" s="9">
        <f t="shared" si="57"/>
        <v>1.07280176489127</v>
      </c>
      <c r="U110" s="10">
        <f t="shared" si="58"/>
        <v>1.12379797710204</v>
      </c>
      <c r="V110" s="8">
        <v>0.9</v>
      </c>
      <c r="W110" s="9">
        <f t="shared" si="59"/>
        <v>2.37832710148278</v>
      </c>
      <c r="X110" s="9">
        <f t="shared" si="60"/>
        <v>0.000169680599457355</v>
      </c>
      <c r="Y110" s="10">
        <f t="shared" si="61"/>
        <v>2.37815742088332</v>
      </c>
    </row>
    <row r="111" spans="1:25">
      <c r="A111" s="5">
        <v>44378</v>
      </c>
      <c r="B111" s="7">
        <v>38</v>
      </c>
      <c r="C111" s="7">
        <v>6767</v>
      </c>
      <c r="D111" s="8">
        <f t="shared" si="48"/>
        <v>0.62</v>
      </c>
      <c r="E111" s="9">
        <f t="shared" si="49"/>
        <v>2.14221587848033</v>
      </c>
      <c r="F111" s="9">
        <f t="shared" si="50"/>
        <v>1.06634100220611</v>
      </c>
      <c r="G111" s="10">
        <f t="shared" si="51"/>
        <v>1.07587487627422</v>
      </c>
      <c r="H111" s="11"/>
      <c r="I111" s="14">
        <v>0.7</v>
      </c>
      <c r="J111" s="9">
        <f t="shared" si="52"/>
        <v>1.96427563831768</v>
      </c>
      <c r="K111" s="8">
        <v>0.8</v>
      </c>
      <c r="L111" s="9">
        <f t="shared" si="53"/>
        <v>2.11340614382709</v>
      </c>
      <c r="M111" s="8">
        <v>0.6</v>
      </c>
      <c r="N111" s="9">
        <f t="shared" si="62"/>
        <v>1.6171778429433</v>
      </c>
      <c r="O111" s="9">
        <f t="shared" si="54"/>
        <v>1.06634100220611</v>
      </c>
      <c r="P111" s="10">
        <f t="shared" si="55"/>
        <v>0.897934636111566</v>
      </c>
      <c r="Q111" s="1"/>
      <c r="R111" s="8">
        <v>0.8</v>
      </c>
      <c r="S111" s="9">
        <f t="shared" si="56"/>
        <v>2.18601682901778</v>
      </c>
      <c r="T111" s="9">
        <f t="shared" si="57"/>
        <v>1.06634100220611</v>
      </c>
      <c r="U111" s="10">
        <f t="shared" si="58"/>
        <v>1.11967582681167</v>
      </c>
      <c r="V111" s="8">
        <v>0.9</v>
      </c>
      <c r="W111" s="9">
        <f t="shared" si="59"/>
        <v>2.36543634501322</v>
      </c>
      <c r="X111" s="9">
        <f t="shared" si="60"/>
        <v>0.000169535908647056</v>
      </c>
      <c r="Y111" s="10">
        <f t="shared" si="61"/>
        <v>2.36526680910458</v>
      </c>
    </row>
    <row r="112" spans="1:25">
      <c r="A112" s="5">
        <v>44409</v>
      </c>
      <c r="B112" s="7">
        <v>47</v>
      </c>
      <c r="C112" s="7">
        <v>7255</v>
      </c>
      <c r="D112" s="8">
        <f t="shared" si="48"/>
        <v>0.53</v>
      </c>
      <c r="E112" s="9">
        <f t="shared" si="49"/>
        <v>2.23799670250767</v>
      </c>
      <c r="F112" s="9">
        <f t="shared" si="50"/>
        <v>1.14323983611724</v>
      </c>
      <c r="G112" s="10">
        <f t="shared" si="51"/>
        <v>1.09475686639044</v>
      </c>
      <c r="H112" s="11"/>
      <c r="I112" s="19">
        <v>0.7</v>
      </c>
      <c r="J112" s="9">
        <f t="shared" si="52"/>
        <v>2.0634328066418</v>
      </c>
      <c r="K112" s="8">
        <v>0.8</v>
      </c>
      <c r="L112" s="9">
        <f t="shared" si="53"/>
        <v>2.23533222016078</v>
      </c>
      <c r="M112" s="8">
        <v>0.6</v>
      </c>
      <c r="N112" s="9">
        <f t="shared" si="62"/>
        <v>1.66056132113106</v>
      </c>
      <c r="O112" s="9">
        <f t="shared" si="54"/>
        <v>1.14323983611724</v>
      </c>
      <c r="P112" s="10">
        <f t="shared" si="55"/>
        <v>0.920192970524561</v>
      </c>
      <c r="Q112" s="1"/>
      <c r="R112" s="8">
        <v>0.8</v>
      </c>
      <c r="S112" s="9">
        <f t="shared" si="56"/>
        <v>2.31213194207357</v>
      </c>
      <c r="T112" s="9">
        <f t="shared" si="57"/>
        <v>1.14323983611724</v>
      </c>
      <c r="U112" s="10">
        <f t="shared" si="58"/>
        <v>1.16889210595634</v>
      </c>
      <c r="V112" s="8">
        <v>0.9</v>
      </c>
      <c r="W112" s="9">
        <f t="shared" si="59"/>
        <v>2.51896074914058</v>
      </c>
      <c r="X112" s="9">
        <f t="shared" si="60"/>
        <v>0.000172511324675455</v>
      </c>
      <c r="Y112" s="10">
        <f t="shared" si="61"/>
        <v>2.5187882378159</v>
      </c>
    </row>
    <row r="113" spans="1:25">
      <c r="A113" s="5">
        <v>44440</v>
      </c>
      <c r="B113" s="6">
        <v>63</v>
      </c>
      <c r="C113" s="7">
        <v>7104</v>
      </c>
      <c r="D113" s="8">
        <f t="shared" si="48"/>
        <v>0.37</v>
      </c>
      <c r="E113" s="9">
        <f t="shared" si="49"/>
        <v>2.21330933157705</v>
      </c>
      <c r="F113" s="9">
        <f t="shared" si="50"/>
        <v>1.11944531988654</v>
      </c>
      <c r="G113" s="10">
        <f t="shared" si="51"/>
        <v>1.09386401169051</v>
      </c>
      <c r="H113" s="11"/>
      <c r="I113" s="14">
        <v>0.7</v>
      </c>
      <c r="J113" s="9">
        <f t="shared" si="52"/>
        <v>2.03337011227074</v>
      </c>
      <c r="K113" s="8">
        <v>0.8</v>
      </c>
      <c r="L113" s="9">
        <f t="shared" si="53"/>
        <v>2.19811262923102</v>
      </c>
      <c r="M113" s="8">
        <v>0.6</v>
      </c>
      <c r="N113" s="9">
        <f t="shared" si="62"/>
        <v>1.64957071692457</v>
      </c>
      <c r="O113" s="9">
        <f t="shared" si="54"/>
        <v>1.11944531988654</v>
      </c>
      <c r="P113" s="10">
        <f t="shared" si="55"/>
        <v>0.913924792384197</v>
      </c>
      <c r="Q113" s="1"/>
      <c r="R113" s="24">
        <v>0.2</v>
      </c>
      <c r="S113" s="9">
        <f t="shared" si="56"/>
        <v>2.27363359078447</v>
      </c>
      <c r="T113" s="9">
        <f t="shared" si="57"/>
        <v>1.11944531988654</v>
      </c>
      <c r="U113" s="10">
        <f t="shared" si="58"/>
        <v>1.15418827089792</v>
      </c>
      <c r="V113" s="24">
        <v>0.1</v>
      </c>
      <c r="W113" s="9">
        <f t="shared" si="59"/>
        <v>2.47177580554193</v>
      </c>
      <c r="X113" s="9">
        <f t="shared" si="60"/>
        <v>0.000172370629008904</v>
      </c>
      <c r="Y113" s="10">
        <f t="shared" si="61"/>
        <v>2.47160343491292</v>
      </c>
    </row>
    <row r="114" spans="1:25">
      <c r="A114" s="5">
        <v>44470</v>
      </c>
      <c r="B114" s="7">
        <v>42</v>
      </c>
      <c r="C114" s="7">
        <v>7023</v>
      </c>
      <c r="D114" s="8">
        <f t="shared" si="48"/>
        <v>0.58</v>
      </c>
      <c r="E114" s="9">
        <f t="shared" si="49"/>
        <v>2.20397193283446</v>
      </c>
      <c r="F114" s="9">
        <f t="shared" si="50"/>
        <v>1.10668137409392</v>
      </c>
      <c r="G114" s="10">
        <f t="shared" si="51"/>
        <v>1.09729055874054</v>
      </c>
      <c r="H114" s="11"/>
      <c r="I114" s="19">
        <v>0.7</v>
      </c>
      <c r="J114" s="9">
        <f t="shared" si="52"/>
        <v>2.0171409335875</v>
      </c>
      <c r="K114" s="8">
        <v>0.8</v>
      </c>
      <c r="L114" s="9">
        <f t="shared" si="53"/>
        <v>2.17806227754547</v>
      </c>
      <c r="M114" s="8">
        <v>0.6</v>
      </c>
      <c r="N114" s="9">
        <f t="shared" si="62"/>
        <v>1.64539524104735</v>
      </c>
      <c r="O114" s="9">
        <f t="shared" si="54"/>
        <v>1.10668137409392</v>
      </c>
      <c r="P114" s="10">
        <f t="shared" si="55"/>
        <v>0.910459559493581</v>
      </c>
      <c r="Q114" s="1"/>
      <c r="R114" s="8">
        <v>0.2</v>
      </c>
      <c r="S114" s="9">
        <f t="shared" si="56"/>
        <v>2.26844878445413</v>
      </c>
      <c r="T114" s="9">
        <f t="shared" si="57"/>
        <v>1.10668137409392</v>
      </c>
      <c r="U114" s="10">
        <f t="shared" si="58"/>
        <v>1.16176741036021</v>
      </c>
      <c r="V114" s="8">
        <v>0.1</v>
      </c>
      <c r="W114" s="9">
        <f t="shared" si="59"/>
        <v>2.46895748008797</v>
      </c>
      <c r="X114" s="9">
        <f t="shared" si="60"/>
        <v>0.000172910582845972</v>
      </c>
      <c r="Y114" s="10">
        <f t="shared" si="61"/>
        <v>2.46878456950513</v>
      </c>
    </row>
    <row r="115" spans="1:25">
      <c r="A115" s="5">
        <v>44501</v>
      </c>
      <c r="B115" s="7">
        <v>35</v>
      </c>
      <c r="C115" s="7">
        <v>7253</v>
      </c>
      <c r="D115" s="8">
        <f t="shared" si="48"/>
        <v>0.65</v>
      </c>
      <c r="E115" s="9">
        <f t="shared" si="49"/>
        <v>2.24583578814417</v>
      </c>
      <c r="F115" s="9">
        <f t="shared" si="50"/>
        <v>1.14292467696187</v>
      </c>
      <c r="G115" s="10">
        <f t="shared" si="51"/>
        <v>1.10291111118231</v>
      </c>
      <c r="H115" s="11"/>
      <c r="I115" s="14">
        <v>0.7</v>
      </c>
      <c r="J115" s="9">
        <f t="shared" si="52"/>
        <v>2.06338323606615</v>
      </c>
      <c r="K115" s="8">
        <v>0.8</v>
      </c>
      <c r="L115" s="9">
        <f t="shared" si="53"/>
        <v>2.23512670287202</v>
      </c>
      <c r="M115" s="8">
        <v>0.6</v>
      </c>
      <c r="N115" s="9">
        <f t="shared" si="62"/>
        <v>1.66414754563135</v>
      </c>
      <c r="O115" s="9">
        <f t="shared" si="54"/>
        <v>1.14292467696187</v>
      </c>
      <c r="P115" s="10">
        <f t="shared" si="55"/>
        <v>0.920458559104287</v>
      </c>
      <c r="Q115" s="1"/>
      <c r="R115" s="19">
        <v>0.2</v>
      </c>
      <c r="S115" s="9">
        <f t="shared" si="56"/>
        <v>2.28330691404047</v>
      </c>
      <c r="T115" s="9">
        <f t="shared" si="57"/>
        <v>1.14292467696187</v>
      </c>
      <c r="U115" s="10">
        <f t="shared" si="58"/>
        <v>1.14038223707861</v>
      </c>
      <c r="V115" s="19">
        <v>0.1</v>
      </c>
      <c r="W115" s="9">
        <f t="shared" si="59"/>
        <v>2.4770432015805</v>
      </c>
      <c r="X115" s="9">
        <f t="shared" si="60"/>
        <v>0.000173796267126112</v>
      </c>
      <c r="Y115" s="10">
        <f t="shared" si="61"/>
        <v>2.47686940531337</v>
      </c>
    </row>
    <row r="116" spans="1:25">
      <c r="A116" s="12">
        <v>44531</v>
      </c>
      <c r="B116" s="13">
        <v>38</v>
      </c>
      <c r="C116" s="13">
        <v>7311</v>
      </c>
      <c r="D116" s="14">
        <f t="shared" si="48"/>
        <v>0.62</v>
      </c>
      <c r="E116" s="15">
        <f t="shared" si="49"/>
        <v>2.25750930382224</v>
      </c>
      <c r="F116" s="15">
        <f t="shared" si="50"/>
        <v>1.1520642924677</v>
      </c>
      <c r="G116" s="16">
        <f t="shared" si="51"/>
        <v>1.10544501135454</v>
      </c>
      <c r="H116" s="25"/>
      <c r="I116" s="19">
        <v>0.7</v>
      </c>
      <c r="J116" s="9">
        <f t="shared" si="52"/>
        <v>2.07493340280878</v>
      </c>
      <c r="K116" s="8">
        <v>0.8</v>
      </c>
      <c r="L116" s="15">
        <f t="shared" si="53"/>
        <v>2.24942559698663</v>
      </c>
      <c r="M116" s="8">
        <v>0.6</v>
      </c>
      <c r="N116" s="9">
        <f t="shared" si="62"/>
        <v>1.66933753839051</v>
      </c>
      <c r="O116" s="9">
        <f t="shared" si="54"/>
        <v>1.1520642924677</v>
      </c>
      <c r="P116" s="10">
        <f t="shared" si="55"/>
        <v>0.922869110341084</v>
      </c>
      <c r="Q116" s="26"/>
      <c r="R116" s="19">
        <v>0.2</v>
      </c>
      <c r="S116" s="15">
        <f t="shared" si="56"/>
        <v>2.28695869402157</v>
      </c>
      <c r="T116" s="9">
        <f t="shared" si="57"/>
        <v>1.1520642924677</v>
      </c>
      <c r="U116" s="10">
        <f t="shared" si="58"/>
        <v>1.13489440155387</v>
      </c>
      <c r="V116" s="8">
        <v>0.1</v>
      </c>
      <c r="W116" s="23">
        <f t="shared" si="59"/>
        <v>2.47902401649421</v>
      </c>
      <c r="X116" s="9">
        <f t="shared" si="60"/>
        <v>0.000174195558045153</v>
      </c>
      <c r="Y116" s="10">
        <f t="shared" si="61"/>
        <v>2.47884982093617</v>
      </c>
    </row>
    <row r="117" spans="1:25">
      <c r="A117" s="5">
        <v>44562</v>
      </c>
      <c r="B117" s="7">
        <v>33</v>
      </c>
      <c r="C117" s="7">
        <v>6580</v>
      </c>
      <c r="D117" s="8">
        <f t="shared" si="48"/>
        <v>0.67</v>
      </c>
      <c r="E117" s="9">
        <f t="shared" si="49"/>
        <v>2.11756287150405</v>
      </c>
      <c r="F117" s="9">
        <f t="shared" si="50"/>
        <v>1.0368736211787</v>
      </c>
      <c r="G117" s="10">
        <f t="shared" si="51"/>
        <v>1.08068925032535</v>
      </c>
      <c r="H117" s="11"/>
      <c r="I117" s="14">
        <v>0.7</v>
      </c>
      <c r="J117" s="9">
        <f t="shared" si="52"/>
        <v>1.92970793129774</v>
      </c>
      <c r="K117" s="8">
        <v>0.8</v>
      </c>
      <c r="L117" s="9">
        <f t="shared" si="53"/>
        <v>2.0694961633773</v>
      </c>
      <c r="M117" s="8">
        <v>0.6</v>
      </c>
      <c r="N117" s="9">
        <f t="shared" si="62"/>
        <v>1.60724667592442</v>
      </c>
      <c r="O117" s="9">
        <f t="shared" si="54"/>
        <v>1.0368736211787</v>
      </c>
      <c r="P117" s="10">
        <f t="shared" si="55"/>
        <v>0.89283431011904</v>
      </c>
      <c r="Q117" s="1"/>
      <c r="R117" s="19">
        <v>0.2</v>
      </c>
      <c r="S117" s="9">
        <f t="shared" si="56"/>
        <v>2.24122577635422</v>
      </c>
      <c r="T117" s="9">
        <f t="shared" si="57"/>
        <v>1.0368736211787</v>
      </c>
      <c r="U117" s="10">
        <f t="shared" si="58"/>
        <v>1.20435215517553</v>
      </c>
      <c r="V117" s="19">
        <v>0.1</v>
      </c>
      <c r="W117" s="9">
        <f t="shared" si="59"/>
        <v>2.45423716714314</v>
      </c>
      <c r="X117" s="9">
        <f t="shared" si="60"/>
        <v>0.00017029455567686</v>
      </c>
      <c r="Y117" s="10">
        <f t="shared" si="61"/>
        <v>2.45406687258746</v>
      </c>
    </row>
    <row r="118" spans="1:25">
      <c r="A118" s="5">
        <v>44593</v>
      </c>
      <c r="B118" s="7">
        <v>23</v>
      </c>
      <c r="C118" s="7">
        <v>6853</v>
      </c>
      <c r="D118" s="8">
        <f t="shared" si="48"/>
        <v>0.77</v>
      </c>
      <c r="E118" s="9">
        <f t="shared" si="49"/>
        <v>2.17642661387894</v>
      </c>
      <c r="F118" s="9">
        <f t="shared" si="50"/>
        <v>1.07989284588717</v>
      </c>
      <c r="G118" s="10">
        <f t="shared" si="51"/>
        <v>1.09653376799177</v>
      </c>
      <c r="H118" s="11"/>
      <c r="I118" s="19">
        <v>0.7</v>
      </c>
      <c r="J118" s="9">
        <f t="shared" si="52"/>
        <v>1.98575157653649</v>
      </c>
      <c r="K118" s="8">
        <v>0.8</v>
      </c>
      <c r="L118" s="9">
        <f t="shared" si="53"/>
        <v>2.13818582326812</v>
      </c>
      <c r="M118" s="8">
        <v>0.6</v>
      </c>
      <c r="N118" s="9">
        <f t="shared" si="62"/>
        <v>1.63405349867457</v>
      </c>
      <c r="O118" s="9">
        <f t="shared" si="54"/>
        <v>1.07989284588717</v>
      </c>
      <c r="P118" s="10">
        <f t="shared" si="55"/>
        <v>0.905858730649316</v>
      </c>
      <c r="Q118" s="1"/>
      <c r="R118" s="14">
        <v>0.2</v>
      </c>
      <c r="S118" s="9">
        <f t="shared" si="56"/>
        <v>2.25982318173248</v>
      </c>
      <c r="T118" s="9">
        <f t="shared" si="57"/>
        <v>1.07989284588717</v>
      </c>
      <c r="U118" s="10">
        <f t="shared" si="58"/>
        <v>1.17993033584531</v>
      </c>
      <c r="V118" s="8">
        <v>0.1</v>
      </c>
      <c r="W118" s="9">
        <f t="shared" si="59"/>
        <v>2.46441964049618</v>
      </c>
      <c r="X118" s="9">
        <f t="shared" si="60"/>
        <v>0.000172791328079384</v>
      </c>
      <c r="Y118" s="10">
        <f t="shared" si="61"/>
        <v>2.4642468491681</v>
      </c>
    </row>
    <row r="119" spans="1:25">
      <c r="A119" s="5">
        <v>44621</v>
      </c>
      <c r="B119" s="7">
        <v>10</v>
      </c>
      <c r="C119" s="7">
        <v>6325</v>
      </c>
      <c r="D119" s="8">
        <f t="shared" si="48"/>
        <v>0.9</v>
      </c>
      <c r="E119" s="9">
        <f t="shared" si="49"/>
        <v>2.0473082709432</v>
      </c>
      <c r="F119" s="9">
        <f t="shared" si="50"/>
        <v>0.996690828868579</v>
      </c>
      <c r="G119" s="10">
        <f t="shared" si="51"/>
        <v>1.05061744207462</v>
      </c>
      <c r="H119" s="11"/>
      <c r="I119" s="14">
        <v>0.7</v>
      </c>
      <c r="J119" s="9">
        <f t="shared" si="52"/>
        <v>1.87865486229632</v>
      </c>
      <c r="K119" s="8">
        <v>0.8</v>
      </c>
      <c r="L119" s="9">
        <f t="shared" si="53"/>
        <v>2.00639395229943</v>
      </c>
      <c r="M119" s="8">
        <v>0.6</v>
      </c>
      <c r="N119" s="9">
        <f t="shared" si="62"/>
        <v>1.57588853818243</v>
      </c>
      <c r="O119" s="9">
        <f t="shared" si="54"/>
        <v>0.996690828868579</v>
      </c>
      <c r="P119" s="10">
        <f t="shared" si="55"/>
        <v>0.88196403342774</v>
      </c>
      <c r="Q119" s="1"/>
      <c r="R119" s="19">
        <v>0.2</v>
      </c>
      <c r="S119" s="9">
        <f t="shared" si="56"/>
        <v>2.22500086625153</v>
      </c>
      <c r="T119" s="9">
        <f t="shared" si="57"/>
        <v>0.996690828868579</v>
      </c>
      <c r="U119" s="10">
        <f t="shared" si="58"/>
        <v>1.22831003738295</v>
      </c>
      <c r="V119" s="19">
        <v>0.1</v>
      </c>
      <c r="W119" s="9">
        <f t="shared" si="59"/>
        <v>2.44543213764805</v>
      </c>
      <c r="X119" s="9">
        <f t="shared" si="60"/>
        <v>0.000165555852832433</v>
      </c>
      <c r="Y119" s="10">
        <f t="shared" si="61"/>
        <v>2.44526658179522</v>
      </c>
    </row>
    <row r="120" spans="1:25">
      <c r="A120" s="5">
        <v>44652</v>
      </c>
      <c r="B120" s="6">
        <v>5</v>
      </c>
      <c r="C120" s="7">
        <v>5628</v>
      </c>
      <c r="D120" s="8">
        <f t="shared" si="48"/>
        <v>0.95</v>
      </c>
      <c r="E120" s="9">
        <f t="shared" si="49"/>
        <v>1.84426060637993</v>
      </c>
      <c r="F120" s="9">
        <f t="shared" si="50"/>
        <v>0.886857863220927</v>
      </c>
      <c r="G120" s="10">
        <f t="shared" si="51"/>
        <v>0.957402743159007</v>
      </c>
      <c r="H120" s="11"/>
      <c r="I120" s="19">
        <v>0.7</v>
      </c>
      <c r="J120" s="9">
        <f t="shared" si="52"/>
        <v>1.73373854493436</v>
      </c>
      <c r="K120" s="8">
        <v>0.8</v>
      </c>
      <c r="L120" s="9">
        <f t="shared" si="53"/>
        <v>1.82951406806193</v>
      </c>
      <c r="M120" s="8">
        <v>0.6</v>
      </c>
      <c r="N120" s="9">
        <f t="shared" si="62"/>
        <v>1.4821125811862</v>
      </c>
      <c r="O120" s="9">
        <f t="shared" si="54"/>
        <v>0.886857863220927</v>
      </c>
      <c r="P120" s="10">
        <f t="shared" si="55"/>
        <v>0.846880681713436</v>
      </c>
      <c r="Q120" s="1"/>
      <c r="R120" s="20">
        <v>0.8</v>
      </c>
      <c r="S120" s="9">
        <f t="shared" si="56"/>
        <v>2.17596290249573</v>
      </c>
      <c r="T120" s="9">
        <f t="shared" si="57"/>
        <v>0.886857863220927</v>
      </c>
      <c r="U120" s="10">
        <f t="shared" si="58"/>
        <v>1.2891050392748</v>
      </c>
      <c r="V120" s="20">
        <v>0.9</v>
      </c>
      <c r="W120" s="9">
        <f t="shared" si="59"/>
        <v>2.41848405543555</v>
      </c>
      <c r="X120" s="9">
        <f t="shared" si="60"/>
        <v>0.000150867119943115</v>
      </c>
      <c r="Y120" s="10">
        <f t="shared" si="61"/>
        <v>2.41833318831561</v>
      </c>
    </row>
    <row r="121" spans="1:25">
      <c r="A121" s="5">
        <v>44682</v>
      </c>
      <c r="B121" s="6">
        <v>2</v>
      </c>
      <c r="C121" s="7">
        <v>6026</v>
      </c>
      <c r="D121" s="8">
        <f t="shared" si="48"/>
        <v>0.98</v>
      </c>
      <c r="E121" s="9">
        <f t="shared" si="49"/>
        <v>1.96816162544039</v>
      </c>
      <c r="F121" s="9">
        <f t="shared" si="50"/>
        <v>0.949574535140246</v>
      </c>
      <c r="G121" s="10">
        <f t="shared" si="51"/>
        <v>1.01858709030014</v>
      </c>
      <c r="H121" s="11"/>
      <c r="I121" s="14">
        <v>0.7</v>
      </c>
      <c r="J121" s="9">
        <f t="shared" si="52"/>
        <v>1.81956291569106</v>
      </c>
      <c r="K121" s="8">
        <v>0.8</v>
      </c>
      <c r="L121" s="9">
        <f t="shared" si="53"/>
        <v>1.93301749366089</v>
      </c>
      <c r="M121" s="8">
        <v>0.6</v>
      </c>
      <c r="N121" s="9">
        <f t="shared" si="62"/>
        <v>1.54185530687346</v>
      </c>
      <c r="O121" s="9">
        <f t="shared" si="54"/>
        <v>0.949574535140246</v>
      </c>
      <c r="P121" s="10">
        <f t="shared" si="55"/>
        <v>0.869988380550818</v>
      </c>
      <c r="Q121" s="1"/>
      <c r="R121" s="8">
        <v>0.8</v>
      </c>
      <c r="S121" s="9">
        <f t="shared" si="56"/>
        <v>2.29906641851467</v>
      </c>
      <c r="T121" s="9">
        <f t="shared" si="57"/>
        <v>0.949574535140246</v>
      </c>
      <c r="U121" s="10">
        <f t="shared" si="58"/>
        <v>1.34949188337443</v>
      </c>
      <c r="V121" s="8">
        <v>0.9</v>
      </c>
      <c r="W121" s="9">
        <f t="shared" si="59"/>
        <v>2.57241102570155</v>
      </c>
      <c r="X121" s="9">
        <f t="shared" si="60"/>
        <v>0.000160508523526654</v>
      </c>
      <c r="Y121" s="10">
        <f t="shared" si="61"/>
        <v>2.57225051717802</v>
      </c>
    </row>
    <row r="122" spans="1:25">
      <c r="A122" s="5">
        <v>44713</v>
      </c>
      <c r="B122" s="7">
        <v>12</v>
      </c>
      <c r="C122" s="7">
        <v>6454</v>
      </c>
      <c r="D122" s="8">
        <f t="shared" si="48"/>
        <v>0.88</v>
      </c>
      <c r="E122" s="9">
        <f t="shared" si="49"/>
        <v>2.10515560356431</v>
      </c>
      <c r="F122" s="9">
        <f t="shared" si="50"/>
        <v>1.01701859439017</v>
      </c>
      <c r="G122" s="10">
        <f t="shared" si="51"/>
        <v>1.08813700917414</v>
      </c>
      <c r="H122" s="11"/>
      <c r="I122" s="19">
        <v>0.7</v>
      </c>
      <c r="J122" s="9">
        <f t="shared" si="52"/>
        <v>1.91002774302944</v>
      </c>
      <c r="K122" s="8">
        <v>0.8</v>
      </c>
      <c r="L122" s="9">
        <f t="shared" si="53"/>
        <v>2.04285240733986</v>
      </c>
      <c r="M122" s="8">
        <v>0.6</v>
      </c>
      <c r="N122" s="9">
        <f t="shared" si="62"/>
        <v>1.6062478515049</v>
      </c>
      <c r="O122" s="9">
        <f t="shared" si="54"/>
        <v>1.01701859439017</v>
      </c>
      <c r="P122" s="10">
        <f t="shared" si="55"/>
        <v>0.89300914863927</v>
      </c>
      <c r="Q122" s="1"/>
      <c r="R122" s="8">
        <v>0.8</v>
      </c>
      <c r="S122" s="9">
        <f t="shared" si="56"/>
        <v>2.42970039490024</v>
      </c>
      <c r="T122" s="9">
        <f t="shared" si="57"/>
        <v>1.01701859439017</v>
      </c>
      <c r="U122" s="10">
        <f t="shared" si="58"/>
        <v>1.41268180051007</v>
      </c>
      <c r="V122" s="8">
        <v>0.9</v>
      </c>
      <c r="W122" s="9">
        <f t="shared" si="59"/>
        <v>2.73684725655124</v>
      </c>
      <c r="X122" s="9">
        <f t="shared" si="60"/>
        <v>0.000171468170370964</v>
      </c>
      <c r="Y122" s="10">
        <f t="shared" si="61"/>
        <v>2.73667578838087</v>
      </c>
    </row>
    <row r="123" spans="1:25">
      <c r="A123" s="5">
        <v>44743</v>
      </c>
      <c r="B123" s="7">
        <v>20</v>
      </c>
      <c r="C123" s="7">
        <v>6294</v>
      </c>
      <c r="D123" s="8">
        <f t="shared" si="48"/>
        <v>0.8</v>
      </c>
      <c r="E123" s="9">
        <f t="shared" si="49"/>
        <v>2.05922968026374</v>
      </c>
      <c r="F123" s="9">
        <f t="shared" si="50"/>
        <v>0.99180586196029</v>
      </c>
      <c r="G123" s="10">
        <f t="shared" si="51"/>
        <v>1.06742381830345</v>
      </c>
      <c r="H123" s="11"/>
      <c r="I123" s="14">
        <v>0.7</v>
      </c>
      <c r="J123" s="9">
        <f t="shared" si="52"/>
        <v>1.87688192536298</v>
      </c>
      <c r="K123" s="8">
        <v>0.8</v>
      </c>
      <c r="L123" s="9">
        <f t="shared" si="53"/>
        <v>2.00233720620266</v>
      </c>
      <c r="M123" s="8">
        <v>0.6</v>
      </c>
      <c r="N123" s="9">
        <f t="shared" si="62"/>
        <v>1.58522277891501</v>
      </c>
      <c r="O123" s="9">
        <f t="shared" si="54"/>
        <v>0.99180586196029</v>
      </c>
      <c r="P123" s="10">
        <f t="shared" si="55"/>
        <v>0.885076063402693</v>
      </c>
      <c r="Q123" s="1"/>
      <c r="R123" s="8">
        <v>0.8</v>
      </c>
      <c r="S123" s="9">
        <f t="shared" si="56"/>
        <v>2.38151296841322</v>
      </c>
      <c r="T123" s="9">
        <f t="shared" si="57"/>
        <v>0.99180586196029</v>
      </c>
      <c r="U123" s="10">
        <f t="shared" si="58"/>
        <v>1.38970710645293</v>
      </c>
      <c r="V123" s="8">
        <v>0.9</v>
      </c>
      <c r="W123" s="9">
        <f t="shared" si="59"/>
        <v>2.67578341940476</v>
      </c>
      <c r="X123" s="9">
        <f t="shared" si="60"/>
        <v>0.000168204194501016</v>
      </c>
      <c r="Y123" s="10">
        <f t="shared" si="61"/>
        <v>2.67561521521026</v>
      </c>
    </row>
    <row r="124" spans="1:25">
      <c r="A124" s="5">
        <v>44774</v>
      </c>
      <c r="B124" s="7">
        <v>18</v>
      </c>
      <c r="C124" s="7">
        <v>6156</v>
      </c>
      <c r="D124" s="8">
        <f t="shared" si="48"/>
        <v>0.82</v>
      </c>
      <c r="E124" s="9">
        <f t="shared" si="49"/>
        <v>2.02310973162994</v>
      </c>
      <c r="F124" s="9">
        <f t="shared" si="50"/>
        <v>0.970059880239521</v>
      </c>
      <c r="G124" s="10">
        <f t="shared" si="51"/>
        <v>1.05304985139042</v>
      </c>
      <c r="H124" s="11"/>
      <c r="I124" s="19">
        <v>0.7</v>
      </c>
      <c r="J124" s="9">
        <f t="shared" si="52"/>
        <v>1.84807563461146</v>
      </c>
      <c r="K124" s="8">
        <v>0.8</v>
      </c>
      <c r="L124" s="9">
        <f t="shared" si="53"/>
        <v>1.96721518085077</v>
      </c>
      <c r="M124" s="8">
        <v>0.6</v>
      </c>
      <c r="N124" s="9">
        <f t="shared" si="62"/>
        <v>1.56853940476894</v>
      </c>
      <c r="O124" s="9">
        <f t="shared" si="54"/>
        <v>0.970059880239521</v>
      </c>
      <c r="P124" s="10">
        <f t="shared" si="55"/>
        <v>0.878015754371942</v>
      </c>
      <c r="Q124" s="1"/>
      <c r="R124" s="8">
        <v>0.8</v>
      </c>
      <c r="S124" s="9">
        <f t="shared" si="56"/>
        <v>2.33974000500159</v>
      </c>
      <c r="T124" s="9">
        <f t="shared" si="57"/>
        <v>0.970059880239521</v>
      </c>
      <c r="U124" s="10">
        <f t="shared" si="58"/>
        <v>1.36968012476207</v>
      </c>
      <c r="V124" s="8">
        <v>0.9</v>
      </c>
      <c r="W124" s="9">
        <f t="shared" si="59"/>
        <v>2.6229819734737</v>
      </c>
      <c r="X124" s="9">
        <f t="shared" si="60"/>
        <v>0.000165939150865179</v>
      </c>
      <c r="Y124" s="10">
        <f t="shared" si="61"/>
        <v>2.62281603432284</v>
      </c>
    </row>
    <row r="125" spans="1:25">
      <c r="A125" s="5">
        <v>44805</v>
      </c>
      <c r="B125" s="6">
        <v>10</v>
      </c>
      <c r="C125" s="7">
        <v>5714</v>
      </c>
      <c r="D125" s="8">
        <f t="shared" si="48"/>
        <v>0.9</v>
      </c>
      <c r="E125" s="9">
        <f t="shared" si="49"/>
        <v>1.90399733865854</v>
      </c>
      <c r="F125" s="9">
        <f t="shared" si="50"/>
        <v>0.900409706901986</v>
      </c>
      <c r="G125" s="10">
        <f t="shared" si="51"/>
        <v>1.00358763175656</v>
      </c>
      <c r="H125" s="11"/>
      <c r="I125" s="14">
        <v>0.7</v>
      </c>
      <c r="J125" s="9">
        <f t="shared" si="52"/>
        <v>1.75519152133193</v>
      </c>
      <c r="K125" s="8">
        <v>0.8</v>
      </c>
      <c r="L125" s="9">
        <f t="shared" si="53"/>
        <v>1.8542185453815</v>
      </c>
      <c r="M125" s="8">
        <v>0.6</v>
      </c>
      <c r="N125" s="9">
        <f t="shared" si="62"/>
        <v>1.51312990946052</v>
      </c>
      <c r="O125" s="9">
        <f t="shared" si="54"/>
        <v>0.900409706901986</v>
      </c>
      <c r="P125" s="10">
        <f t="shared" si="55"/>
        <v>0.854781814429948</v>
      </c>
      <c r="Q125" s="1"/>
      <c r="R125" s="8">
        <v>0.8</v>
      </c>
      <c r="S125" s="9">
        <f t="shared" si="56"/>
        <v>2.20534558236212</v>
      </c>
      <c r="T125" s="9">
        <f t="shared" si="57"/>
        <v>0.900409706901986</v>
      </c>
      <c r="U125" s="10">
        <f t="shared" si="58"/>
        <v>1.30493587546013</v>
      </c>
      <c r="V125" s="8">
        <v>0.9</v>
      </c>
      <c r="W125" s="9">
        <f t="shared" si="59"/>
        <v>2.45348518512935</v>
      </c>
      <c r="X125" s="9">
        <f t="shared" si="60"/>
        <v>0.000158144915183825</v>
      </c>
      <c r="Y125" s="10">
        <f t="shared" si="61"/>
        <v>2.45332704021416</v>
      </c>
    </row>
    <row r="126" spans="1:25">
      <c r="A126" s="5">
        <v>44835</v>
      </c>
      <c r="B126" s="6">
        <v>7</v>
      </c>
      <c r="C126" s="7">
        <v>5807</v>
      </c>
      <c r="D126" s="8">
        <f t="shared" si="48"/>
        <v>0.93</v>
      </c>
      <c r="E126" s="9">
        <f t="shared" si="49"/>
        <v>1.93188753418632</v>
      </c>
      <c r="F126" s="9">
        <f t="shared" si="50"/>
        <v>0.915064607626852</v>
      </c>
      <c r="G126" s="10">
        <f t="shared" si="51"/>
        <v>1.01682292655947</v>
      </c>
      <c r="H126" s="11"/>
      <c r="I126" s="19">
        <v>0.7</v>
      </c>
      <c r="J126" s="9">
        <f t="shared" si="52"/>
        <v>1.77518854058967</v>
      </c>
      <c r="K126" s="8">
        <v>0.8</v>
      </c>
      <c r="L126" s="9">
        <f t="shared" si="53"/>
        <v>1.878361677999</v>
      </c>
      <c r="M126" s="8">
        <v>0.6</v>
      </c>
      <c r="N126" s="9">
        <f t="shared" si="62"/>
        <v>1.52642871661017</v>
      </c>
      <c r="O126" s="9">
        <f t="shared" si="54"/>
        <v>0.915064607626852</v>
      </c>
      <c r="P126" s="10">
        <f t="shared" si="55"/>
        <v>0.860123932962819</v>
      </c>
      <c r="Q126" s="1"/>
      <c r="R126" s="8">
        <v>0.8</v>
      </c>
      <c r="S126" s="9">
        <f t="shared" si="56"/>
        <v>2.23406061759624</v>
      </c>
      <c r="T126" s="9">
        <f t="shared" si="57"/>
        <v>0.915064607626852</v>
      </c>
      <c r="U126" s="10">
        <f t="shared" si="58"/>
        <v>1.31899600996939</v>
      </c>
      <c r="V126" s="8">
        <v>0.9</v>
      </c>
      <c r="W126" s="9">
        <f t="shared" si="59"/>
        <v>2.48942440633959</v>
      </c>
      <c r="X126" s="9">
        <f t="shared" si="60"/>
        <v>0.000160230527349427</v>
      </c>
      <c r="Y126" s="10">
        <f t="shared" si="61"/>
        <v>2.48926417581224</v>
      </c>
    </row>
    <row r="127" spans="1:25">
      <c r="A127" s="5">
        <v>44866</v>
      </c>
      <c r="B127" s="7">
        <v>12</v>
      </c>
      <c r="C127" s="7">
        <v>6156</v>
      </c>
      <c r="D127" s="8">
        <f t="shared" si="48"/>
        <v>0.88</v>
      </c>
      <c r="E127" s="9">
        <f t="shared" si="49"/>
        <v>2.03986630755826</v>
      </c>
      <c r="F127" s="9">
        <f t="shared" si="50"/>
        <v>0.970059880239521</v>
      </c>
      <c r="G127" s="10">
        <f t="shared" si="51"/>
        <v>1.06980642731874</v>
      </c>
      <c r="H127" s="11"/>
      <c r="I127" s="14">
        <v>0.7</v>
      </c>
      <c r="J127" s="9">
        <f t="shared" si="52"/>
        <v>1.84987057270024</v>
      </c>
      <c r="K127" s="8">
        <v>0.8</v>
      </c>
      <c r="L127" s="9">
        <f t="shared" si="53"/>
        <v>1.96867312633675</v>
      </c>
      <c r="M127" s="8">
        <v>0.6</v>
      </c>
      <c r="N127" s="9">
        <f t="shared" si="62"/>
        <v>1.5776186220915</v>
      </c>
      <c r="O127" s="9">
        <f t="shared" si="54"/>
        <v>0.970059880239521</v>
      </c>
      <c r="P127" s="10">
        <f t="shared" si="55"/>
        <v>0.879810692460715</v>
      </c>
      <c r="Q127" s="1"/>
      <c r="R127" s="8">
        <v>0.8</v>
      </c>
      <c r="S127" s="9">
        <f t="shared" si="56"/>
        <v>2.34147403664788</v>
      </c>
      <c r="T127" s="9">
        <f t="shared" si="57"/>
        <v>0.970059880239521</v>
      </c>
      <c r="U127" s="10">
        <f t="shared" si="58"/>
        <v>1.37141415640835</v>
      </c>
      <c r="V127" s="8">
        <v>0.9</v>
      </c>
      <c r="W127" s="9">
        <f t="shared" si="59"/>
        <v>2.62407710240146</v>
      </c>
      <c r="X127" s="9">
        <f t="shared" si="60"/>
        <v>0.000168579645023438</v>
      </c>
      <c r="Y127" s="10">
        <f t="shared" si="61"/>
        <v>2.62390852275643</v>
      </c>
    </row>
    <row r="128" spans="1:25">
      <c r="A128" s="12">
        <v>44896</v>
      </c>
      <c r="B128" s="13">
        <v>15</v>
      </c>
      <c r="C128" s="13">
        <v>5864</v>
      </c>
      <c r="D128" s="14">
        <f t="shared" si="48"/>
        <v>0.85</v>
      </c>
      <c r="E128" s="22">
        <f t="shared" si="49"/>
        <v>1.9547194514195</v>
      </c>
      <c r="F128" s="22">
        <f t="shared" si="50"/>
        <v>0.924046643554995</v>
      </c>
      <c r="G128" s="16">
        <f t="shared" si="51"/>
        <v>1.03067280786451</v>
      </c>
      <c r="H128" s="25"/>
      <c r="I128" s="19">
        <v>0.7</v>
      </c>
      <c r="J128" s="9">
        <f t="shared" si="52"/>
        <v>1.78844861931168</v>
      </c>
      <c r="K128" s="8">
        <v>0.8</v>
      </c>
      <c r="L128" s="9">
        <f t="shared" si="53"/>
        <v>1.89396844110084</v>
      </c>
      <c r="M128" s="8">
        <v>0.6</v>
      </c>
      <c r="N128" s="9">
        <f t="shared" si="62"/>
        <v>1.53810742510002</v>
      </c>
      <c r="O128" s="9">
        <f t="shared" si="54"/>
        <v>0.924046643554995</v>
      </c>
      <c r="P128" s="10">
        <f t="shared" si="55"/>
        <v>0.864401975756689</v>
      </c>
      <c r="Q128" s="26"/>
      <c r="R128" s="19">
        <v>0.8</v>
      </c>
      <c r="S128" s="9">
        <f t="shared" si="56"/>
        <v>2.25262278015649</v>
      </c>
      <c r="T128" s="9">
        <f t="shared" si="57"/>
        <v>0.924046643554995</v>
      </c>
      <c r="U128" s="10">
        <f t="shared" si="58"/>
        <v>1.3285761366015</v>
      </c>
      <c r="V128" s="8">
        <v>0.9</v>
      </c>
      <c r="W128" s="9">
        <f t="shared" si="59"/>
        <v>2.51205509744514</v>
      </c>
      <c r="X128" s="9">
        <f t="shared" si="60"/>
        <v>0.000162412985796487</v>
      </c>
      <c r="Y128" s="10">
        <f t="shared" si="61"/>
        <v>2.51189268445934</v>
      </c>
    </row>
    <row r="129" spans="1:25">
      <c r="A129" s="5">
        <v>44927</v>
      </c>
      <c r="B129" s="7">
        <v>23</v>
      </c>
      <c r="C129" s="7">
        <v>6289</v>
      </c>
      <c r="D129" s="8">
        <f t="shared" si="48"/>
        <v>0.77</v>
      </c>
      <c r="E129" s="9">
        <f t="shared" si="49"/>
        <v>2.07513936987539</v>
      </c>
      <c r="F129" s="9">
        <f t="shared" si="50"/>
        <v>0.991017964071856</v>
      </c>
      <c r="G129" s="10">
        <f t="shared" si="51"/>
        <v>1.08412140580353</v>
      </c>
      <c r="H129" s="11"/>
      <c r="I129" s="14">
        <v>0.7</v>
      </c>
      <c r="J129" s="9">
        <f t="shared" si="52"/>
        <v>1.87918249793468</v>
      </c>
      <c r="K129" s="8">
        <v>0.8</v>
      </c>
      <c r="L129" s="9">
        <f t="shared" si="53"/>
        <v>2.00378243666262</v>
      </c>
      <c r="M129" s="8">
        <v>0.6</v>
      </c>
      <c r="N129" s="9">
        <f t="shared" si="62"/>
        <v>1.59496021916387</v>
      </c>
      <c r="O129" s="9">
        <f t="shared" si="54"/>
        <v>0.991017964071856</v>
      </c>
      <c r="P129" s="10">
        <f t="shared" si="55"/>
        <v>0.88816453386282</v>
      </c>
      <c r="Q129" s="1"/>
      <c r="R129" s="8">
        <v>0.8</v>
      </c>
      <c r="S129" s="9">
        <f t="shared" si="56"/>
        <v>2.38323187723242</v>
      </c>
      <c r="T129" s="9">
        <f t="shared" si="57"/>
        <v>0.991017964071856</v>
      </c>
      <c r="U129" s="10">
        <f t="shared" si="58"/>
        <v>1.39221391316056</v>
      </c>
      <c r="V129" s="8">
        <v>0.9</v>
      </c>
      <c r="W129" s="9">
        <f t="shared" si="59"/>
        <v>2.67591271592617</v>
      </c>
      <c r="X129" s="9">
        <f t="shared" si="60"/>
        <v>0.000170835393287666</v>
      </c>
      <c r="Y129" s="10">
        <f t="shared" si="61"/>
        <v>2.67574188053288</v>
      </c>
    </row>
    <row r="130" spans="1:25">
      <c r="A130" s="5">
        <v>44958</v>
      </c>
      <c r="B130" s="7">
        <v>38</v>
      </c>
      <c r="C130" s="7">
        <v>6357</v>
      </c>
      <c r="D130" s="8">
        <f t="shared" si="48"/>
        <v>0.62</v>
      </c>
      <c r="E130" s="15">
        <f t="shared" si="49"/>
        <v>2.09241624973016</v>
      </c>
      <c r="F130" s="15">
        <f t="shared" si="50"/>
        <v>1.00173337535455</v>
      </c>
      <c r="G130" s="10">
        <f t="shared" si="51"/>
        <v>1.09068287437561</v>
      </c>
      <c r="H130" s="11"/>
      <c r="I130" s="19">
        <v>0.7</v>
      </c>
      <c r="J130" s="9">
        <f t="shared" si="52"/>
        <v>1.89340559968403</v>
      </c>
      <c r="K130" s="8">
        <v>0.8</v>
      </c>
      <c r="L130" s="15">
        <f t="shared" si="53"/>
        <v>2.02111520253231</v>
      </c>
      <c r="M130" s="8">
        <v>0.6</v>
      </c>
      <c r="N130" s="9">
        <f t="shared" si="62"/>
        <v>1.60292766553774</v>
      </c>
      <c r="O130" s="9">
        <f t="shared" si="54"/>
        <v>1.00173337535455</v>
      </c>
      <c r="P130" s="10">
        <f t="shared" si="55"/>
        <v>0.891672224329477</v>
      </c>
      <c r="Q130" s="1"/>
      <c r="R130" s="8">
        <v>0.8</v>
      </c>
      <c r="S130" s="15">
        <f t="shared" si="56"/>
        <v>2.40384688981334</v>
      </c>
      <c r="T130" s="9">
        <f t="shared" si="57"/>
        <v>1.00173337535455</v>
      </c>
      <c r="U130" s="10">
        <f t="shared" si="58"/>
        <v>1.40211351445879</v>
      </c>
      <c r="V130" s="8">
        <v>0.9</v>
      </c>
      <c r="W130" s="23">
        <f t="shared" si="59"/>
        <v>2.70195276334463</v>
      </c>
      <c r="X130" s="9">
        <f t="shared" si="60"/>
        <v>0.000171869346734259</v>
      </c>
      <c r="Y130" s="10">
        <f t="shared" si="61"/>
        <v>2.70178089399789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sjgs</dc:creator>
  <cp:lastModifiedBy>樊俊材</cp:lastModifiedBy>
  <dcterms:created xsi:type="dcterms:W3CDTF">2023-03-03T00:05:52Z</dcterms:created>
  <dcterms:modified xsi:type="dcterms:W3CDTF">2023-03-03T03:54:48Z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41F786A623E04DAEB3A556A876438A45</vt:lpwstr>
  </property>
  <property fmtid="{D5CDD505-2E9C-101B-9397-08002B2CF9AE}" pid="3" name="KSOProductBuildVer">
    <vt:lpwstr>2052-11.1.0.13703</vt:lpwstr>
  </property>
</Properties>
</file>