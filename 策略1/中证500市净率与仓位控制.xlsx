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<sst xmlns="http://schemas.openxmlformats.org/spreadsheetml/2006/main" count="22" uniqueCount="15">
  <si>
    <t>单纯看市净率百分位无用。需要同时考虑估值因子与动量因子。</t>
  </si>
  <si>
    <t>要理解它是在做钟摆运动</t>
  </si>
  <si>
    <t>每次上升都会突破60%，跌破10%</t>
  </si>
  <si>
    <t>年化</t>
  </si>
  <si>
    <t>总结：市净率下降趋势下不交易</t>
  </si>
  <si>
    <t>日期</t>
  </si>
  <si>
    <t>中证500市净率百分位（近五年）</t>
  </si>
  <si>
    <t>中证500</t>
  </si>
  <si>
    <t>仓位1</t>
  </si>
  <si>
    <t>收益1</t>
  </si>
  <si>
    <t>指数收益率</t>
  </si>
  <si>
    <t>仓位2</t>
  </si>
  <si>
    <t>收益2</t>
  </si>
  <si>
    <t>仓位3</t>
  </si>
  <si>
    <t>收益3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</si>
</sst>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;@"/>
    <numFmt numFmtId="177" formatCode="0.000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3" fillId="8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4" fillId="16" borderId="8" applyNumberFormat="0" applyAlignment="0" applyProtection="0">
      <alignment vertical="center"/>
    </xf>
    <xf numFmtId="0" fontId="15" fillId="16" borderId="4" applyNumberFormat="0" applyAlignment="0" applyProtection="0">
      <alignment vertical="center"/>
    </xf>
    <xf numFmtId="0" fontId="16" fillId="17" borderId="9" applyNumberFormat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vertical="center"/>
    </xf>
    <xf numFmtId="10" fontId="0" fillId="0" borderId="0" xfId="0" applyNumberForma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76" fontId="0" fillId="0" borderId="1" xfId="0" applyNumberFormat="1" applyBorder="1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9" fontId="0" fillId="0" borderId="1" xfId="0" applyNumberFormat="1" applyBorder="1">
      <alignment vertical="center"/>
    </xf>
    <xf numFmtId="177" fontId="0" fillId="0" borderId="1" xfId="0" applyNumberFormat="1" applyBorder="1">
      <alignment vertical="center"/>
    </xf>
    <xf numFmtId="0" fontId="1" fillId="0" borderId="3" xfId="0" applyFont="1" applyBorder="1" applyAlignment="1">
      <alignment vertical="center"/>
    </xf>
    <xf numFmtId="176" fontId="0" fillId="0" borderId="1" xfId="0" applyNumberFormat="1" applyFill="1" applyBorder="1">
      <alignment vertical="center"/>
    </xf>
    <xf numFmtId="0" fontId="0" fillId="0" borderId="1" xfId="0" applyFill="1" applyBorder="1">
      <alignment vertical="center"/>
    </xf>
    <xf numFmtId="9" fontId="0" fillId="0" borderId="1" xfId="0" applyNumberFormat="1" applyFill="1" applyBorder="1">
      <alignment vertical="center"/>
    </xf>
    <xf numFmtId="177" fontId="0" fillId="3" borderId="1" xfId="0" applyNumberFormat="1" applyFill="1" applyBorder="1">
      <alignment vertical="center"/>
    </xf>
    <xf numFmtId="0" fontId="1" fillId="0" borderId="3" xfId="0" applyFont="1" applyFill="1" applyBorder="1" applyAlignment="1">
      <alignment vertical="center"/>
    </xf>
    <xf numFmtId="176" fontId="0" fillId="3" borderId="1" xfId="0" applyNumberFormat="1" applyFill="1" applyBorder="1">
      <alignment vertical="center"/>
    </xf>
    <xf numFmtId="9" fontId="0" fillId="4" borderId="1" xfId="0" applyNumberFormat="1" applyFill="1" applyBorder="1">
      <alignment vertical="center"/>
    </xf>
    <xf numFmtId="0" fontId="0" fillId="0" borderId="0" xfId="0" applyFill="1" applyAlignment="1">
      <alignment vertical="center"/>
    </xf>
    <xf numFmtId="177" fontId="0" fillId="5" borderId="1" xfId="0" applyNumberFormat="1" applyFill="1" applyBorder="1">
      <alignment vertical="center"/>
    </xf>
    <xf numFmtId="9" fontId="0" fillId="6" borderId="1" xfId="0" applyNumberFormat="1" applyFill="1" applyBorder="1">
      <alignment vertical="center"/>
    </xf>
    <xf numFmtId="177" fontId="0" fillId="0" borderId="1" xfId="0" applyNumberFormat="1" applyFill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Sheet1!$N$6</c:f>
              <c:strCache>
                <c:ptCount val="1"/>
                <c:pt idx="0">
                  <c:v>收益3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Sheet1!$A$7:$A$130</c:f>
              <c:numCache>
                <c:formatCode>yyyy"年"m"月";@</c:formatCode>
                <c:ptCount val="124"/>
                <c:pt idx="0" c:formatCode="yyyy&quot;年&quot;m&quot;月&quot;;@">
                  <c:v>41214</c:v>
                </c:pt>
                <c:pt idx="1" c:formatCode="yyyy&quot;年&quot;m&quot;月&quot;;@">
                  <c:v>41609</c:v>
                </c:pt>
                <c:pt idx="2" c:formatCode="yyyy&quot;年&quot;m&quot;月&quot;;@">
                  <c:v>41275</c:v>
                </c:pt>
                <c:pt idx="3" c:formatCode="yyyy&quot;年&quot;m&quot;月&quot;;@">
                  <c:v>41306</c:v>
                </c:pt>
                <c:pt idx="4" c:formatCode="yyyy&quot;年&quot;m&quot;月&quot;;@">
                  <c:v>41334</c:v>
                </c:pt>
                <c:pt idx="5" c:formatCode="yyyy&quot;年&quot;m&quot;月&quot;;@">
                  <c:v>41365</c:v>
                </c:pt>
                <c:pt idx="6" c:formatCode="yyyy&quot;年&quot;m&quot;月&quot;;@">
                  <c:v>41395</c:v>
                </c:pt>
                <c:pt idx="7" c:formatCode="yyyy&quot;年&quot;m&quot;月&quot;;@">
                  <c:v>41426</c:v>
                </c:pt>
                <c:pt idx="8" c:formatCode="yyyy&quot;年&quot;m&quot;月&quot;;@">
                  <c:v>41456</c:v>
                </c:pt>
                <c:pt idx="9" c:formatCode="yyyy&quot;年&quot;m&quot;月&quot;;@">
                  <c:v>41487</c:v>
                </c:pt>
                <c:pt idx="10" c:formatCode="yyyy&quot;年&quot;m&quot;月&quot;;@">
                  <c:v>41518</c:v>
                </c:pt>
                <c:pt idx="11" c:formatCode="yyyy&quot;年&quot;m&quot;月&quot;;@">
                  <c:v>41548</c:v>
                </c:pt>
                <c:pt idx="12" c:formatCode="yyyy&quot;年&quot;m&quot;月&quot;;@">
                  <c:v>41579</c:v>
                </c:pt>
                <c:pt idx="13" c:formatCode="yyyy&quot;年&quot;m&quot;月&quot;;@">
                  <c:v>41609</c:v>
                </c:pt>
                <c:pt idx="14" c:formatCode="yyyy&quot;年&quot;m&quot;月&quot;;@">
                  <c:v>41640</c:v>
                </c:pt>
                <c:pt idx="15" c:formatCode="yyyy&quot;年&quot;m&quot;月&quot;;@">
                  <c:v>41671</c:v>
                </c:pt>
                <c:pt idx="16" c:formatCode="yyyy&quot;年&quot;m&quot;月&quot;;@">
                  <c:v>41699</c:v>
                </c:pt>
                <c:pt idx="17" c:formatCode="yyyy&quot;年&quot;m&quot;月&quot;;@">
                  <c:v>41730</c:v>
                </c:pt>
                <c:pt idx="18" c:formatCode="yyyy&quot;年&quot;m&quot;月&quot;;@">
                  <c:v>41760</c:v>
                </c:pt>
                <c:pt idx="19" c:formatCode="yyyy&quot;年&quot;m&quot;月&quot;;@">
                  <c:v>41791</c:v>
                </c:pt>
                <c:pt idx="20" c:formatCode="yyyy&quot;年&quot;m&quot;月&quot;;@">
                  <c:v>41821</c:v>
                </c:pt>
                <c:pt idx="21" c:formatCode="yyyy&quot;年&quot;m&quot;月&quot;;@">
                  <c:v>41852</c:v>
                </c:pt>
                <c:pt idx="22" c:formatCode="yyyy&quot;年&quot;m&quot;月&quot;;@">
                  <c:v>41883</c:v>
                </c:pt>
                <c:pt idx="23" c:formatCode="yyyy&quot;年&quot;m&quot;月&quot;;@">
                  <c:v>41913</c:v>
                </c:pt>
                <c:pt idx="24" c:formatCode="yyyy&quot;年&quot;m&quot;月&quot;;@">
                  <c:v>41944</c:v>
                </c:pt>
                <c:pt idx="25" c:formatCode="yyyy&quot;年&quot;m&quot;月&quot;;@">
                  <c:v>41974</c:v>
                </c:pt>
                <c:pt idx="26" c:formatCode="yyyy&quot;年&quot;m&quot;月&quot;;@">
                  <c:v>42005</c:v>
                </c:pt>
                <c:pt idx="27" c:formatCode="yyyy&quot;年&quot;m&quot;月&quot;;@">
                  <c:v>42036</c:v>
                </c:pt>
                <c:pt idx="28" c:formatCode="yyyy&quot;年&quot;m&quot;月&quot;;@">
                  <c:v>42064</c:v>
                </c:pt>
                <c:pt idx="29" c:formatCode="yyyy&quot;年&quot;m&quot;月&quot;;@">
                  <c:v>42095</c:v>
                </c:pt>
                <c:pt idx="30" c:formatCode="yyyy&quot;年&quot;m&quot;月&quot;;@">
                  <c:v>42125</c:v>
                </c:pt>
                <c:pt idx="31" c:formatCode="yyyy&quot;年&quot;m&quot;月&quot;;@">
                  <c:v>42156</c:v>
                </c:pt>
                <c:pt idx="32" c:formatCode="yyyy&quot;年&quot;m&quot;月&quot;;@">
                  <c:v>42186</c:v>
                </c:pt>
                <c:pt idx="33" c:formatCode="yyyy&quot;年&quot;m&quot;月&quot;;@">
                  <c:v>42217</c:v>
                </c:pt>
                <c:pt idx="34" c:formatCode="yyyy&quot;年&quot;m&quot;月&quot;;@">
                  <c:v>42248</c:v>
                </c:pt>
                <c:pt idx="35" c:formatCode="yyyy&quot;年&quot;m&quot;月&quot;;@">
                  <c:v>42278</c:v>
                </c:pt>
                <c:pt idx="36" c:formatCode="yyyy&quot;年&quot;m&quot;月&quot;;@">
                  <c:v>42309</c:v>
                </c:pt>
                <c:pt idx="37" c:formatCode="yyyy&quot;年&quot;m&quot;月&quot;;@">
                  <c:v>42339</c:v>
                </c:pt>
                <c:pt idx="38" c:formatCode="yyyy&quot;年&quot;m&quot;月&quot;;@">
                  <c:v>42370</c:v>
                </c:pt>
                <c:pt idx="39" c:formatCode="yyyy&quot;年&quot;m&quot;月&quot;;@">
                  <c:v>42401</c:v>
                </c:pt>
                <c:pt idx="40" c:formatCode="yyyy&quot;年&quot;m&quot;月&quot;;@">
                  <c:v>42430</c:v>
                </c:pt>
                <c:pt idx="41" c:formatCode="yyyy&quot;年&quot;m&quot;月&quot;;@">
                  <c:v>42461</c:v>
                </c:pt>
                <c:pt idx="42" c:formatCode="yyyy&quot;年&quot;m&quot;月&quot;;@">
                  <c:v>42491</c:v>
                </c:pt>
                <c:pt idx="43" c:formatCode="yyyy&quot;年&quot;m&quot;月&quot;;@">
                  <c:v>42522</c:v>
                </c:pt>
                <c:pt idx="44" c:formatCode="yyyy&quot;年&quot;m&quot;月&quot;;@">
                  <c:v>42552</c:v>
                </c:pt>
                <c:pt idx="45" c:formatCode="yyyy&quot;年&quot;m&quot;月&quot;;@">
                  <c:v>42583</c:v>
                </c:pt>
                <c:pt idx="46" c:formatCode="yyyy&quot;年&quot;m&quot;月&quot;;@">
                  <c:v>42614</c:v>
                </c:pt>
                <c:pt idx="47" c:formatCode="yyyy&quot;年&quot;m&quot;月&quot;;@">
                  <c:v>42644</c:v>
                </c:pt>
                <c:pt idx="48" c:formatCode="yyyy&quot;年&quot;m&quot;月&quot;;@">
                  <c:v>42675</c:v>
                </c:pt>
                <c:pt idx="49" c:formatCode="yyyy&quot;年&quot;m&quot;月&quot;;@">
                  <c:v>42705</c:v>
                </c:pt>
                <c:pt idx="50" c:formatCode="yyyy&quot;年&quot;m&quot;月&quot;;@">
                  <c:v>42736</c:v>
                </c:pt>
                <c:pt idx="51" c:formatCode="yyyy&quot;年&quot;m&quot;月&quot;;@">
                  <c:v>42767</c:v>
                </c:pt>
                <c:pt idx="52" c:formatCode="yyyy&quot;年&quot;m&quot;月&quot;;@">
                  <c:v>42795</c:v>
                </c:pt>
                <c:pt idx="53" c:formatCode="yyyy&quot;年&quot;m&quot;月&quot;;@">
                  <c:v>42826</c:v>
                </c:pt>
                <c:pt idx="54" c:formatCode="yyyy&quot;年&quot;m&quot;月&quot;;@">
                  <c:v>42856</c:v>
                </c:pt>
                <c:pt idx="55" c:formatCode="yyyy&quot;年&quot;m&quot;月&quot;;@">
                  <c:v>42887</c:v>
                </c:pt>
                <c:pt idx="56" c:formatCode="yyyy&quot;年&quot;m&quot;月&quot;;@">
                  <c:v>42917</c:v>
                </c:pt>
                <c:pt idx="57" c:formatCode="yyyy&quot;年&quot;m&quot;月&quot;;@">
                  <c:v>42948</c:v>
                </c:pt>
                <c:pt idx="58" c:formatCode="yyyy&quot;年&quot;m&quot;月&quot;;@">
                  <c:v>42979</c:v>
                </c:pt>
                <c:pt idx="59" c:formatCode="yyyy&quot;年&quot;m&quot;月&quot;;@">
                  <c:v>43009</c:v>
                </c:pt>
                <c:pt idx="60" c:formatCode="yyyy&quot;年&quot;m&quot;月&quot;;@">
                  <c:v>43040</c:v>
                </c:pt>
                <c:pt idx="61" c:formatCode="yyyy&quot;年&quot;m&quot;月&quot;;@">
                  <c:v>43070</c:v>
                </c:pt>
                <c:pt idx="62" c:formatCode="yyyy&quot;年&quot;m&quot;月&quot;;@">
                  <c:v>43101</c:v>
                </c:pt>
                <c:pt idx="63" c:formatCode="yyyy&quot;年&quot;m&quot;月&quot;;@">
                  <c:v>43132</c:v>
                </c:pt>
                <c:pt idx="64" c:formatCode="yyyy&quot;年&quot;m&quot;月&quot;;@">
                  <c:v>43160</c:v>
                </c:pt>
                <c:pt idx="65" c:formatCode="yyyy&quot;年&quot;m&quot;月&quot;;@">
                  <c:v>43191</c:v>
                </c:pt>
                <c:pt idx="66" c:formatCode="yyyy&quot;年&quot;m&quot;月&quot;;@">
                  <c:v>43221</c:v>
                </c:pt>
                <c:pt idx="67" c:formatCode="yyyy&quot;年&quot;m&quot;月&quot;;@">
                  <c:v>43252</c:v>
                </c:pt>
                <c:pt idx="68" c:formatCode="yyyy&quot;年&quot;m&quot;月&quot;;@">
                  <c:v>43282</c:v>
                </c:pt>
                <c:pt idx="69" c:formatCode="yyyy&quot;年&quot;m&quot;月&quot;;@">
                  <c:v>43313</c:v>
                </c:pt>
                <c:pt idx="70" c:formatCode="yyyy&quot;年&quot;m&quot;月&quot;;@">
                  <c:v>43344</c:v>
                </c:pt>
                <c:pt idx="71" c:formatCode="yyyy&quot;年&quot;m&quot;月&quot;;@">
                  <c:v>43374</c:v>
                </c:pt>
                <c:pt idx="72" c:formatCode="yyyy&quot;年&quot;m&quot;月&quot;;@">
                  <c:v>43405</c:v>
                </c:pt>
                <c:pt idx="73" c:formatCode="yyyy&quot;年&quot;m&quot;月&quot;;@">
                  <c:v>43435</c:v>
                </c:pt>
                <c:pt idx="74" c:formatCode="yyyy&quot;年&quot;m&quot;月&quot;;@">
                  <c:v>43466</c:v>
                </c:pt>
                <c:pt idx="75" c:formatCode="yyyy&quot;年&quot;m&quot;月&quot;;@">
                  <c:v>43497</c:v>
                </c:pt>
                <c:pt idx="76" c:formatCode="yyyy&quot;年&quot;m&quot;月&quot;;@">
                  <c:v>43525</c:v>
                </c:pt>
                <c:pt idx="77" c:formatCode="yyyy&quot;年&quot;m&quot;月&quot;;@">
                  <c:v>43556</c:v>
                </c:pt>
                <c:pt idx="78" c:formatCode="yyyy&quot;年&quot;m&quot;月&quot;;@">
                  <c:v>43586</c:v>
                </c:pt>
                <c:pt idx="79" c:formatCode="yyyy&quot;年&quot;m&quot;月&quot;;@">
                  <c:v>43617</c:v>
                </c:pt>
                <c:pt idx="80" c:formatCode="yyyy&quot;年&quot;m&quot;月&quot;;@">
                  <c:v>43647</c:v>
                </c:pt>
                <c:pt idx="81" c:formatCode="yyyy&quot;年&quot;m&quot;月&quot;;@">
                  <c:v>43678</c:v>
                </c:pt>
                <c:pt idx="82" c:formatCode="yyyy&quot;年&quot;m&quot;月&quot;;@">
                  <c:v>43709</c:v>
                </c:pt>
                <c:pt idx="83" c:formatCode="yyyy&quot;年&quot;m&quot;月&quot;;@">
                  <c:v>43739</c:v>
                </c:pt>
                <c:pt idx="84" c:formatCode="yyyy&quot;年&quot;m&quot;月&quot;;@">
                  <c:v>43770</c:v>
                </c:pt>
                <c:pt idx="85" c:formatCode="yyyy&quot;年&quot;m&quot;月&quot;;@">
                  <c:v>43800</c:v>
                </c:pt>
                <c:pt idx="86" c:formatCode="yyyy&quot;年&quot;m&quot;月&quot;;@">
                  <c:v>43831</c:v>
                </c:pt>
                <c:pt idx="87" c:formatCode="yyyy&quot;年&quot;m&quot;月&quot;;@">
                  <c:v>43862</c:v>
                </c:pt>
                <c:pt idx="88" c:formatCode="yyyy&quot;年&quot;m&quot;月&quot;;@">
                  <c:v>43891</c:v>
                </c:pt>
                <c:pt idx="89" c:formatCode="yyyy&quot;年&quot;m&quot;月&quot;;@">
                  <c:v>43922</c:v>
                </c:pt>
                <c:pt idx="90" c:formatCode="yyyy&quot;年&quot;m&quot;月&quot;;@">
                  <c:v>43952</c:v>
                </c:pt>
                <c:pt idx="91" c:formatCode="yyyy&quot;年&quot;m&quot;月&quot;;@">
                  <c:v>43983</c:v>
                </c:pt>
                <c:pt idx="92" c:formatCode="yyyy&quot;年&quot;m&quot;月&quot;;@">
                  <c:v>44013</c:v>
                </c:pt>
                <c:pt idx="93" c:formatCode="yyyy&quot;年&quot;m&quot;月&quot;;@">
                  <c:v>44044</c:v>
                </c:pt>
                <c:pt idx="94" c:formatCode="yyyy&quot;年&quot;m&quot;月&quot;;@">
                  <c:v>44075</c:v>
                </c:pt>
                <c:pt idx="95" c:formatCode="yyyy&quot;年&quot;m&quot;月&quot;;@">
                  <c:v>44105</c:v>
                </c:pt>
                <c:pt idx="96" c:formatCode="yyyy&quot;年&quot;m&quot;月&quot;;@">
                  <c:v>44136</c:v>
                </c:pt>
                <c:pt idx="97" c:formatCode="yyyy&quot;年&quot;m&quot;月&quot;;@">
                  <c:v>44166</c:v>
                </c:pt>
                <c:pt idx="98" c:formatCode="yyyy&quot;年&quot;m&quot;月&quot;;@">
                  <c:v>44197</c:v>
                </c:pt>
                <c:pt idx="99" c:formatCode="yyyy&quot;年&quot;m&quot;月&quot;;@">
                  <c:v>44228</c:v>
                </c:pt>
                <c:pt idx="100" c:formatCode="yyyy&quot;年&quot;m&quot;月&quot;;@">
                  <c:v>44256</c:v>
                </c:pt>
                <c:pt idx="101" c:formatCode="yyyy&quot;年&quot;m&quot;月&quot;;@">
                  <c:v>44287</c:v>
                </c:pt>
                <c:pt idx="102" c:formatCode="yyyy&quot;年&quot;m&quot;月&quot;;@">
                  <c:v>44317</c:v>
                </c:pt>
                <c:pt idx="103" c:formatCode="yyyy&quot;年&quot;m&quot;月&quot;;@">
                  <c:v>44348</c:v>
                </c:pt>
                <c:pt idx="104" c:formatCode="yyyy&quot;年&quot;m&quot;月&quot;;@">
                  <c:v>44378</c:v>
                </c:pt>
                <c:pt idx="105" c:formatCode="yyyy&quot;年&quot;m&quot;月&quot;;@">
                  <c:v>44409</c:v>
                </c:pt>
                <c:pt idx="106" c:formatCode="yyyy&quot;年&quot;m&quot;月&quot;;@">
                  <c:v>44440</c:v>
                </c:pt>
                <c:pt idx="107" c:formatCode="yyyy&quot;年&quot;m&quot;月&quot;;@">
                  <c:v>44470</c:v>
                </c:pt>
                <c:pt idx="108" c:formatCode="yyyy&quot;年&quot;m&quot;月&quot;;@">
                  <c:v>44501</c:v>
                </c:pt>
                <c:pt idx="109" c:formatCode="yyyy&quot;年&quot;m&quot;月&quot;;@">
                  <c:v>44531</c:v>
                </c:pt>
                <c:pt idx="110" c:formatCode="yyyy&quot;年&quot;m&quot;月&quot;;@">
                  <c:v>44562</c:v>
                </c:pt>
                <c:pt idx="111" c:formatCode="yyyy&quot;年&quot;m&quot;月&quot;;@">
                  <c:v>44593</c:v>
                </c:pt>
                <c:pt idx="112" c:formatCode="yyyy&quot;年&quot;m&quot;月&quot;;@">
                  <c:v>44621</c:v>
                </c:pt>
                <c:pt idx="113" c:formatCode="yyyy&quot;年&quot;m&quot;月&quot;;@">
                  <c:v>44652</c:v>
                </c:pt>
                <c:pt idx="114" c:formatCode="yyyy&quot;年&quot;m&quot;月&quot;;@">
                  <c:v>44682</c:v>
                </c:pt>
                <c:pt idx="115" c:formatCode="yyyy&quot;年&quot;m&quot;月&quot;;@">
                  <c:v>44713</c:v>
                </c:pt>
                <c:pt idx="116" c:formatCode="yyyy&quot;年&quot;m&quot;月&quot;;@">
                  <c:v>44743</c:v>
                </c:pt>
                <c:pt idx="117" c:formatCode="yyyy&quot;年&quot;m&quot;月&quot;;@">
                  <c:v>44774</c:v>
                </c:pt>
                <c:pt idx="118" c:formatCode="yyyy&quot;年&quot;m&quot;月&quot;;@">
                  <c:v>44805</c:v>
                </c:pt>
                <c:pt idx="119" c:formatCode="yyyy&quot;年&quot;m&quot;月&quot;;@">
                  <c:v>44835</c:v>
                </c:pt>
                <c:pt idx="120" c:formatCode="yyyy&quot;年&quot;m&quot;月&quot;;@">
                  <c:v>44866</c:v>
                </c:pt>
                <c:pt idx="121" c:formatCode="yyyy&quot;年&quot;m&quot;月&quot;;@">
                  <c:v>44896</c:v>
                </c:pt>
                <c:pt idx="122" c:formatCode="yyyy&quot;年&quot;m&quot;月&quot;;@">
                  <c:v>44927</c:v>
                </c:pt>
                <c:pt idx="123" c:formatCode="yyyy&quot;年&quot;m&quot;月&quot;;@">
                  <c:v>44958</c:v>
                </c:pt>
              </c:numCache>
            </c:numRef>
          </c:cat>
          <c:val>
            <c:numRef>
              <c:f>Sheet1!$N$7:$N$130</c:f>
              <c:numCache>
                <c:formatCode>0.000_ </c:formatCode>
                <c:ptCount val="124"/>
                <c:pt idx="0">
                  <c:v>1</c:v>
                </c:pt>
                <c:pt idx="1">
                  <c:v>1.13039772727273</c:v>
                </c:pt>
                <c:pt idx="2">
                  <c:v>1.18700390353921</c:v>
                </c:pt>
                <c:pt idx="3">
                  <c:v>1.22193183449393</c:v>
                </c:pt>
                <c:pt idx="4">
                  <c:v>1.17831076457075</c:v>
                </c:pt>
                <c:pt idx="5">
                  <c:v>1.1564332220896</c:v>
                </c:pt>
                <c:pt idx="6">
                  <c:v>1.28667363724148</c:v>
                </c:pt>
                <c:pt idx="7">
                  <c:v>1.12427338227281</c:v>
                </c:pt>
                <c:pt idx="8">
                  <c:v>1.17848872930049</c:v>
                </c:pt>
                <c:pt idx="9">
                  <c:v>1.24280741446814</c:v>
                </c:pt>
                <c:pt idx="10">
                  <c:v>1.29924932324748</c:v>
                </c:pt>
                <c:pt idx="11">
                  <c:v>1.25656737233915</c:v>
                </c:pt>
                <c:pt idx="12">
                  <c:v>1.3196495587663</c:v>
                </c:pt>
                <c:pt idx="13">
                  <c:v>1.28834717693646</c:v>
                </c:pt>
                <c:pt idx="14">
                  <c:v>1.30342107443627</c:v>
                </c:pt>
                <c:pt idx="15">
                  <c:v>1.32757714068065</c:v>
                </c:pt>
                <c:pt idx="16">
                  <c:v>1.29150712025461</c:v>
                </c:pt>
                <c:pt idx="17">
                  <c:v>1.27159638548402</c:v>
                </c:pt>
                <c:pt idx="18">
                  <c:v>1.2886140322786</c:v>
                </c:pt>
                <c:pt idx="19">
                  <c:v>1.31419111936483</c:v>
                </c:pt>
                <c:pt idx="20">
                  <c:v>1.40341143389051</c:v>
                </c:pt>
                <c:pt idx="21">
                  <c:v>1.44824675336646</c:v>
                </c:pt>
                <c:pt idx="22">
                  <c:v>1.57622374227926</c:v>
                </c:pt>
                <c:pt idx="23">
                  <c:v>1.59417909817178</c:v>
                </c:pt>
                <c:pt idx="24">
                  <c:v>1.66042737517563</c:v>
                </c:pt>
                <c:pt idx="25">
                  <c:v>1.67992829534929</c:v>
                </c:pt>
                <c:pt idx="26">
                  <c:v>1.69949904963558</c:v>
                </c:pt>
                <c:pt idx="27">
                  <c:v>1.72279473973357</c:v>
                </c:pt>
                <c:pt idx="28">
                  <c:v>1.7935043277552</c:v>
                </c:pt>
                <c:pt idx="29">
                  <c:v>1.85364223655295</c:v>
                </c:pt>
                <c:pt idx="30">
                  <c:v>1.91917305313389</c:v>
                </c:pt>
                <c:pt idx="31">
                  <c:v>1.8783477784736</c:v>
                </c:pt>
                <c:pt idx="32">
                  <c:v>1.82861564214258</c:v>
                </c:pt>
                <c:pt idx="33">
                  <c:v>1.77437483650274</c:v>
                </c:pt>
                <c:pt idx="34">
                  <c:v>1.74967756632744</c:v>
                </c:pt>
                <c:pt idx="35">
                  <c:v>1.80459966795215</c:v>
                </c:pt>
                <c:pt idx="36">
                  <c:v>1.82110701669344</c:v>
                </c:pt>
                <c:pt idx="37">
                  <c:v>1.83138270153386</c:v>
                </c:pt>
                <c:pt idx="38">
                  <c:v>1.72809242864703</c:v>
                </c:pt>
                <c:pt idx="39">
                  <c:v>1.72057211418336</c:v>
                </c:pt>
                <c:pt idx="40">
                  <c:v>1.77235007874103</c:v>
                </c:pt>
                <c:pt idx="41">
                  <c:v>1.7625596802557</c:v>
                </c:pt>
                <c:pt idx="42">
                  <c:v>1.76032150923316</c:v>
                </c:pt>
                <c:pt idx="43">
                  <c:v>1.77074076551784</c:v>
                </c:pt>
                <c:pt idx="44">
                  <c:v>1.77531004595148</c:v>
                </c:pt>
                <c:pt idx="45">
                  <c:v>1.78859195277704</c:v>
                </c:pt>
                <c:pt idx="46">
                  <c:v>1.78269855063236</c:v>
                </c:pt>
                <c:pt idx="47">
                  <c:v>1.78968510626695</c:v>
                </c:pt>
                <c:pt idx="48">
                  <c:v>1.79706353525435</c:v>
                </c:pt>
                <c:pt idx="49">
                  <c:v>1.77948860865293</c:v>
                </c:pt>
                <c:pt idx="50">
                  <c:v>1.77721559111034</c:v>
                </c:pt>
                <c:pt idx="51">
                  <c:v>1.79018129701367</c:v>
                </c:pt>
                <c:pt idx="52">
                  <c:v>1.78746133163216</c:v>
                </c:pt>
                <c:pt idx="53">
                  <c:v>1.77684993800585</c:v>
                </c:pt>
                <c:pt idx="54">
                  <c:v>1.75470725805067</c:v>
                </c:pt>
                <c:pt idx="55">
                  <c:v>1.77362820856673</c:v>
                </c:pt>
                <c:pt idx="56">
                  <c:v>1.78287488544424</c:v>
                </c:pt>
                <c:pt idx="57">
                  <c:v>1.79261303978836</c:v>
                </c:pt>
                <c:pt idx="58">
                  <c:v>1.79998297902459</c:v>
                </c:pt>
                <c:pt idx="59">
                  <c:v>1.79763861227923</c:v>
                </c:pt>
                <c:pt idx="60">
                  <c:v>1.78136121386926</c:v>
                </c:pt>
                <c:pt idx="61">
                  <c:v>1.78062170578111</c:v>
                </c:pt>
                <c:pt idx="62">
                  <c:v>1.77714593221143</c:v>
                </c:pt>
                <c:pt idx="63">
                  <c:v>1.7676126885615</c:v>
                </c:pt>
                <c:pt idx="64">
                  <c:v>1.77295397212979</c:v>
                </c:pt>
                <c:pt idx="65">
                  <c:v>1.7582228530941</c:v>
                </c:pt>
                <c:pt idx="66">
                  <c:v>1.75186204686789</c:v>
                </c:pt>
                <c:pt idx="67">
                  <c:v>1.71916305767192</c:v>
                </c:pt>
                <c:pt idx="68">
                  <c:v>1.71725177806017</c:v>
                </c:pt>
                <c:pt idx="69">
                  <c:v>1.69236023339747</c:v>
                </c:pt>
                <c:pt idx="70">
                  <c:v>1.69151616345562</c:v>
                </c:pt>
                <c:pt idx="71">
                  <c:v>1.6543028078596</c:v>
                </c:pt>
                <c:pt idx="72">
                  <c:v>1.66235746572558</c:v>
                </c:pt>
                <c:pt idx="73">
                  <c:v>1.64655443314464</c:v>
                </c:pt>
                <c:pt idx="74">
                  <c:v>1.64718650778309</c:v>
                </c:pt>
                <c:pt idx="75">
                  <c:v>1.71416262584381</c:v>
                </c:pt>
                <c:pt idx="76">
                  <c:v>1.85661721540647</c:v>
                </c:pt>
                <c:pt idx="77">
                  <c:v>1.79235355841025</c:v>
                </c:pt>
                <c:pt idx="78">
                  <c:v>1.68562966083014</c:v>
                </c:pt>
                <c:pt idx="79">
                  <c:v>1.69606189651606</c:v>
                </c:pt>
                <c:pt idx="80">
                  <c:v>1.68317867887787</c:v>
                </c:pt>
                <c:pt idx="81">
                  <c:v>1.67850985774128</c:v>
                </c:pt>
                <c:pt idx="82">
                  <c:v>1.69335055071189</c:v>
                </c:pt>
                <c:pt idx="83">
                  <c:v>1.68704333408576</c:v>
                </c:pt>
                <c:pt idx="84">
                  <c:v>1.68073021687055</c:v>
                </c:pt>
                <c:pt idx="85">
                  <c:v>1.77606546578826</c:v>
                </c:pt>
                <c:pt idx="86">
                  <c:v>1.812935514</c:v>
                </c:pt>
                <c:pt idx="87">
                  <c:v>1.83289567439219</c:v>
                </c:pt>
                <c:pt idx="88">
                  <c:v>1.72260585945904</c:v>
                </c:pt>
                <c:pt idx="89">
                  <c:v>1.80789894069708</c:v>
                </c:pt>
                <c:pt idx="90">
                  <c:v>1.82221893230656</c:v>
                </c:pt>
                <c:pt idx="91">
                  <c:v>1.94572263500673</c:v>
                </c:pt>
                <c:pt idx="92">
                  <c:v>2.13551686202308</c:v>
                </c:pt>
                <c:pt idx="93">
                  <c:v>2.15862809482077</c:v>
                </c:pt>
                <c:pt idx="94">
                  <c:v>2.03535191328092</c:v>
                </c:pt>
                <c:pt idx="95">
                  <c:v>2.01405171883961</c:v>
                </c:pt>
                <c:pt idx="96">
                  <c:v>2.06915717578446</c:v>
                </c:pt>
                <c:pt idx="97">
                  <c:v>2.05579932566231</c:v>
                </c:pt>
                <c:pt idx="98">
                  <c:v>2.07599987414864</c:v>
                </c:pt>
                <c:pt idx="99">
                  <c:v>2.08071062079026</c:v>
                </c:pt>
                <c:pt idx="100">
                  <c:v>2.05193900944055</c:v>
                </c:pt>
                <c:pt idx="101">
                  <c:v>2.11257193699805</c:v>
                </c:pt>
                <c:pt idx="102">
                  <c:v>2.17616084094593</c:v>
                </c:pt>
                <c:pt idx="103">
                  <c:v>2.19659974199331</c:v>
                </c:pt>
                <c:pt idx="104">
                  <c:v>2.18601682901778</c:v>
                </c:pt>
                <c:pt idx="105">
                  <c:v>2.31213194207357</c:v>
                </c:pt>
                <c:pt idx="106">
                  <c:v>2.27363359078447</c:v>
                </c:pt>
                <c:pt idx="107">
                  <c:v>2.26844878445413</c:v>
                </c:pt>
                <c:pt idx="108">
                  <c:v>2.28330691404047</c:v>
                </c:pt>
                <c:pt idx="109">
                  <c:v>2.28695869402157</c:v>
                </c:pt>
                <c:pt idx="110">
                  <c:v>2.24122577635422</c:v>
                </c:pt>
                <c:pt idx="111">
                  <c:v>2.25982318173248</c:v>
                </c:pt>
                <c:pt idx="112">
                  <c:v>2.22500086625153</c:v>
                </c:pt>
                <c:pt idx="113">
                  <c:v>2.17596290249573</c:v>
                </c:pt>
                <c:pt idx="114">
                  <c:v>2.29906641851467</c:v>
                </c:pt>
                <c:pt idx="115">
                  <c:v>2.42970039490024</c:v>
                </c:pt>
                <c:pt idx="116">
                  <c:v>2.38151296841322</c:v>
                </c:pt>
                <c:pt idx="117">
                  <c:v>2.33974000500159</c:v>
                </c:pt>
                <c:pt idx="118">
                  <c:v>2.20534558236212</c:v>
                </c:pt>
                <c:pt idx="119">
                  <c:v>2.23406061759624</c:v>
                </c:pt>
                <c:pt idx="120">
                  <c:v>2.34147403664788</c:v>
                </c:pt>
                <c:pt idx="121">
                  <c:v>2.25262278015649</c:v>
                </c:pt>
                <c:pt idx="122">
                  <c:v>2.38323187723242</c:v>
                </c:pt>
                <c:pt idx="123">
                  <c:v>2.40384688981334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75219980"/>
        <c:axId val="814072138"/>
      </c:lineChart>
      <c:dateAx>
        <c:axId val="97521998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14072138"/>
        <c:crosses val="autoZero"/>
        <c:auto val="1"/>
        <c:lblOffset val="100"/>
        <c:baseTimeUnit val="days"/>
      </c:dateAx>
      <c:valAx>
        <c:axId val="81407213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752199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Sheet1!$N$6</c:f>
              <c:strCache>
                <c:ptCount val="1"/>
                <c:pt idx="0">
                  <c:v>收益3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Sheet1!$A$7:$A$130</c:f>
              <c:numCache>
                <c:formatCode>yyyy"年"m"月";@</c:formatCode>
                <c:ptCount val="124"/>
                <c:pt idx="0" c:formatCode="yyyy&quot;年&quot;m&quot;月&quot;;@">
                  <c:v>41214</c:v>
                </c:pt>
                <c:pt idx="1" c:formatCode="yyyy&quot;年&quot;m&quot;月&quot;;@">
                  <c:v>41609</c:v>
                </c:pt>
                <c:pt idx="2" c:formatCode="yyyy&quot;年&quot;m&quot;月&quot;;@">
                  <c:v>41275</c:v>
                </c:pt>
                <c:pt idx="3" c:formatCode="yyyy&quot;年&quot;m&quot;月&quot;;@">
                  <c:v>41306</c:v>
                </c:pt>
                <c:pt idx="4" c:formatCode="yyyy&quot;年&quot;m&quot;月&quot;;@">
                  <c:v>41334</c:v>
                </c:pt>
                <c:pt idx="5" c:formatCode="yyyy&quot;年&quot;m&quot;月&quot;;@">
                  <c:v>41365</c:v>
                </c:pt>
                <c:pt idx="6" c:formatCode="yyyy&quot;年&quot;m&quot;月&quot;;@">
                  <c:v>41395</c:v>
                </c:pt>
                <c:pt idx="7" c:formatCode="yyyy&quot;年&quot;m&quot;月&quot;;@">
                  <c:v>41426</c:v>
                </c:pt>
                <c:pt idx="8" c:formatCode="yyyy&quot;年&quot;m&quot;月&quot;;@">
                  <c:v>41456</c:v>
                </c:pt>
                <c:pt idx="9" c:formatCode="yyyy&quot;年&quot;m&quot;月&quot;;@">
                  <c:v>41487</c:v>
                </c:pt>
                <c:pt idx="10" c:formatCode="yyyy&quot;年&quot;m&quot;月&quot;;@">
                  <c:v>41518</c:v>
                </c:pt>
                <c:pt idx="11" c:formatCode="yyyy&quot;年&quot;m&quot;月&quot;;@">
                  <c:v>41548</c:v>
                </c:pt>
                <c:pt idx="12" c:formatCode="yyyy&quot;年&quot;m&quot;月&quot;;@">
                  <c:v>41579</c:v>
                </c:pt>
                <c:pt idx="13" c:formatCode="yyyy&quot;年&quot;m&quot;月&quot;;@">
                  <c:v>41609</c:v>
                </c:pt>
                <c:pt idx="14" c:formatCode="yyyy&quot;年&quot;m&quot;月&quot;;@">
                  <c:v>41640</c:v>
                </c:pt>
                <c:pt idx="15" c:formatCode="yyyy&quot;年&quot;m&quot;月&quot;;@">
                  <c:v>41671</c:v>
                </c:pt>
                <c:pt idx="16" c:formatCode="yyyy&quot;年&quot;m&quot;月&quot;;@">
                  <c:v>41699</c:v>
                </c:pt>
                <c:pt idx="17" c:formatCode="yyyy&quot;年&quot;m&quot;月&quot;;@">
                  <c:v>41730</c:v>
                </c:pt>
                <c:pt idx="18" c:formatCode="yyyy&quot;年&quot;m&quot;月&quot;;@">
                  <c:v>41760</c:v>
                </c:pt>
                <c:pt idx="19" c:formatCode="yyyy&quot;年&quot;m&quot;月&quot;;@">
                  <c:v>41791</c:v>
                </c:pt>
                <c:pt idx="20" c:formatCode="yyyy&quot;年&quot;m&quot;月&quot;;@">
                  <c:v>41821</c:v>
                </c:pt>
                <c:pt idx="21" c:formatCode="yyyy&quot;年&quot;m&quot;月&quot;;@">
                  <c:v>41852</c:v>
                </c:pt>
                <c:pt idx="22" c:formatCode="yyyy&quot;年&quot;m&quot;月&quot;;@">
                  <c:v>41883</c:v>
                </c:pt>
                <c:pt idx="23" c:formatCode="yyyy&quot;年&quot;m&quot;月&quot;;@">
                  <c:v>41913</c:v>
                </c:pt>
                <c:pt idx="24" c:formatCode="yyyy&quot;年&quot;m&quot;月&quot;;@">
                  <c:v>41944</c:v>
                </c:pt>
                <c:pt idx="25" c:formatCode="yyyy&quot;年&quot;m&quot;月&quot;;@">
                  <c:v>41974</c:v>
                </c:pt>
                <c:pt idx="26" c:formatCode="yyyy&quot;年&quot;m&quot;月&quot;;@">
                  <c:v>42005</c:v>
                </c:pt>
                <c:pt idx="27" c:formatCode="yyyy&quot;年&quot;m&quot;月&quot;;@">
                  <c:v>42036</c:v>
                </c:pt>
                <c:pt idx="28" c:formatCode="yyyy&quot;年&quot;m&quot;月&quot;;@">
                  <c:v>42064</c:v>
                </c:pt>
                <c:pt idx="29" c:formatCode="yyyy&quot;年&quot;m&quot;月&quot;;@">
                  <c:v>42095</c:v>
                </c:pt>
                <c:pt idx="30" c:formatCode="yyyy&quot;年&quot;m&quot;月&quot;;@">
                  <c:v>42125</c:v>
                </c:pt>
                <c:pt idx="31" c:formatCode="yyyy&quot;年&quot;m&quot;月&quot;;@">
                  <c:v>42156</c:v>
                </c:pt>
                <c:pt idx="32" c:formatCode="yyyy&quot;年&quot;m&quot;月&quot;;@">
                  <c:v>42186</c:v>
                </c:pt>
                <c:pt idx="33" c:formatCode="yyyy&quot;年&quot;m&quot;月&quot;;@">
                  <c:v>42217</c:v>
                </c:pt>
                <c:pt idx="34" c:formatCode="yyyy&quot;年&quot;m&quot;月&quot;;@">
                  <c:v>42248</c:v>
                </c:pt>
                <c:pt idx="35" c:formatCode="yyyy&quot;年&quot;m&quot;月&quot;;@">
                  <c:v>42278</c:v>
                </c:pt>
                <c:pt idx="36" c:formatCode="yyyy&quot;年&quot;m&quot;月&quot;;@">
                  <c:v>42309</c:v>
                </c:pt>
                <c:pt idx="37" c:formatCode="yyyy&quot;年&quot;m&quot;月&quot;;@">
                  <c:v>42339</c:v>
                </c:pt>
                <c:pt idx="38" c:formatCode="yyyy&quot;年&quot;m&quot;月&quot;;@">
                  <c:v>42370</c:v>
                </c:pt>
                <c:pt idx="39" c:formatCode="yyyy&quot;年&quot;m&quot;月&quot;;@">
                  <c:v>42401</c:v>
                </c:pt>
                <c:pt idx="40" c:formatCode="yyyy&quot;年&quot;m&quot;月&quot;;@">
                  <c:v>42430</c:v>
                </c:pt>
                <c:pt idx="41" c:formatCode="yyyy&quot;年&quot;m&quot;月&quot;;@">
                  <c:v>42461</c:v>
                </c:pt>
                <c:pt idx="42" c:formatCode="yyyy&quot;年&quot;m&quot;月&quot;;@">
                  <c:v>42491</c:v>
                </c:pt>
                <c:pt idx="43" c:formatCode="yyyy&quot;年&quot;m&quot;月&quot;;@">
                  <c:v>42522</c:v>
                </c:pt>
                <c:pt idx="44" c:formatCode="yyyy&quot;年&quot;m&quot;月&quot;;@">
                  <c:v>42552</c:v>
                </c:pt>
                <c:pt idx="45" c:formatCode="yyyy&quot;年&quot;m&quot;月&quot;;@">
                  <c:v>42583</c:v>
                </c:pt>
                <c:pt idx="46" c:formatCode="yyyy&quot;年&quot;m&quot;月&quot;;@">
                  <c:v>42614</c:v>
                </c:pt>
                <c:pt idx="47" c:formatCode="yyyy&quot;年&quot;m&quot;月&quot;;@">
                  <c:v>42644</c:v>
                </c:pt>
                <c:pt idx="48" c:formatCode="yyyy&quot;年&quot;m&quot;月&quot;;@">
                  <c:v>42675</c:v>
                </c:pt>
                <c:pt idx="49" c:formatCode="yyyy&quot;年&quot;m&quot;月&quot;;@">
                  <c:v>42705</c:v>
                </c:pt>
                <c:pt idx="50" c:formatCode="yyyy&quot;年&quot;m&quot;月&quot;;@">
                  <c:v>42736</c:v>
                </c:pt>
                <c:pt idx="51" c:formatCode="yyyy&quot;年&quot;m&quot;月&quot;;@">
                  <c:v>42767</c:v>
                </c:pt>
                <c:pt idx="52" c:formatCode="yyyy&quot;年&quot;m&quot;月&quot;;@">
                  <c:v>42795</c:v>
                </c:pt>
                <c:pt idx="53" c:formatCode="yyyy&quot;年&quot;m&quot;月&quot;;@">
                  <c:v>42826</c:v>
                </c:pt>
                <c:pt idx="54" c:formatCode="yyyy&quot;年&quot;m&quot;月&quot;;@">
                  <c:v>42856</c:v>
                </c:pt>
                <c:pt idx="55" c:formatCode="yyyy&quot;年&quot;m&quot;月&quot;;@">
                  <c:v>42887</c:v>
                </c:pt>
                <c:pt idx="56" c:formatCode="yyyy&quot;年&quot;m&quot;月&quot;;@">
                  <c:v>42917</c:v>
                </c:pt>
                <c:pt idx="57" c:formatCode="yyyy&quot;年&quot;m&quot;月&quot;;@">
                  <c:v>42948</c:v>
                </c:pt>
                <c:pt idx="58" c:formatCode="yyyy&quot;年&quot;m&quot;月&quot;;@">
                  <c:v>42979</c:v>
                </c:pt>
                <c:pt idx="59" c:formatCode="yyyy&quot;年&quot;m&quot;月&quot;;@">
                  <c:v>43009</c:v>
                </c:pt>
                <c:pt idx="60" c:formatCode="yyyy&quot;年&quot;m&quot;月&quot;;@">
                  <c:v>43040</c:v>
                </c:pt>
                <c:pt idx="61" c:formatCode="yyyy&quot;年&quot;m&quot;月&quot;;@">
                  <c:v>43070</c:v>
                </c:pt>
                <c:pt idx="62" c:formatCode="yyyy&quot;年&quot;m&quot;月&quot;;@">
                  <c:v>43101</c:v>
                </c:pt>
                <c:pt idx="63" c:formatCode="yyyy&quot;年&quot;m&quot;月&quot;;@">
                  <c:v>43132</c:v>
                </c:pt>
                <c:pt idx="64" c:formatCode="yyyy&quot;年&quot;m&quot;月&quot;;@">
                  <c:v>43160</c:v>
                </c:pt>
                <c:pt idx="65" c:formatCode="yyyy&quot;年&quot;m&quot;月&quot;;@">
                  <c:v>43191</c:v>
                </c:pt>
                <c:pt idx="66" c:formatCode="yyyy&quot;年&quot;m&quot;月&quot;;@">
                  <c:v>43221</c:v>
                </c:pt>
                <c:pt idx="67" c:formatCode="yyyy&quot;年&quot;m&quot;月&quot;;@">
                  <c:v>43252</c:v>
                </c:pt>
                <c:pt idx="68" c:formatCode="yyyy&quot;年&quot;m&quot;月&quot;;@">
                  <c:v>43282</c:v>
                </c:pt>
                <c:pt idx="69" c:formatCode="yyyy&quot;年&quot;m&quot;月&quot;;@">
                  <c:v>43313</c:v>
                </c:pt>
                <c:pt idx="70" c:formatCode="yyyy&quot;年&quot;m&quot;月&quot;;@">
                  <c:v>43344</c:v>
                </c:pt>
                <c:pt idx="71" c:formatCode="yyyy&quot;年&quot;m&quot;月&quot;;@">
                  <c:v>43374</c:v>
                </c:pt>
                <c:pt idx="72" c:formatCode="yyyy&quot;年&quot;m&quot;月&quot;;@">
                  <c:v>43405</c:v>
                </c:pt>
                <c:pt idx="73" c:formatCode="yyyy&quot;年&quot;m&quot;月&quot;;@">
                  <c:v>43435</c:v>
                </c:pt>
                <c:pt idx="74" c:formatCode="yyyy&quot;年&quot;m&quot;月&quot;;@">
                  <c:v>43466</c:v>
                </c:pt>
                <c:pt idx="75" c:formatCode="yyyy&quot;年&quot;m&quot;月&quot;;@">
                  <c:v>43497</c:v>
                </c:pt>
                <c:pt idx="76" c:formatCode="yyyy&quot;年&quot;m&quot;月&quot;;@">
                  <c:v>43525</c:v>
                </c:pt>
                <c:pt idx="77" c:formatCode="yyyy&quot;年&quot;m&quot;月&quot;;@">
                  <c:v>43556</c:v>
                </c:pt>
                <c:pt idx="78" c:formatCode="yyyy&quot;年&quot;m&quot;月&quot;;@">
                  <c:v>43586</c:v>
                </c:pt>
                <c:pt idx="79" c:formatCode="yyyy&quot;年&quot;m&quot;月&quot;;@">
                  <c:v>43617</c:v>
                </c:pt>
                <c:pt idx="80" c:formatCode="yyyy&quot;年&quot;m&quot;月&quot;;@">
                  <c:v>43647</c:v>
                </c:pt>
                <c:pt idx="81" c:formatCode="yyyy&quot;年&quot;m&quot;月&quot;;@">
                  <c:v>43678</c:v>
                </c:pt>
                <c:pt idx="82" c:formatCode="yyyy&quot;年&quot;m&quot;月&quot;;@">
                  <c:v>43709</c:v>
                </c:pt>
                <c:pt idx="83" c:formatCode="yyyy&quot;年&quot;m&quot;月&quot;;@">
                  <c:v>43739</c:v>
                </c:pt>
                <c:pt idx="84" c:formatCode="yyyy&quot;年&quot;m&quot;月&quot;;@">
                  <c:v>43770</c:v>
                </c:pt>
                <c:pt idx="85" c:formatCode="yyyy&quot;年&quot;m&quot;月&quot;;@">
                  <c:v>43800</c:v>
                </c:pt>
                <c:pt idx="86" c:formatCode="yyyy&quot;年&quot;m&quot;月&quot;;@">
                  <c:v>43831</c:v>
                </c:pt>
                <c:pt idx="87" c:formatCode="yyyy&quot;年&quot;m&quot;月&quot;;@">
                  <c:v>43862</c:v>
                </c:pt>
                <c:pt idx="88" c:formatCode="yyyy&quot;年&quot;m&quot;月&quot;;@">
                  <c:v>43891</c:v>
                </c:pt>
                <c:pt idx="89" c:formatCode="yyyy&quot;年&quot;m&quot;月&quot;;@">
                  <c:v>43922</c:v>
                </c:pt>
                <c:pt idx="90" c:formatCode="yyyy&quot;年&quot;m&quot;月&quot;;@">
                  <c:v>43952</c:v>
                </c:pt>
                <c:pt idx="91" c:formatCode="yyyy&quot;年&quot;m&quot;月&quot;;@">
                  <c:v>43983</c:v>
                </c:pt>
                <c:pt idx="92" c:formatCode="yyyy&quot;年&quot;m&quot;月&quot;;@">
                  <c:v>44013</c:v>
                </c:pt>
                <c:pt idx="93" c:formatCode="yyyy&quot;年&quot;m&quot;月&quot;;@">
                  <c:v>44044</c:v>
                </c:pt>
                <c:pt idx="94" c:formatCode="yyyy&quot;年&quot;m&quot;月&quot;;@">
                  <c:v>44075</c:v>
                </c:pt>
                <c:pt idx="95" c:formatCode="yyyy&quot;年&quot;m&quot;月&quot;;@">
                  <c:v>44105</c:v>
                </c:pt>
                <c:pt idx="96" c:formatCode="yyyy&quot;年&quot;m&quot;月&quot;;@">
                  <c:v>44136</c:v>
                </c:pt>
                <c:pt idx="97" c:formatCode="yyyy&quot;年&quot;m&quot;月&quot;;@">
                  <c:v>44166</c:v>
                </c:pt>
                <c:pt idx="98" c:formatCode="yyyy&quot;年&quot;m&quot;月&quot;;@">
                  <c:v>44197</c:v>
                </c:pt>
                <c:pt idx="99" c:formatCode="yyyy&quot;年&quot;m&quot;月&quot;;@">
                  <c:v>44228</c:v>
                </c:pt>
                <c:pt idx="100" c:formatCode="yyyy&quot;年&quot;m&quot;月&quot;;@">
                  <c:v>44256</c:v>
                </c:pt>
                <c:pt idx="101" c:formatCode="yyyy&quot;年&quot;m&quot;月&quot;;@">
                  <c:v>44287</c:v>
                </c:pt>
                <c:pt idx="102" c:formatCode="yyyy&quot;年&quot;m&quot;月&quot;;@">
                  <c:v>44317</c:v>
                </c:pt>
                <c:pt idx="103" c:formatCode="yyyy&quot;年&quot;m&quot;月&quot;;@">
                  <c:v>44348</c:v>
                </c:pt>
                <c:pt idx="104" c:formatCode="yyyy&quot;年&quot;m&quot;月&quot;;@">
                  <c:v>44378</c:v>
                </c:pt>
                <c:pt idx="105" c:formatCode="yyyy&quot;年&quot;m&quot;月&quot;;@">
                  <c:v>44409</c:v>
                </c:pt>
                <c:pt idx="106" c:formatCode="yyyy&quot;年&quot;m&quot;月&quot;;@">
                  <c:v>44440</c:v>
                </c:pt>
                <c:pt idx="107" c:formatCode="yyyy&quot;年&quot;m&quot;月&quot;;@">
                  <c:v>44470</c:v>
                </c:pt>
                <c:pt idx="108" c:formatCode="yyyy&quot;年&quot;m&quot;月&quot;;@">
                  <c:v>44501</c:v>
                </c:pt>
                <c:pt idx="109" c:formatCode="yyyy&quot;年&quot;m&quot;月&quot;;@">
                  <c:v>44531</c:v>
                </c:pt>
                <c:pt idx="110" c:formatCode="yyyy&quot;年&quot;m&quot;月&quot;;@">
                  <c:v>44562</c:v>
                </c:pt>
                <c:pt idx="111" c:formatCode="yyyy&quot;年&quot;m&quot;月&quot;;@">
                  <c:v>44593</c:v>
                </c:pt>
                <c:pt idx="112" c:formatCode="yyyy&quot;年&quot;m&quot;月&quot;;@">
                  <c:v>44621</c:v>
                </c:pt>
                <c:pt idx="113" c:formatCode="yyyy&quot;年&quot;m&quot;月&quot;;@">
                  <c:v>44652</c:v>
                </c:pt>
                <c:pt idx="114" c:formatCode="yyyy&quot;年&quot;m&quot;月&quot;;@">
                  <c:v>44682</c:v>
                </c:pt>
                <c:pt idx="115" c:formatCode="yyyy&quot;年&quot;m&quot;月&quot;;@">
                  <c:v>44713</c:v>
                </c:pt>
                <c:pt idx="116" c:formatCode="yyyy&quot;年&quot;m&quot;月&quot;;@">
                  <c:v>44743</c:v>
                </c:pt>
                <c:pt idx="117" c:formatCode="yyyy&quot;年&quot;m&quot;月&quot;;@">
                  <c:v>44774</c:v>
                </c:pt>
                <c:pt idx="118" c:formatCode="yyyy&quot;年&quot;m&quot;月&quot;;@">
                  <c:v>44805</c:v>
                </c:pt>
                <c:pt idx="119" c:formatCode="yyyy&quot;年&quot;m&quot;月&quot;;@">
                  <c:v>44835</c:v>
                </c:pt>
                <c:pt idx="120" c:formatCode="yyyy&quot;年&quot;m&quot;月&quot;;@">
                  <c:v>44866</c:v>
                </c:pt>
                <c:pt idx="121" c:formatCode="yyyy&quot;年&quot;m&quot;月&quot;;@">
                  <c:v>44896</c:v>
                </c:pt>
                <c:pt idx="122" c:formatCode="yyyy&quot;年&quot;m&quot;月&quot;;@">
                  <c:v>44927</c:v>
                </c:pt>
                <c:pt idx="123" c:formatCode="yyyy&quot;年&quot;m&quot;月&quot;;@">
                  <c:v>44958</c:v>
                </c:pt>
              </c:numCache>
            </c:numRef>
          </c:cat>
          <c:val>
            <c:numRef>
              <c:f>Sheet1!$P$7:$P$130</c:f>
              <c:numCache>
                <c:formatCode>0.000_ </c:formatCode>
                <c:ptCount val="124"/>
                <c:pt idx="0">
                  <c:v>1</c:v>
                </c:pt>
                <c:pt idx="1">
                  <c:v>1.14669744318182</c:v>
                </c:pt>
                <c:pt idx="2">
                  <c:v>1.21129765028626</c:v>
                </c:pt>
                <c:pt idx="3">
                  <c:v>1.25139577939919</c:v>
                </c:pt>
                <c:pt idx="4">
                  <c:v>1.20113878149593</c:v>
                </c:pt>
                <c:pt idx="5">
                  <c:v>1.17604972078583</c:v>
                </c:pt>
                <c:pt idx="6">
                  <c:v>1.32505560462523</c:v>
                </c:pt>
                <c:pt idx="7">
                  <c:v>1.13690529825642</c:v>
                </c:pt>
                <c:pt idx="8">
                  <c:v>1.19858284998563</c:v>
                </c:pt>
                <c:pt idx="9">
                  <c:v>1.27217513809262</c:v>
                </c:pt>
                <c:pt idx="10">
                  <c:v>1.33717273248425</c:v>
                </c:pt>
                <c:pt idx="11">
                  <c:v>1.28775397783071</c:v>
                </c:pt>
                <c:pt idx="12">
                  <c:v>1.36048277103058</c:v>
                </c:pt>
                <c:pt idx="13">
                  <c:v>1.32417794695822</c:v>
                </c:pt>
                <c:pt idx="14">
                  <c:v>1.34160771152513</c:v>
                </c:pt>
                <c:pt idx="15">
                  <c:v>1.36957945531755</c:v>
                </c:pt>
                <c:pt idx="16">
                  <c:v>1.32771683800407</c:v>
                </c:pt>
                <c:pt idx="17">
                  <c:v>1.30468924909493</c:v>
                </c:pt>
                <c:pt idx="18">
                  <c:v>1.32433234001997</c:v>
                </c:pt>
                <c:pt idx="19">
                  <c:v>1.35390413815831</c:v>
                </c:pt>
                <c:pt idx="20">
                  <c:v>1.45731011935251</c:v>
                </c:pt>
                <c:pt idx="21">
                  <c:v>1.50968701581973</c:v>
                </c:pt>
                <c:pt idx="22">
                  <c:v>1.65976907040799</c:v>
                </c:pt>
                <c:pt idx="23">
                  <c:v>1.68103950397913</c:v>
                </c:pt>
                <c:pt idx="24">
                  <c:v>1.75962961797382</c:v>
                </c:pt>
                <c:pt idx="25">
                  <c:v>1.78287887107689</c:v>
                </c:pt>
                <c:pt idx="26">
                  <c:v>1.79326392274983</c:v>
                </c:pt>
                <c:pt idx="27">
                  <c:v>1.80555440347038</c:v>
                </c:pt>
                <c:pt idx="28">
                  <c:v>1.84260757210258</c:v>
                </c:pt>
                <c:pt idx="29">
                  <c:v>1.8734997657835</c:v>
                </c:pt>
                <c:pt idx="30">
                  <c:v>1.90661618034694</c:v>
                </c:pt>
                <c:pt idx="31">
                  <c:v>1.88633709996195</c:v>
                </c:pt>
                <c:pt idx="32">
                  <c:v>1.86136526703072</c:v>
                </c:pt>
                <c:pt idx="33">
                  <c:v>1.8337591508664</c:v>
                </c:pt>
                <c:pt idx="34">
                  <c:v>1.82099723487952</c:v>
                </c:pt>
                <c:pt idx="35">
                  <c:v>1.8495776422406</c:v>
                </c:pt>
                <c:pt idx="36">
                  <c:v>1.85803703179574</c:v>
                </c:pt>
                <c:pt idx="37">
                  <c:v>1.86327906391838</c:v>
                </c:pt>
                <c:pt idx="38">
                  <c:v>1.81073444754321</c:v>
                </c:pt>
                <c:pt idx="39">
                  <c:v>1.80679446949864</c:v>
                </c:pt>
                <c:pt idx="40">
                  <c:v>1.83398081618923</c:v>
                </c:pt>
                <c:pt idx="41">
                  <c:v>1.82891539395117</c:v>
                </c:pt>
                <c:pt idx="42">
                  <c:v>1.82775417782803</c:v>
                </c:pt>
                <c:pt idx="43">
                  <c:v>1.83316337129192</c:v>
                </c:pt>
                <c:pt idx="44">
                  <c:v>1.83552855022924</c:v>
                </c:pt>
                <c:pt idx="45">
                  <c:v>1.8423947647351</c:v>
                </c:pt>
                <c:pt idx="46">
                  <c:v>1.83935942365549</c:v>
                </c:pt>
                <c:pt idx="47">
                  <c:v>1.84296373099641</c:v>
                </c:pt>
                <c:pt idx="48">
                  <c:v>1.84676277278535</c:v>
                </c:pt>
                <c:pt idx="49">
                  <c:v>1.83773228511888</c:v>
                </c:pt>
                <c:pt idx="50">
                  <c:v>1.8365585777677</c:v>
                </c:pt>
                <c:pt idx="51">
                  <c:v>1.84325789959243</c:v>
                </c:pt>
                <c:pt idx="52">
                  <c:v>1.84185759514158</c:v>
                </c:pt>
                <c:pt idx="53">
                  <c:v>1.83639043464983</c:v>
                </c:pt>
                <c:pt idx="54">
                  <c:v>1.8249481049411</c:v>
                </c:pt>
                <c:pt idx="55">
                  <c:v>1.83478728256732</c:v>
                </c:pt>
                <c:pt idx="56">
                  <c:v>1.83957004511556</c:v>
                </c:pt>
                <c:pt idx="57">
                  <c:v>1.84459395822702</c:v>
                </c:pt>
                <c:pt idx="58">
                  <c:v>1.84838578197423</c:v>
                </c:pt>
                <c:pt idx="59">
                  <c:v>1.8471820777697</c:v>
                </c:pt>
                <c:pt idx="60">
                  <c:v>1.83881907354565</c:v>
                </c:pt>
                <c:pt idx="61">
                  <c:v>1.83843739307374</c:v>
                </c:pt>
                <c:pt idx="62">
                  <c:v>1.8366430781781</c:v>
                </c:pt>
                <c:pt idx="63">
                  <c:v>1.83171687441372</c:v>
                </c:pt>
                <c:pt idx="64">
                  <c:v>1.83448436960833</c:v>
                </c:pt>
                <c:pt idx="65">
                  <c:v>1.8268631882233</c:v>
                </c:pt>
                <c:pt idx="66">
                  <c:v>1.82355862341184</c:v>
                </c:pt>
                <c:pt idx="67">
                  <c:v>1.80654001060732</c:v>
                </c:pt>
                <c:pt idx="68">
                  <c:v>1.80553580013564</c:v>
                </c:pt>
                <c:pt idx="69">
                  <c:v>1.7924501898648</c:v>
                </c:pt>
                <c:pt idx="70">
                  <c:v>1.79200319480499</c:v>
                </c:pt>
                <c:pt idx="71">
                  <c:v>1.77229115966213</c:v>
                </c:pt>
                <c:pt idx="72">
                  <c:v>1.77660572615569</c:v>
                </c:pt>
                <c:pt idx="73">
                  <c:v>1.76816116511729</c:v>
                </c:pt>
                <c:pt idx="74">
                  <c:v>1.76850054345992</c:v>
                </c:pt>
                <c:pt idx="75">
                  <c:v>1.80445497261216</c:v>
                </c:pt>
                <c:pt idx="76">
                  <c:v>1.97315804646952</c:v>
                </c:pt>
                <c:pt idx="77">
                  <c:v>1.89632333616892</c:v>
                </c:pt>
                <c:pt idx="78">
                  <c:v>1.76929432806489</c:v>
                </c:pt>
                <c:pt idx="79">
                  <c:v>1.78161311186372</c:v>
                </c:pt>
                <c:pt idx="80">
                  <c:v>1.7663884179987</c:v>
                </c:pt>
                <c:pt idx="81">
                  <c:v>1.76087633503003</c:v>
                </c:pt>
                <c:pt idx="82">
                  <c:v>1.77839139640589</c:v>
                </c:pt>
                <c:pt idx="83">
                  <c:v>1.77093943245739</c:v>
                </c:pt>
                <c:pt idx="84">
                  <c:v>1.76348398274174</c:v>
                </c:pt>
                <c:pt idx="85">
                  <c:v>1.87601688993631</c:v>
                </c:pt>
                <c:pt idx="86">
                  <c:v>1.91982999188789</c:v>
                </c:pt>
                <c:pt idx="87">
                  <c:v>1.94360917683483</c:v>
                </c:pt>
                <c:pt idx="88">
                  <c:v>1.81203849507882</c:v>
                </c:pt>
                <c:pt idx="89">
                  <c:v>1.91297489845476</c:v>
                </c:pt>
                <c:pt idx="90">
                  <c:v>1.93002120943109</c:v>
                </c:pt>
                <c:pt idx="91">
                  <c:v>2.07718264904032</c:v>
                </c:pt>
                <c:pt idx="92">
                  <c:v>2.30512723203101</c:v>
                </c:pt>
                <c:pt idx="93">
                  <c:v>2.33319239258515</c:v>
                </c:pt>
                <c:pt idx="94">
                  <c:v>2.18329142963022</c:v>
                </c:pt>
                <c:pt idx="95">
                  <c:v>2.15758698111277</c:v>
                </c:pt>
                <c:pt idx="96">
                  <c:v>2.22399871587751</c:v>
                </c:pt>
                <c:pt idx="97">
                  <c:v>2.20784657330492</c:v>
                </c:pt>
                <c:pt idx="98">
                  <c:v>2.23225298063145</c:v>
                </c:pt>
                <c:pt idx="99">
                  <c:v>2.23795145183949</c:v>
                </c:pt>
                <c:pt idx="100">
                  <c:v>2.20313731077537</c:v>
                </c:pt>
                <c:pt idx="101">
                  <c:v>2.27637559777732</c:v>
                </c:pt>
                <c:pt idx="102">
                  <c:v>2.35345995880614</c:v>
                </c:pt>
                <c:pt idx="103">
                  <c:v>2.37832710148278</c:v>
                </c:pt>
                <c:pt idx="104">
                  <c:v>2.36543634501323</c:v>
                </c:pt>
                <c:pt idx="105">
                  <c:v>2.51896074914058</c:v>
                </c:pt>
                <c:pt idx="106">
                  <c:v>2.47177580554193</c:v>
                </c:pt>
                <c:pt idx="107">
                  <c:v>2.46895748008798</c:v>
                </c:pt>
                <c:pt idx="108">
                  <c:v>2.4770432015805</c:v>
                </c:pt>
                <c:pt idx="109">
                  <c:v>2.47902401649422</c:v>
                </c:pt>
                <c:pt idx="110">
                  <c:v>2.45423716714314</c:v>
                </c:pt>
                <c:pt idx="111">
                  <c:v>2.46441964049618</c:v>
                </c:pt>
                <c:pt idx="112">
                  <c:v>2.44543213764806</c:v>
                </c:pt>
                <c:pt idx="113">
                  <c:v>2.41848405543556</c:v>
                </c:pt>
                <c:pt idx="114">
                  <c:v>2.57241102570155</c:v>
                </c:pt>
                <c:pt idx="115">
                  <c:v>2.73684725655124</c:v>
                </c:pt>
                <c:pt idx="116">
                  <c:v>2.67578341940476</c:v>
                </c:pt>
                <c:pt idx="117">
                  <c:v>2.62298197347371</c:v>
                </c:pt>
                <c:pt idx="118">
                  <c:v>2.45348518512935</c:v>
                </c:pt>
                <c:pt idx="119">
                  <c:v>2.4894244063396</c:v>
                </c:pt>
                <c:pt idx="120">
                  <c:v>2.62407710240146</c:v>
                </c:pt>
                <c:pt idx="121">
                  <c:v>2.51205509744514</c:v>
                </c:pt>
                <c:pt idx="122">
                  <c:v>2.67591271592618</c:v>
                </c:pt>
                <c:pt idx="123">
                  <c:v>2.70195276334463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75219980"/>
        <c:axId val="814072138"/>
      </c:lineChart>
      <c:dateAx>
        <c:axId val="97521998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14072138"/>
        <c:crosses val="autoZero"/>
        <c:auto val="1"/>
        <c:lblOffset val="100"/>
        <c:baseTimeUnit val="days"/>
      </c:dateAx>
      <c:valAx>
        <c:axId val="81407213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752199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17</xdr:col>
      <xdr:colOff>334645</xdr:colOff>
      <xdr:row>5</xdr:row>
      <xdr:rowOff>53340</xdr:rowOff>
    </xdr:from>
    <xdr:to>
      <xdr:col>26</xdr:col>
      <xdr:colOff>420370</xdr:colOff>
      <xdr:row>24</xdr:row>
      <xdr:rowOff>148590</xdr:rowOff>
    </xdr:to>
    <xdr:pic>
      <xdr:nvPicPr>
        <xdr:cNvPr id="2" name="图片 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4155420" y="910590"/>
          <a:ext cx="6257925" cy="3352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17</xdr:col>
      <xdr:colOff>398780</xdr:colOff>
      <xdr:row>25</xdr:row>
      <xdr:rowOff>170180</xdr:rowOff>
    </xdr:from>
    <xdr:to>
      <xdr:col>26</xdr:col>
      <xdr:colOff>141605</xdr:colOff>
      <xdr:row>45</xdr:row>
      <xdr:rowOff>140970</xdr:rowOff>
    </xdr:to>
    <xdr:graphicFrame>
      <xdr:nvGraphicFramePr>
        <xdr:cNvPr id="3" name="图表 2"/>
        <xdr:cNvGraphicFramePr/>
      </xdr:nvGraphicFramePr>
      <xdr:xfrm>
        <a:off x="14219555" y="4456430"/>
        <a:ext cx="5915025" cy="33997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411480</xdr:colOff>
      <xdr:row>47</xdr:row>
      <xdr:rowOff>20955</xdr:rowOff>
    </xdr:from>
    <xdr:to>
      <xdr:col>26</xdr:col>
      <xdr:colOff>154305</xdr:colOff>
      <xdr:row>66</xdr:row>
      <xdr:rowOff>163195</xdr:rowOff>
    </xdr:to>
    <xdr:graphicFrame>
      <xdr:nvGraphicFramePr>
        <xdr:cNvPr id="4" name="图表 3"/>
        <xdr:cNvGraphicFramePr/>
      </xdr:nvGraphicFramePr>
      <xdr:xfrm>
        <a:off x="14232255" y="8079105"/>
        <a:ext cx="5915025" cy="33997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32"/>
  <sheetViews>
    <sheetView tabSelected="1" workbookViewId="0">
      <selection activeCell="J89" sqref="J89"/>
    </sheetView>
  </sheetViews>
  <sheetFormatPr defaultColWidth="9" defaultRowHeight="13.5"/>
  <cols>
    <col min="1" max="1" width="14.75" customWidth="1"/>
    <col min="2" max="2" width="30.625" customWidth="1"/>
    <col min="3" max="3" width="13.125" customWidth="1"/>
    <col min="4" max="4" width="11.375" customWidth="1"/>
    <col min="5" max="5" width="9.5" customWidth="1"/>
    <col min="6" max="6" width="10.75" customWidth="1"/>
    <col min="7" max="7" width="4" customWidth="1"/>
    <col min="9" max="11" width="9.375"/>
    <col min="12" max="12" width="5.125" customWidth="1"/>
  </cols>
  <sheetData>
    <row r="1" spans="1:6">
      <c r="A1" s="1" t="s">
        <v>0</v>
      </c>
      <c r="B1" s="1"/>
      <c r="C1" s="1"/>
      <c r="D1" s="1"/>
      <c r="E1" s="1"/>
      <c r="F1" s="1"/>
    </row>
    <row r="2" spans="1:1">
      <c r="A2" t="s">
        <v>1</v>
      </c>
    </row>
    <row r="3" spans="1:16">
      <c r="A3" t="s">
        <v>2</v>
      </c>
      <c r="C3" s="2">
        <f>(C130/C7-1)/10</f>
        <v>0.125745738636364</v>
      </c>
      <c r="E3" t="s">
        <v>3</v>
      </c>
      <c r="F3" s="2">
        <f>(E130-1)/10</f>
        <v>0.109241624973016</v>
      </c>
      <c r="J3" t="s">
        <v>3</v>
      </c>
      <c r="K3" s="2">
        <f>(2.02-1)/10</f>
        <v>0.102</v>
      </c>
      <c r="M3" t="s">
        <v>3</v>
      </c>
      <c r="N3" s="2">
        <f>(2.404-1)/10</f>
        <v>0.1404</v>
      </c>
      <c r="O3" t="s">
        <v>3</v>
      </c>
      <c r="P3" s="2">
        <f>(2.702-1)/10</f>
        <v>0.1702</v>
      </c>
    </row>
    <row r="4" spans="1:16">
      <c r="A4" t="s">
        <v>4</v>
      </c>
      <c r="F4" s="2"/>
      <c r="K4" s="2"/>
      <c r="N4" s="2"/>
      <c r="P4" s="2"/>
    </row>
    <row r="6" spans="1:16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4"/>
      <c r="H6" s="3" t="s">
        <v>11</v>
      </c>
      <c r="I6" s="3" t="s">
        <v>12</v>
      </c>
      <c r="J6" s="3" t="s">
        <v>11</v>
      </c>
      <c r="K6" s="3" t="s">
        <v>12</v>
      </c>
      <c r="L6" s="1"/>
      <c r="M6" s="3" t="s">
        <v>13</v>
      </c>
      <c r="N6" s="3" t="s">
        <v>14</v>
      </c>
      <c r="O6" s="3" t="s">
        <v>13</v>
      </c>
      <c r="P6" s="3" t="s">
        <v>14</v>
      </c>
    </row>
    <row r="7" spans="1:16">
      <c r="A7" s="5">
        <v>41214</v>
      </c>
      <c r="B7" s="6">
        <v>5</v>
      </c>
      <c r="C7" s="7">
        <v>2816</v>
      </c>
      <c r="D7" s="8">
        <f>(100-B7)/100</f>
        <v>0.95</v>
      </c>
      <c r="E7" s="9">
        <v>1</v>
      </c>
      <c r="F7" s="9">
        <v>1</v>
      </c>
      <c r="G7" s="10"/>
      <c r="H7" s="8">
        <v>0.7</v>
      </c>
      <c r="I7" s="9">
        <v>1</v>
      </c>
      <c r="J7" s="8">
        <v>0.8</v>
      </c>
      <c r="K7" s="9">
        <v>1</v>
      </c>
      <c r="L7" s="1"/>
      <c r="M7" s="17">
        <v>0.8</v>
      </c>
      <c r="N7" s="9">
        <v>1</v>
      </c>
      <c r="O7" s="17">
        <v>0.9</v>
      </c>
      <c r="P7" s="9">
        <v>1</v>
      </c>
    </row>
    <row r="8" spans="1:16">
      <c r="A8" s="5">
        <v>41609</v>
      </c>
      <c r="B8" s="7">
        <v>6</v>
      </c>
      <c r="C8" s="7">
        <v>3275</v>
      </c>
      <c r="D8" s="8">
        <f t="shared" ref="D8:D39" si="0">(100-B8)/100</f>
        <v>0.94</v>
      </c>
      <c r="E8" s="9">
        <f>E7*D7*C8/C7+E7*(1-D7)</f>
        <v>1.15484730113636</v>
      </c>
      <c r="F8" s="9">
        <f>C8/$C$7</f>
        <v>1.16299715909091</v>
      </c>
      <c r="G8" s="10"/>
      <c r="H8" s="8">
        <v>0.7</v>
      </c>
      <c r="I8" s="9">
        <f>I7*H7*C8/C7+I7*(1-H7)</f>
        <v>1.11409801136364</v>
      </c>
      <c r="J8" s="8">
        <v>0.8</v>
      </c>
      <c r="K8" s="9">
        <f>K7*J7*C8/C7+K7*(1-J7)</f>
        <v>1.13039772727273</v>
      </c>
      <c r="L8" s="1"/>
      <c r="M8" s="8">
        <v>0.8</v>
      </c>
      <c r="N8" s="9">
        <f>N7*M7*C8/C7+N7*(1-M7)</f>
        <v>1.13039772727273</v>
      </c>
      <c r="O8" s="8">
        <v>0.9</v>
      </c>
      <c r="P8" s="9">
        <f>P7*O7*C8/C7+P7*(1-O7)</f>
        <v>1.14669744318182</v>
      </c>
    </row>
    <row r="9" spans="1:16">
      <c r="A9" s="5">
        <v>41275</v>
      </c>
      <c r="B9" s="7">
        <v>18</v>
      </c>
      <c r="C9" s="7">
        <v>3480</v>
      </c>
      <c r="D9" s="8">
        <f t="shared" si="0"/>
        <v>0.82</v>
      </c>
      <c r="E9" s="9">
        <f t="shared" ref="E9:E40" si="1">E8*D8*C9/C8+E8*(1-D8)</f>
        <v>1.2227981637101</v>
      </c>
      <c r="F9" s="9">
        <f>C9/$C$7</f>
        <v>1.23579545454545</v>
      </c>
      <c r="G9" s="10"/>
      <c r="H9" s="8">
        <v>0.7</v>
      </c>
      <c r="I9" s="9">
        <f t="shared" ref="I9:I40" si="2">I8*H8*C9/C8+I8*(1-H8)</f>
        <v>1.1629142143043</v>
      </c>
      <c r="J9" s="8">
        <v>0.8</v>
      </c>
      <c r="K9" s="9">
        <f t="shared" ref="K9:K40" si="3">K8*J8*C9/C8+K8*(1-J8)</f>
        <v>1.18700390353921</v>
      </c>
      <c r="L9" s="1"/>
      <c r="M9" s="8">
        <v>0.8</v>
      </c>
      <c r="N9" s="9">
        <f t="shared" ref="N9:N40" si="4">N8*M8*C9/C8+N8*(1-M8)</f>
        <v>1.18700390353921</v>
      </c>
      <c r="O9" s="8">
        <v>0.9</v>
      </c>
      <c r="P9" s="9">
        <f t="shared" ref="P9:P40" si="5">P8*O8*C9/C8+P8*(1-O8)</f>
        <v>1.21129765028626</v>
      </c>
    </row>
    <row r="10" spans="1:16">
      <c r="A10" s="5">
        <v>41306</v>
      </c>
      <c r="B10" s="7">
        <v>22</v>
      </c>
      <c r="C10" s="7">
        <v>3608</v>
      </c>
      <c r="D10" s="8">
        <f t="shared" si="0"/>
        <v>0.78</v>
      </c>
      <c r="E10" s="9">
        <f>E9*D9*C10/C9+E9*(1-D9)</f>
        <v>1.2596788807397</v>
      </c>
      <c r="F10" s="9">
        <f t="shared" ref="F10:F41" si="6">C10/$C$7</f>
        <v>1.28125</v>
      </c>
      <c r="G10" s="10"/>
      <c r="H10" s="8">
        <v>0.7</v>
      </c>
      <c r="I10" s="9">
        <f t="shared" si="2"/>
        <v>1.19285591361513</v>
      </c>
      <c r="J10" s="8">
        <v>0.8</v>
      </c>
      <c r="K10" s="9">
        <f t="shared" si="3"/>
        <v>1.22193183449393</v>
      </c>
      <c r="L10" s="1"/>
      <c r="M10" s="8">
        <v>0.8</v>
      </c>
      <c r="N10" s="9">
        <f t="shared" si="4"/>
        <v>1.22193183449393</v>
      </c>
      <c r="O10" s="8">
        <v>0.9</v>
      </c>
      <c r="P10" s="9">
        <f t="shared" si="5"/>
        <v>1.25139577939919</v>
      </c>
    </row>
    <row r="11" spans="1:16">
      <c r="A11" s="5">
        <v>41334</v>
      </c>
      <c r="B11" s="7">
        <v>21</v>
      </c>
      <c r="C11" s="7">
        <v>3447</v>
      </c>
      <c r="D11" s="8">
        <f t="shared" si="0"/>
        <v>0.79</v>
      </c>
      <c r="E11" s="9">
        <f t="shared" si="1"/>
        <v>1.21583451437515</v>
      </c>
      <c r="F11" s="9">
        <f t="shared" si="6"/>
        <v>1.22407670454545</v>
      </c>
      <c r="G11" s="10"/>
      <c r="H11" s="8">
        <v>0.7</v>
      </c>
      <c r="I11" s="9">
        <f t="shared" si="2"/>
        <v>1.15559569702299</v>
      </c>
      <c r="J11" s="8">
        <v>0.8</v>
      </c>
      <c r="K11" s="9">
        <f t="shared" si="3"/>
        <v>1.17831076457075</v>
      </c>
      <c r="L11" s="1"/>
      <c r="M11" s="8">
        <v>0.8</v>
      </c>
      <c r="N11" s="9">
        <f t="shared" si="4"/>
        <v>1.17831076457075</v>
      </c>
      <c r="O11" s="8">
        <v>0.9</v>
      </c>
      <c r="P11" s="9">
        <f t="shared" si="5"/>
        <v>1.20113878149593</v>
      </c>
    </row>
    <row r="12" spans="1:16">
      <c r="A12" s="5">
        <v>41365</v>
      </c>
      <c r="B12" s="7">
        <v>18</v>
      </c>
      <c r="C12" s="7">
        <v>3367</v>
      </c>
      <c r="D12" s="8">
        <f t="shared" si="0"/>
        <v>0.82</v>
      </c>
      <c r="E12" s="9">
        <f t="shared" si="1"/>
        <v>1.19354245133236</v>
      </c>
      <c r="F12" s="9">
        <f t="shared" si="6"/>
        <v>1.19566761363636</v>
      </c>
      <c r="G12" s="10"/>
      <c r="H12" s="8">
        <v>0.7</v>
      </c>
      <c r="I12" s="9">
        <f t="shared" si="2"/>
        <v>1.13682187658978</v>
      </c>
      <c r="J12" s="8">
        <v>0.8</v>
      </c>
      <c r="K12" s="9">
        <f t="shared" si="3"/>
        <v>1.1564332220896</v>
      </c>
      <c r="L12" s="1"/>
      <c r="M12" s="8">
        <v>0.8</v>
      </c>
      <c r="N12" s="9">
        <f t="shared" si="4"/>
        <v>1.1564332220896</v>
      </c>
      <c r="O12" s="8">
        <v>0.9</v>
      </c>
      <c r="P12" s="9">
        <f t="shared" si="5"/>
        <v>1.17604972078583</v>
      </c>
    </row>
    <row r="13" spans="1:16">
      <c r="A13" s="5">
        <v>41395</v>
      </c>
      <c r="B13" s="7">
        <v>25</v>
      </c>
      <c r="C13" s="7">
        <v>3841</v>
      </c>
      <c r="D13" s="8">
        <f t="shared" si="0"/>
        <v>0.75</v>
      </c>
      <c r="E13" s="9">
        <f t="shared" si="1"/>
        <v>1.33132269486781</v>
      </c>
      <c r="F13" s="9">
        <f t="shared" si="6"/>
        <v>1.36399147727273</v>
      </c>
      <c r="G13" s="10"/>
      <c r="H13" s="8">
        <v>0.7</v>
      </c>
      <c r="I13" s="9">
        <f t="shared" si="2"/>
        <v>1.24884964571733</v>
      </c>
      <c r="J13" s="8">
        <v>0.8</v>
      </c>
      <c r="K13" s="9">
        <f t="shared" si="3"/>
        <v>1.28667363724148</v>
      </c>
      <c r="L13" s="1"/>
      <c r="M13" s="8">
        <v>0.8</v>
      </c>
      <c r="N13" s="9">
        <f t="shared" si="4"/>
        <v>1.28667363724148</v>
      </c>
      <c r="O13" s="8">
        <v>0.9</v>
      </c>
      <c r="P13" s="9">
        <f>P12*O12*C13/C12+P12*(1-O12)</f>
        <v>1.32505560462523</v>
      </c>
    </row>
    <row r="14" spans="1:16">
      <c r="A14" s="5">
        <v>41426</v>
      </c>
      <c r="B14" s="7">
        <v>20</v>
      </c>
      <c r="C14" s="7">
        <v>3235</v>
      </c>
      <c r="D14" s="8">
        <f t="shared" si="0"/>
        <v>0.8</v>
      </c>
      <c r="E14" s="9">
        <f>E13*D13*C14/C13+E13*(1-D13)</f>
        <v>1.17378919712831</v>
      </c>
      <c r="F14" s="9">
        <f t="shared" si="6"/>
        <v>1.14879261363636</v>
      </c>
      <c r="G14" s="10"/>
      <c r="H14" s="8">
        <v>0.7</v>
      </c>
      <c r="I14" s="9">
        <f t="shared" si="2"/>
        <v>1.11092670384978</v>
      </c>
      <c r="J14" s="8">
        <v>0.8</v>
      </c>
      <c r="K14" s="9">
        <f t="shared" si="3"/>
        <v>1.12427338227281</v>
      </c>
      <c r="L14" s="1"/>
      <c r="M14" s="8">
        <v>0.8</v>
      </c>
      <c r="N14" s="9">
        <f t="shared" si="4"/>
        <v>1.12427338227281</v>
      </c>
      <c r="O14" s="8">
        <v>0.9</v>
      </c>
      <c r="P14" s="9">
        <f t="shared" si="5"/>
        <v>1.13690529825642</v>
      </c>
    </row>
    <row r="15" spans="1:16">
      <c r="A15" s="5">
        <v>41456</v>
      </c>
      <c r="B15" s="7">
        <v>12</v>
      </c>
      <c r="C15" s="7">
        <v>3430</v>
      </c>
      <c r="D15" s="8">
        <f t="shared" si="0"/>
        <v>0.88</v>
      </c>
      <c r="E15" s="9">
        <f t="shared" si="1"/>
        <v>1.23039232379044</v>
      </c>
      <c r="F15" s="9">
        <f t="shared" si="6"/>
        <v>1.21803977272727</v>
      </c>
      <c r="G15" s="10"/>
      <c r="H15" s="8">
        <v>0.7</v>
      </c>
      <c r="I15" s="9">
        <f t="shared" si="2"/>
        <v>1.15780197280665</v>
      </c>
      <c r="J15" s="8">
        <v>0.8</v>
      </c>
      <c r="K15" s="9">
        <f t="shared" si="3"/>
        <v>1.17848872930049</v>
      </c>
      <c r="L15" s="1"/>
      <c r="M15" s="8">
        <v>0.8</v>
      </c>
      <c r="N15" s="9">
        <f t="shared" si="4"/>
        <v>1.17848872930049</v>
      </c>
      <c r="O15" s="8">
        <v>0.9</v>
      </c>
      <c r="P15" s="9">
        <f t="shared" si="5"/>
        <v>1.19858284998563</v>
      </c>
    </row>
    <row r="16" spans="1:16">
      <c r="A16" s="5">
        <v>41487</v>
      </c>
      <c r="B16" s="7">
        <v>23</v>
      </c>
      <c r="C16" s="7">
        <v>3664</v>
      </c>
      <c r="D16" s="8">
        <f t="shared" si="0"/>
        <v>0.77</v>
      </c>
      <c r="E16" s="9">
        <f t="shared" si="1"/>
        <v>1.30425890901346</v>
      </c>
      <c r="F16" s="9">
        <f t="shared" si="6"/>
        <v>1.30113636363636</v>
      </c>
      <c r="G16" s="10"/>
      <c r="H16" s="8">
        <v>0.7</v>
      </c>
      <c r="I16" s="9">
        <f t="shared" si="2"/>
        <v>1.21309292416109</v>
      </c>
      <c r="J16" s="8">
        <v>0.8</v>
      </c>
      <c r="K16" s="9">
        <f t="shared" si="3"/>
        <v>1.24280741446815</v>
      </c>
      <c r="L16" s="1"/>
      <c r="M16" s="8">
        <v>0.8</v>
      </c>
      <c r="N16" s="9">
        <f t="shared" si="4"/>
        <v>1.24280741446814</v>
      </c>
      <c r="O16" s="8">
        <v>0.9</v>
      </c>
      <c r="P16" s="9">
        <f t="shared" si="5"/>
        <v>1.27217513809262</v>
      </c>
    </row>
    <row r="17" spans="1:16">
      <c r="A17" s="5">
        <v>41518</v>
      </c>
      <c r="B17" s="7">
        <v>33</v>
      </c>
      <c r="C17" s="7">
        <v>3872</v>
      </c>
      <c r="D17" s="8">
        <f t="shared" si="0"/>
        <v>0.67</v>
      </c>
      <c r="E17" s="9">
        <f t="shared" si="1"/>
        <v>1.36127040106247</v>
      </c>
      <c r="F17" s="9">
        <f t="shared" si="6"/>
        <v>1.375</v>
      </c>
      <c r="G17" s="10"/>
      <c r="H17" s="8">
        <v>0.7</v>
      </c>
      <c r="I17" s="9">
        <f t="shared" si="2"/>
        <v>1.26129880018671</v>
      </c>
      <c r="J17" s="8">
        <v>0.8</v>
      </c>
      <c r="K17" s="9">
        <f t="shared" si="3"/>
        <v>1.29924932324749</v>
      </c>
      <c r="L17" s="1"/>
      <c r="M17" s="8">
        <v>0.8</v>
      </c>
      <c r="N17" s="9">
        <f t="shared" si="4"/>
        <v>1.29924932324748</v>
      </c>
      <c r="O17" s="8">
        <v>0.9</v>
      </c>
      <c r="P17" s="9">
        <f t="shared" si="5"/>
        <v>1.33717273248425</v>
      </c>
    </row>
    <row r="18" spans="1:16">
      <c r="A18" s="5">
        <v>41548</v>
      </c>
      <c r="B18" s="7">
        <v>40</v>
      </c>
      <c r="C18" s="7">
        <v>3713</v>
      </c>
      <c r="D18" s="8">
        <f t="shared" si="0"/>
        <v>0.6</v>
      </c>
      <c r="E18" s="9">
        <f t="shared" si="1"/>
        <v>1.32381788664481</v>
      </c>
      <c r="F18" s="9">
        <f t="shared" si="6"/>
        <v>1.31853693181818</v>
      </c>
      <c r="G18" s="10"/>
      <c r="H18" s="8">
        <v>0.7</v>
      </c>
      <c r="I18" s="9">
        <f t="shared" si="2"/>
        <v>1.22504297465448</v>
      </c>
      <c r="J18" s="8">
        <v>0.8</v>
      </c>
      <c r="K18" s="9">
        <f t="shared" si="3"/>
        <v>1.25656737233915</v>
      </c>
      <c r="L18" s="1"/>
      <c r="M18" s="8">
        <v>0.8</v>
      </c>
      <c r="N18" s="9">
        <f t="shared" si="4"/>
        <v>1.25656737233915</v>
      </c>
      <c r="O18" s="8">
        <v>0.9</v>
      </c>
      <c r="P18" s="9">
        <f t="shared" si="5"/>
        <v>1.28775397783071</v>
      </c>
    </row>
    <row r="19" spans="1:16">
      <c r="A19" s="5">
        <v>41579</v>
      </c>
      <c r="B19" s="7">
        <v>25</v>
      </c>
      <c r="C19" s="7">
        <v>3946</v>
      </c>
      <c r="D19" s="8">
        <f t="shared" si="0"/>
        <v>0.75</v>
      </c>
      <c r="E19" s="9">
        <f t="shared" si="1"/>
        <v>1.37366160885137</v>
      </c>
      <c r="F19" s="9">
        <f t="shared" si="6"/>
        <v>1.40127840909091</v>
      </c>
      <c r="G19" s="10"/>
      <c r="H19" s="8">
        <v>0.7</v>
      </c>
      <c r="I19" s="9">
        <f t="shared" si="2"/>
        <v>1.2788551236354</v>
      </c>
      <c r="J19" s="8">
        <v>0.8</v>
      </c>
      <c r="K19" s="9">
        <f t="shared" si="3"/>
        <v>1.3196495587663</v>
      </c>
      <c r="L19" s="1"/>
      <c r="M19" s="8">
        <v>0.8</v>
      </c>
      <c r="N19" s="9">
        <f t="shared" si="4"/>
        <v>1.3196495587663</v>
      </c>
      <c r="O19" s="8">
        <v>0.9</v>
      </c>
      <c r="P19" s="9">
        <f t="shared" si="5"/>
        <v>1.36048277103058</v>
      </c>
    </row>
    <row r="20" spans="1:16">
      <c r="A20" s="11">
        <v>41609</v>
      </c>
      <c r="B20" s="12">
        <v>28</v>
      </c>
      <c r="C20" s="12">
        <v>3829</v>
      </c>
      <c r="D20" s="13">
        <f t="shared" si="0"/>
        <v>0.72</v>
      </c>
      <c r="E20" s="14">
        <f t="shared" si="1"/>
        <v>1.3431145216297</v>
      </c>
      <c r="F20" s="9">
        <f t="shared" si="6"/>
        <v>1.35973011363636</v>
      </c>
      <c r="G20" s="15"/>
      <c r="H20" s="13">
        <v>0.7</v>
      </c>
      <c r="I20" s="9">
        <f t="shared" si="2"/>
        <v>1.25231223599583</v>
      </c>
      <c r="J20" s="8">
        <v>0.8</v>
      </c>
      <c r="K20" s="14">
        <f>K19*J19*C20/C19+K19*(1-J19)</f>
        <v>1.28834717693647</v>
      </c>
      <c r="L20" s="18"/>
      <c r="M20" s="13">
        <v>0.8</v>
      </c>
      <c r="N20" s="14">
        <f t="shared" si="4"/>
        <v>1.28834717693646</v>
      </c>
      <c r="O20" s="8">
        <v>0.9</v>
      </c>
      <c r="P20" s="19">
        <f t="shared" si="5"/>
        <v>1.32417794695822</v>
      </c>
    </row>
    <row r="21" spans="1:16">
      <c r="A21" s="5">
        <v>41640</v>
      </c>
      <c r="B21" s="7">
        <v>23</v>
      </c>
      <c r="C21" s="7">
        <v>3885</v>
      </c>
      <c r="D21" s="8">
        <f t="shared" si="0"/>
        <v>0.77</v>
      </c>
      <c r="E21" s="9">
        <f t="shared" si="1"/>
        <v>1.35725773853022</v>
      </c>
      <c r="F21" s="9">
        <f t="shared" si="6"/>
        <v>1.37961647727273</v>
      </c>
      <c r="G21" s="10"/>
      <c r="H21" s="8">
        <v>0.7</v>
      </c>
      <c r="I21" s="9">
        <f t="shared" si="2"/>
        <v>1.26513298283601</v>
      </c>
      <c r="J21" s="8">
        <v>0.8</v>
      </c>
      <c r="K21" s="9">
        <f t="shared" si="3"/>
        <v>1.30342107443627</v>
      </c>
      <c r="L21" s="1"/>
      <c r="M21" s="8">
        <v>0.8</v>
      </c>
      <c r="N21" s="9">
        <f t="shared" si="4"/>
        <v>1.30342107443627</v>
      </c>
      <c r="O21" s="8">
        <v>0.9</v>
      </c>
      <c r="P21" s="9">
        <f t="shared" si="5"/>
        <v>1.34160771152513</v>
      </c>
    </row>
    <row r="22" spans="1:16">
      <c r="A22" s="5">
        <v>41671</v>
      </c>
      <c r="B22" s="7">
        <v>43</v>
      </c>
      <c r="C22" s="7">
        <v>3975</v>
      </c>
      <c r="D22" s="8">
        <f t="shared" si="0"/>
        <v>0.57</v>
      </c>
      <c r="E22" s="9">
        <f t="shared" si="1"/>
        <v>1.38146828197427</v>
      </c>
      <c r="F22" s="9">
        <f t="shared" si="6"/>
        <v>1.41157670454545</v>
      </c>
      <c r="G22" s="10"/>
      <c r="H22" s="8">
        <v>0.7</v>
      </c>
      <c r="I22" s="9">
        <f t="shared" si="2"/>
        <v>1.28564865282794</v>
      </c>
      <c r="J22" s="8">
        <v>0.8</v>
      </c>
      <c r="K22" s="9">
        <f t="shared" si="3"/>
        <v>1.32757714068065</v>
      </c>
      <c r="L22" s="1"/>
      <c r="M22" s="8">
        <v>0.8</v>
      </c>
      <c r="N22" s="9">
        <f t="shared" si="4"/>
        <v>1.32757714068065</v>
      </c>
      <c r="O22" s="8">
        <v>0.9</v>
      </c>
      <c r="P22" s="9">
        <f t="shared" si="5"/>
        <v>1.36957945531755</v>
      </c>
    </row>
    <row r="23" spans="1:16">
      <c r="A23" s="5">
        <v>41699</v>
      </c>
      <c r="B23" s="7">
        <v>30</v>
      </c>
      <c r="C23" s="7">
        <v>3840</v>
      </c>
      <c r="D23" s="8">
        <f t="shared" si="0"/>
        <v>0.7</v>
      </c>
      <c r="E23" s="9">
        <f t="shared" si="1"/>
        <v>1.3547251412704</v>
      </c>
      <c r="F23" s="9">
        <f t="shared" si="6"/>
        <v>1.36363636363636</v>
      </c>
      <c r="G23" s="10"/>
      <c r="H23" s="8">
        <v>0.7</v>
      </c>
      <c r="I23" s="9">
        <f t="shared" si="2"/>
        <v>1.25508417542109</v>
      </c>
      <c r="J23" s="8">
        <v>0.8</v>
      </c>
      <c r="K23" s="9">
        <f t="shared" si="3"/>
        <v>1.29150712025461</v>
      </c>
      <c r="L23" s="1"/>
      <c r="M23" s="8">
        <v>0.8</v>
      </c>
      <c r="N23" s="9">
        <f t="shared" si="4"/>
        <v>1.29150712025461</v>
      </c>
      <c r="O23" s="8">
        <v>0.9</v>
      </c>
      <c r="P23" s="9">
        <f t="shared" si="5"/>
        <v>1.32771683800407</v>
      </c>
    </row>
    <row r="24" spans="1:16">
      <c r="A24" s="5">
        <v>41730</v>
      </c>
      <c r="B24" s="7">
        <v>25</v>
      </c>
      <c r="C24" s="7">
        <v>3766</v>
      </c>
      <c r="D24" s="8">
        <f t="shared" si="0"/>
        <v>0.75</v>
      </c>
      <c r="E24" s="9">
        <f t="shared" si="1"/>
        <v>1.33645046358347</v>
      </c>
      <c r="F24" s="9">
        <f t="shared" si="6"/>
        <v>1.33735795454545</v>
      </c>
      <c r="G24" s="10"/>
      <c r="H24" s="8">
        <v>0.7</v>
      </c>
      <c r="I24" s="9">
        <f t="shared" si="2"/>
        <v>1.2381536128464</v>
      </c>
      <c r="J24" s="8">
        <v>0.8</v>
      </c>
      <c r="K24" s="9">
        <f t="shared" si="3"/>
        <v>1.27159638548402</v>
      </c>
      <c r="L24" s="1"/>
      <c r="M24" s="8">
        <v>0.8</v>
      </c>
      <c r="N24" s="9">
        <f t="shared" si="4"/>
        <v>1.27159638548402</v>
      </c>
      <c r="O24" s="8">
        <v>0.9</v>
      </c>
      <c r="P24" s="9">
        <f t="shared" si="5"/>
        <v>1.30468924909493</v>
      </c>
    </row>
    <row r="25" spans="1:16">
      <c r="A25" s="5">
        <v>41760</v>
      </c>
      <c r="B25" s="6">
        <v>8</v>
      </c>
      <c r="C25" s="7">
        <v>3829</v>
      </c>
      <c r="D25" s="8">
        <f t="shared" si="0"/>
        <v>0.92</v>
      </c>
      <c r="E25" s="9">
        <f t="shared" si="1"/>
        <v>1.35321819709497</v>
      </c>
      <c r="F25" s="9">
        <f t="shared" si="6"/>
        <v>1.35973011363636</v>
      </c>
      <c r="G25" s="10"/>
      <c r="H25" s="8">
        <v>0.7</v>
      </c>
      <c r="I25" s="9">
        <f t="shared" si="2"/>
        <v>1.25265243768084</v>
      </c>
      <c r="J25" s="8">
        <v>0.8</v>
      </c>
      <c r="K25" s="9">
        <f t="shared" si="3"/>
        <v>1.2886140322786</v>
      </c>
      <c r="L25" s="1"/>
      <c r="M25" s="8">
        <v>0.8</v>
      </c>
      <c r="N25" s="9">
        <f t="shared" si="4"/>
        <v>1.2886140322786</v>
      </c>
      <c r="O25" s="8">
        <v>0.9</v>
      </c>
      <c r="P25" s="9">
        <f t="shared" si="5"/>
        <v>1.32433234001997</v>
      </c>
    </row>
    <row r="26" spans="1:16">
      <c r="A26" s="5">
        <v>41791</v>
      </c>
      <c r="B26" s="7">
        <v>15</v>
      </c>
      <c r="C26" s="7">
        <v>3924</v>
      </c>
      <c r="D26" s="8">
        <f t="shared" si="0"/>
        <v>0.85</v>
      </c>
      <c r="E26" s="9">
        <f t="shared" si="1"/>
        <v>1.38410648918849</v>
      </c>
      <c r="F26" s="9">
        <f t="shared" si="6"/>
        <v>1.39346590909091</v>
      </c>
      <c r="G26" s="10"/>
      <c r="H26" s="8">
        <v>0.7</v>
      </c>
      <c r="I26" s="9">
        <f t="shared" si="2"/>
        <v>1.27440782736634</v>
      </c>
      <c r="J26" s="8">
        <v>0.8</v>
      </c>
      <c r="K26" s="9">
        <f t="shared" si="3"/>
        <v>1.31419111936483</v>
      </c>
      <c r="L26" s="1"/>
      <c r="M26" s="8">
        <v>0.8</v>
      </c>
      <c r="N26" s="9">
        <f t="shared" si="4"/>
        <v>1.31419111936483</v>
      </c>
      <c r="O26" s="8">
        <v>0.9</v>
      </c>
      <c r="P26" s="9">
        <f t="shared" si="5"/>
        <v>1.35390413815831</v>
      </c>
    </row>
    <row r="27" spans="1:16">
      <c r="A27" s="5">
        <v>41821</v>
      </c>
      <c r="B27" s="7">
        <v>35</v>
      </c>
      <c r="C27" s="7">
        <v>4257</v>
      </c>
      <c r="D27" s="8">
        <f t="shared" si="0"/>
        <v>0.65</v>
      </c>
      <c r="E27" s="9">
        <f t="shared" si="1"/>
        <v>1.4839462806678</v>
      </c>
      <c r="F27" s="9">
        <f t="shared" si="6"/>
        <v>1.51171875</v>
      </c>
      <c r="G27" s="10"/>
      <c r="H27" s="8">
        <v>0.7</v>
      </c>
      <c r="I27" s="9">
        <f t="shared" si="2"/>
        <v>1.35011232903788</v>
      </c>
      <c r="J27" s="8">
        <v>0.8</v>
      </c>
      <c r="K27" s="9">
        <f t="shared" si="3"/>
        <v>1.40341143389051</v>
      </c>
      <c r="L27" s="1"/>
      <c r="M27" s="8">
        <v>0.8</v>
      </c>
      <c r="N27" s="9">
        <f t="shared" si="4"/>
        <v>1.40341143389051</v>
      </c>
      <c r="O27" s="8">
        <v>0.9</v>
      </c>
      <c r="P27" s="9">
        <f t="shared" si="5"/>
        <v>1.45731011935251</v>
      </c>
    </row>
    <row r="28" spans="1:16">
      <c r="A28" s="5">
        <v>41852</v>
      </c>
      <c r="B28" s="7">
        <v>53</v>
      </c>
      <c r="C28" s="7">
        <v>4427</v>
      </c>
      <c r="D28" s="8">
        <f t="shared" si="0"/>
        <v>0.47</v>
      </c>
      <c r="E28" s="9">
        <f t="shared" si="1"/>
        <v>1.52246544064285</v>
      </c>
      <c r="F28" s="9">
        <f t="shared" si="6"/>
        <v>1.57208806818182</v>
      </c>
      <c r="G28" s="10"/>
      <c r="H28" s="8">
        <v>0.7</v>
      </c>
      <c r="I28" s="9">
        <f t="shared" si="2"/>
        <v>1.3878533126309</v>
      </c>
      <c r="J28" s="8">
        <v>0.8</v>
      </c>
      <c r="K28" s="9">
        <f t="shared" si="3"/>
        <v>1.44824675336646</v>
      </c>
      <c r="L28" s="1"/>
      <c r="M28" s="8">
        <v>0.8</v>
      </c>
      <c r="N28" s="9">
        <f t="shared" si="4"/>
        <v>1.44824675336646</v>
      </c>
      <c r="O28" s="8">
        <v>0.9</v>
      </c>
      <c r="P28" s="9">
        <f t="shared" si="5"/>
        <v>1.50968701581973</v>
      </c>
    </row>
    <row r="29" spans="1:16">
      <c r="A29" s="5">
        <v>41883</v>
      </c>
      <c r="B29" s="7">
        <v>55</v>
      </c>
      <c r="C29" s="7">
        <v>4916</v>
      </c>
      <c r="D29" s="8">
        <f t="shared" si="0"/>
        <v>0.45</v>
      </c>
      <c r="E29" s="9">
        <f t="shared" si="1"/>
        <v>1.60150502325477</v>
      </c>
      <c r="F29" s="9">
        <f t="shared" si="6"/>
        <v>1.74573863636364</v>
      </c>
      <c r="G29" s="10"/>
      <c r="H29" s="8">
        <v>0.7</v>
      </c>
      <c r="I29" s="9">
        <f t="shared" si="2"/>
        <v>1.49516349761251</v>
      </c>
      <c r="J29" s="8">
        <v>0.8</v>
      </c>
      <c r="K29" s="9">
        <f t="shared" si="3"/>
        <v>1.57622374227926</v>
      </c>
      <c r="L29" s="1"/>
      <c r="M29" s="8">
        <v>0.8</v>
      </c>
      <c r="N29" s="9">
        <f t="shared" si="4"/>
        <v>1.57622374227926</v>
      </c>
      <c r="O29" s="8">
        <v>0.9</v>
      </c>
      <c r="P29" s="9">
        <f t="shared" si="5"/>
        <v>1.65976907040799</v>
      </c>
    </row>
    <row r="30" spans="1:16">
      <c r="A30" s="5">
        <v>41913</v>
      </c>
      <c r="B30" s="7">
        <v>56</v>
      </c>
      <c r="C30" s="7">
        <v>4986</v>
      </c>
      <c r="D30" s="8">
        <f t="shared" si="0"/>
        <v>0.44</v>
      </c>
      <c r="E30" s="9">
        <f t="shared" si="1"/>
        <v>1.6117669045063</v>
      </c>
      <c r="F30" s="9">
        <f t="shared" si="6"/>
        <v>1.77059659090909</v>
      </c>
      <c r="G30" s="10"/>
      <c r="H30" s="8">
        <v>0.7</v>
      </c>
      <c r="I30" s="9">
        <f t="shared" si="2"/>
        <v>1.51006646982223</v>
      </c>
      <c r="J30" s="8">
        <v>0.8</v>
      </c>
      <c r="K30" s="9">
        <f t="shared" si="3"/>
        <v>1.59417909817178</v>
      </c>
      <c r="L30" s="1"/>
      <c r="M30" s="8">
        <v>0.8</v>
      </c>
      <c r="N30" s="9">
        <f t="shared" si="4"/>
        <v>1.59417909817178</v>
      </c>
      <c r="O30" s="8">
        <v>0.9</v>
      </c>
      <c r="P30" s="9">
        <f t="shared" si="5"/>
        <v>1.68103950397913</v>
      </c>
    </row>
    <row r="31" spans="1:16">
      <c r="A31" s="5">
        <v>41944</v>
      </c>
      <c r="B31" s="7">
        <v>58</v>
      </c>
      <c r="C31" s="7">
        <v>5245</v>
      </c>
      <c r="D31" s="8">
        <f t="shared" si="0"/>
        <v>0.42</v>
      </c>
      <c r="E31" s="9">
        <f t="shared" si="1"/>
        <v>1.64860544370356</v>
      </c>
      <c r="F31" s="9">
        <f t="shared" si="6"/>
        <v>1.86257102272727</v>
      </c>
      <c r="G31" s="10"/>
      <c r="H31" s="8">
        <v>0.7</v>
      </c>
      <c r="I31" s="9">
        <f t="shared" si="2"/>
        <v>1.56497522453117</v>
      </c>
      <c r="J31" s="8">
        <v>0.8</v>
      </c>
      <c r="K31" s="9">
        <f t="shared" si="3"/>
        <v>1.66042737517563</v>
      </c>
      <c r="L31" s="1"/>
      <c r="M31" s="8">
        <v>0.8</v>
      </c>
      <c r="N31" s="9">
        <f t="shared" si="4"/>
        <v>1.66042737517563</v>
      </c>
      <c r="O31" s="8">
        <v>0.9</v>
      </c>
      <c r="P31" s="9">
        <f t="shared" si="5"/>
        <v>1.75962961797382</v>
      </c>
    </row>
    <row r="32" spans="1:16">
      <c r="A32" s="16">
        <v>41974</v>
      </c>
      <c r="B32" s="6">
        <v>63</v>
      </c>
      <c r="C32" s="12">
        <v>5322</v>
      </c>
      <c r="D32" s="13">
        <f t="shared" si="0"/>
        <v>0.37</v>
      </c>
      <c r="E32" s="14">
        <f t="shared" si="1"/>
        <v>1.65877053427541</v>
      </c>
      <c r="F32" s="9">
        <f t="shared" si="6"/>
        <v>1.88991477272727</v>
      </c>
      <c r="G32" s="15"/>
      <c r="H32" s="13">
        <v>0.7</v>
      </c>
      <c r="I32" s="9">
        <f t="shared" si="2"/>
        <v>1.5810576200702</v>
      </c>
      <c r="J32" s="8">
        <v>0.8</v>
      </c>
      <c r="K32" s="14">
        <f t="shared" si="3"/>
        <v>1.67992829534929</v>
      </c>
      <c r="L32" s="18"/>
      <c r="M32" s="20">
        <v>0.2</v>
      </c>
      <c r="N32" s="14">
        <f t="shared" si="4"/>
        <v>1.67992829534929</v>
      </c>
      <c r="O32" s="20">
        <v>0.1</v>
      </c>
      <c r="P32" s="19">
        <f t="shared" si="5"/>
        <v>1.78287887107689</v>
      </c>
    </row>
    <row r="33" spans="1:16">
      <c r="A33" s="5">
        <v>42005</v>
      </c>
      <c r="B33" s="6">
        <v>66</v>
      </c>
      <c r="C33" s="7">
        <v>5632</v>
      </c>
      <c r="D33" s="8">
        <f t="shared" si="0"/>
        <v>0.34</v>
      </c>
      <c r="E33" s="9">
        <f t="shared" si="1"/>
        <v>1.69452043662065</v>
      </c>
      <c r="F33" s="9">
        <f t="shared" si="6"/>
        <v>2</v>
      </c>
      <c r="G33" s="10"/>
      <c r="H33" s="13">
        <v>0.7</v>
      </c>
      <c r="I33" s="9">
        <f t="shared" si="2"/>
        <v>1.6455238928164</v>
      </c>
      <c r="J33" s="8">
        <v>0.8</v>
      </c>
      <c r="K33" s="9">
        <f t="shared" si="3"/>
        <v>1.75821131249446</v>
      </c>
      <c r="L33" s="1"/>
      <c r="M33" s="8">
        <v>0.2</v>
      </c>
      <c r="N33" s="9">
        <f t="shared" si="4"/>
        <v>1.69949904963558</v>
      </c>
      <c r="O33" s="8">
        <v>0.1</v>
      </c>
      <c r="P33" s="9">
        <f t="shared" si="5"/>
        <v>1.79326392274983</v>
      </c>
    </row>
    <row r="34" spans="1:16">
      <c r="A34" s="5">
        <v>42036</v>
      </c>
      <c r="B34" s="6">
        <v>68</v>
      </c>
      <c r="C34" s="7">
        <v>6018</v>
      </c>
      <c r="D34" s="8">
        <f t="shared" si="0"/>
        <v>0.32</v>
      </c>
      <c r="E34" s="9">
        <f t="shared" si="1"/>
        <v>1.73400709537458</v>
      </c>
      <c r="F34" s="9">
        <f t="shared" si="6"/>
        <v>2.13707386363636</v>
      </c>
      <c r="G34" s="10"/>
      <c r="H34" s="13">
        <v>0.7</v>
      </c>
      <c r="I34" s="9">
        <f t="shared" si="2"/>
        <v>1.7244693040094</v>
      </c>
      <c r="J34" s="8">
        <v>0.8</v>
      </c>
      <c r="K34" s="9">
        <f t="shared" si="3"/>
        <v>1.85461323957157</v>
      </c>
      <c r="L34" s="1"/>
      <c r="M34" s="8">
        <v>0.2</v>
      </c>
      <c r="N34" s="9">
        <f t="shared" si="4"/>
        <v>1.72279473973357</v>
      </c>
      <c r="O34" s="8">
        <v>0.1</v>
      </c>
      <c r="P34" s="9">
        <f t="shared" si="5"/>
        <v>1.80555440347038</v>
      </c>
    </row>
    <row r="35" spans="1:16">
      <c r="A35" s="5">
        <v>42064</v>
      </c>
      <c r="B35" s="6">
        <v>78</v>
      </c>
      <c r="C35" s="7">
        <v>7253</v>
      </c>
      <c r="D35" s="8">
        <f t="shared" si="0"/>
        <v>0.22</v>
      </c>
      <c r="E35" s="9">
        <f t="shared" si="1"/>
        <v>1.84787874776607</v>
      </c>
      <c r="F35" s="9">
        <f t="shared" si="6"/>
        <v>2.57563920454545</v>
      </c>
      <c r="G35" s="10"/>
      <c r="H35" s="13">
        <v>0.7</v>
      </c>
      <c r="I35" s="9">
        <f t="shared" si="2"/>
        <v>1.97219341722245</v>
      </c>
      <c r="J35" s="8">
        <v>0.8</v>
      </c>
      <c r="K35" s="9">
        <f t="shared" si="3"/>
        <v>2.15909278106322</v>
      </c>
      <c r="L35" s="1"/>
      <c r="M35" s="8">
        <v>0.2</v>
      </c>
      <c r="N35" s="9">
        <f t="shared" si="4"/>
        <v>1.7935043277552</v>
      </c>
      <c r="O35" s="8">
        <v>0.1</v>
      </c>
      <c r="P35" s="9">
        <f t="shared" si="5"/>
        <v>1.84260757210258</v>
      </c>
    </row>
    <row r="36" spans="1:16">
      <c r="A36" s="5">
        <v>42095</v>
      </c>
      <c r="B36" s="6">
        <v>98</v>
      </c>
      <c r="C36" s="7">
        <v>8469</v>
      </c>
      <c r="D36" s="8">
        <f t="shared" si="0"/>
        <v>0.02</v>
      </c>
      <c r="E36" s="9">
        <f t="shared" si="1"/>
        <v>1.91603599616017</v>
      </c>
      <c r="F36" s="9">
        <f t="shared" si="6"/>
        <v>3.00745738636364</v>
      </c>
      <c r="G36" s="10"/>
      <c r="H36" s="13">
        <v>0.7</v>
      </c>
      <c r="I36" s="9">
        <f t="shared" si="2"/>
        <v>2.20364675194459</v>
      </c>
      <c r="J36" s="8">
        <v>0.8</v>
      </c>
      <c r="K36" s="9">
        <f t="shared" si="3"/>
        <v>2.44867853280985</v>
      </c>
      <c r="L36" s="1"/>
      <c r="M36" s="8">
        <v>0.2</v>
      </c>
      <c r="N36" s="9">
        <f t="shared" si="4"/>
        <v>1.85364223655295</v>
      </c>
      <c r="O36" s="8">
        <v>0.1</v>
      </c>
      <c r="P36" s="9">
        <f t="shared" si="5"/>
        <v>1.8734997657835</v>
      </c>
    </row>
    <row r="37" spans="1:16">
      <c r="A37" s="5">
        <v>42125</v>
      </c>
      <c r="B37" s="6">
        <v>100</v>
      </c>
      <c r="C37" s="7">
        <v>9966</v>
      </c>
      <c r="D37" s="8">
        <f t="shared" si="0"/>
        <v>0</v>
      </c>
      <c r="E37" s="9">
        <f t="shared" si="1"/>
        <v>1.92280965511932</v>
      </c>
      <c r="F37" s="9">
        <f t="shared" si="6"/>
        <v>3.5390625</v>
      </c>
      <c r="G37" s="10"/>
      <c r="H37" s="13">
        <v>0.7</v>
      </c>
      <c r="I37" s="9">
        <f t="shared" si="2"/>
        <v>2.47631193453554</v>
      </c>
      <c r="J37" s="8">
        <v>0.8</v>
      </c>
      <c r="K37" s="9">
        <f t="shared" si="3"/>
        <v>2.79494579115122</v>
      </c>
      <c r="L37" s="1"/>
      <c r="M37" s="8">
        <v>0.2</v>
      </c>
      <c r="N37" s="9">
        <f t="shared" si="4"/>
        <v>1.91917305313389</v>
      </c>
      <c r="O37" s="8">
        <v>0.1</v>
      </c>
      <c r="P37" s="9">
        <f t="shared" si="5"/>
        <v>1.90661618034694</v>
      </c>
    </row>
    <row r="38" spans="1:16">
      <c r="A38" s="5">
        <v>42156</v>
      </c>
      <c r="B38" s="6">
        <v>100</v>
      </c>
      <c r="C38" s="7">
        <v>8906</v>
      </c>
      <c r="D38" s="8">
        <f t="shared" si="0"/>
        <v>0</v>
      </c>
      <c r="E38" s="9">
        <f t="shared" si="1"/>
        <v>1.92280965511932</v>
      </c>
      <c r="F38" s="9">
        <f t="shared" si="6"/>
        <v>3.16264204545455</v>
      </c>
      <c r="G38" s="10"/>
      <c r="H38" s="13">
        <v>0.7</v>
      </c>
      <c r="I38" s="9">
        <f t="shared" si="2"/>
        <v>2.2919427337102</v>
      </c>
      <c r="J38" s="8">
        <v>0.8</v>
      </c>
      <c r="K38" s="9">
        <f t="shared" si="3"/>
        <v>2.55712580009199</v>
      </c>
      <c r="L38" s="1"/>
      <c r="M38" s="8">
        <v>0.2</v>
      </c>
      <c r="N38" s="9">
        <f t="shared" si="4"/>
        <v>1.8783477784736</v>
      </c>
      <c r="O38" s="8">
        <v>0.1</v>
      </c>
      <c r="P38" s="9">
        <f t="shared" si="5"/>
        <v>1.88633709996195</v>
      </c>
    </row>
    <row r="39" spans="1:16">
      <c r="A39" s="5">
        <v>42186</v>
      </c>
      <c r="B39" s="6">
        <v>91</v>
      </c>
      <c r="C39" s="7">
        <v>7727</v>
      </c>
      <c r="D39" s="8">
        <f t="shared" si="0"/>
        <v>0.09</v>
      </c>
      <c r="E39" s="9">
        <f t="shared" si="1"/>
        <v>1.92280965511932</v>
      </c>
      <c r="F39" s="9">
        <f t="shared" si="6"/>
        <v>2.74396306818182</v>
      </c>
      <c r="G39" s="10"/>
      <c r="H39" s="13">
        <v>0.7</v>
      </c>
      <c r="I39" s="9">
        <f t="shared" si="2"/>
        <v>2.07955329533932</v>
      </c>
      <c r="J39" s="8">
        <v>0.8</v>
      </c>
      <c r="K39" s="9">
        <f t="shared" si="3"/>
        <v>2.28631050089519</v>
      </c>
      <c r="L39" s="1"/>
      <c r="M39" s="8">
        <v>0.2</v>
      </c>
      <c r="N39" s="9">
        <f t="shared" si="4"/>
        <v>1.82861564214258</v>
      </c>
      <c r="O39" s="8">
        <v>0.1</v>
      </c>
      <c r="P39" s="9">
        <f t="shared" si="5"/>
        <v>1.86136526703072</v>
      </c>
    </row>
    <row r="40" spans="1:16">
      <c r="A40" s="5">
        <v>42217</v>
      </c>
      <c r="B40" s="6">
        <v>88</v>
      </c>
      <c r="C40" s="7">
        <v>6581</v>
      </c>
      <c r="D40" s="8">
        <f t="shared" ref="D40:D71" si="7">(100-B40)/100</f>
        <v>0.12</v>
      </c>
      <c r="E40" s="9">
        <f t="shared" si="1"/>
        <v>1.89714399084742</v>
      </c>
      <c r="F40" s="9">
        <f t="shared" si="6"/>
        <v>2.33700284090909</v>
      </c>
      <c r="G40" s="10"/>
      <c r="H40" s="13">
        <v>0.7</v>
      </c>
      <c r="I40" s="9">
        <f t="shared" si="2"/>
        <v>1.86365868507386</v>
      </c>
      <c r="J40" s="8">
        <v>0.8</v>
      </c>
      <c r="K40" s="9">
        <f t="shared" si="3"/>
        <v>2.01504228978859</v>
      </c>
      <c r="L40" s="1"/>
      <c r="M40" s="8">
        <v>0.2</v>
      </c>
      <c r="N40" s="9">
        <f t="shared" si="4"/>
        <v>1.77437483650274</v>
      </c>
      <c r="O40" s="8">
        <v>0.1</v>
      </c>
      <c r="P40" s="9">
        <f t="shared" si="5"/>
        <v>1.8337591508664</v>
      </c>
    </row>
    <row r="41" spans="1:16">
      <c r="A41" s="5">
        <v>42248</v>
      </c>
      <c r="B41" s="6">
        <v>70</v>
      </c>
      <c r="C41" s="7">
        <v>6123</v>
      </c>
      <c r="D41" s="8">
        <f t="shared" si="7"/>
        <v>0.3</v>
      </c>
      <c r="E41" s="9">
        <f t="shared" ref="E41:E72" si="8">E40*D40*C41/C40+E40*(1-D40)</f>
        <v>1.88130034493692</v>
      </c>
      <c r="F41" s="9">
        <f t="shared" si="6"/>
        <v>2.17436079545455</v>
      </c>
      <c r="G41" s="10"/>
      <c r="H41" s="13">
        <v>0.7</v>
      </c>
      <c r="I41" s="9">
        <f t="shared" ref="I41:I72" si="9">I40*H40*C41/C40+I40*(1-H40)</f>
        <v>1.77286868743905</v>
      </c>
      <c r="J41" s="8">
        <v>0.8</v>
      </c>
      <c r="K41" s="9">
        <f t="shared" ref="K41:K72" si="10">K40*J40*C41/C40+K40*(1-J40)</f>
        <v>1.90285394531532</v>
      </c>
      <c r="L41" s="1"/>
      <c r="M41" s="8">
        <v>0.2</v>
      </c>
      <c r="N41" s="9">
        <f t="shared" ref="N41:N74" si="11">N40*M40*C41/C40+N40*(1-M40)</f>
        <v>1.74967756632744</v>
      </c>
      <c r="O41" s="8">
        <v>0.1</v>
      </c>
      <c r="P41" s="9">
        <f t="shared" ref="P41:P72" si="12">P40*O40*C41/C40+P40*(1-O40)</f>
        <v>1.82099723487952</v>
      </c>
    </row>
    <row r="42" spans="1:16">
      <c r="A42" s="5">
        <v>42278</v>
      </c>
      <c r="B42" s="6">
        <v>78</v>
      </c>
      <c r="C42" s="7">
        <v>7084</v>
      </c>
      <c r="D42" s="8">
        <f t="shared" si="7"/>
        <v>0.22</v>
      </c>
      <c r="E42" s="9">
        <f t="shared" si="8"/>
        <v>1.96988092462748</v>
      </c>
      <c r="F42" s="9">
        <f t="shared" ref="F42:F73" si="13">C42/$C$7</f>
        <v>2.515625</v>
      </c>
      <c r="G42" s="10"/>
      <c r="H42" s="13">
        <v>0.7</v>
      </c>
      <c r="I42" s="9">
        <f t="shared" si="9"/>
        <v>1.96764392278778</v>
      </c>
      <c r="J42" s="8">
        <v>0.8</v>
      </c>
      <c r="K42" s="9">
        <f t="shared" si="10"/>
        <v>2.14177508089566</v>
      </c>
      <c r="L42" s="1"/>
      <c r="M42" s="8">
        <v>0.2</v>
      </c>
      <c r="N42" s="9">
        <f t="shared" si="11"/>
        <v>1.80459966795215</v>
      </c>
      <c r="O42" s="8">
        <v>0.1</v>
      </c>
      <c r="P42" s="9">
        <f t="shared" si="12"/>
        <v>1.8495776422406</v>
      </c>
    </row>
    <row r="43" spans="1:16">
      <c r="A43" s="5">
        <v>42309</v>
      </c>
      <c r="B43" s="6">
        <v>83</v>
      </c>
      <c r="C43" s="7">
        <v>7408</v>
      </c>
      <c r="D43" s="8">
        <f t="shared" si="7"/>
        <v>0.17</v>
      </c>
      <c r="E43" s="9">
        <f t="shared" si="8"/>
        <v>1.98970208672622</v>
      </c>
      <c r="F43" s="9">
        <f t="shared" si="13"/>
        <v>2.63068181818182</v>
      </c>
      <c r="G43" s="10"/>
      <c r="H43" s="13">
        <v>0.7</v>
      </c>
      <c r="I43" s="9">
        <f t="shared" si="9"/>
        <v>2.03063963731182</v>
      </c>
      <c r="J43" s="8">
        <v>0.8</v>
      </c>
      <c r="K43" s="9">
        <f t="shared" si="10"/>
        <v>2.22014155477598</v>
      </c>
      <c r="L43" s="1"/>
      <c r="M43" s="8">
        <v>0.2</v>
      </c>
      <c r="N43" s="9">
        <f t="shared" si="11"/>
        <v>1.82110701669344</v>
      </c>
      <c r="O43" s="8">
        <v>0.1</v>
      </c>
      <c r="P43" s="9">
        <f t="shared" si="12"/>
        <v>1.85803703179574</v>
      </c>
    </row>
    <row r="44" spans="1:16">
      <c r="A44" s="5">
        <v>42339</v>
      </c>
      <c r="B44" s="6">
        <v>83</v>
      </c>
      <c r="C44" s="7">
        <v>7617</v>
      </c>
      <c r="D44" s="8">
        <f t="shared" si="7"/>
        <v>0.17</v>
      </c>
      <c r="E44" s="14">
        <f t="shared" si="8"/>
        <v>1.99924502883494</v>
      </c>
      <c r="F44" s="9">
        <f t="shared" si="13"/>
        <v>2.70490056818182</v>
      </c>
      <c r="G44" s="10"/>
      <c r="H44" s="13">
        <v>0.7</v>
      </c>
      <c r="I44" s="9">
        <f t="shared" si="9"/>
        <v>2.07074257723335</v>
      </c>
      <c r="J44" s="8">
        <v>0.8</v>
      </c>
      <c r="K44" s="14">
        <f t="shared" si="10"/>
        <v>2.27025058122827</v>
      </c>
      <c r="L44" s="1"/>
      <c r="M44" s="8">
        <v>0.2</v>
      </c>
      <c r="N44" s="14">
        <f t="shared" si="11"/>
        <v>1.83138270153386</v>
      </c>
      <c r="O44" s="8">
        <v>0.1</v>
      </c>
      <c r="P44" s="19">
        <f t="shared" si="12"/>
        <v>1.86327906391838</v>
      </c>
    </row>
    <row r="45" spans="1:16">
      <c r="A45" s="5">
        <v>42370</v>
      </c>
      <c r="B45" s="6">
        <v>68</v>
      </c>
      <c r="C45" s="7">
        <v>5469</v>
      </c>
      <c r="D45" s="8">
        <f t="shared" si="7"/>
        <v>0.32</v>
      </c>
      <c r="E45" s="9">
        <f t="shared" si="8"/>
        <v>1.90340095443171</v>
      </c>
      <c r="F45" s="9">
        <f t="shared" si="13"/>
        <v>1.94211647727273</v>
      </c>
      <c r="G45" s="10"/>
      <c r="H45" s="13">
        <v>0.7</v>
      </c>
      <c r="I45" s="9">
        <f t="shared" si="9"/>
        <v>1.66197685068378</v>
      </c>
      <c r="J45" s="8">
        <v>0.8</v>
      </c>
      <c r="K45" s="9">
        <f t="shared" si="10"/>
        <v>1.75808061946082</v>
      </c>
      <c r="L45" s="1"/>
      <c r="M45" s="8">
        <v>0.2</v>
      </c>
      <c r="N45" s="9">
        <f t="shared" si="11"/>
        <v>1.72809242864703</v>
      </c>
      <c r="O45" s="8">
        <v>0.1</v>
      </c>
      <c r="P45" s="9">
        <f t="shared" si="12"/>
        <v>1.81073444754321</v>
      </c>
    </row>
    <row r="46" spans="1:16">
      <c r="A46" s="5">
        <v>42401</v>
      </c>
      <c r="B46" s="6">
        <v>61</v>
      </c>
      <c r="C46" s="7">
        <v>5350</v>
      </c>
      <c r="D46" s="8">
        <f t="shared" si="7"/>
        <v>0.39</v>
      </c>
      <c r="E46" s="9">
        <f t="shared" si="8"/>
        <v>1.89014779876436</v>
      </c>
      <c r="F46" s="9">
        <f t="shared" si="13"/>
        <v>1.89985795454545</v>
      </c>
      <c r="G46" s="10"/>
      <c r="H46" s="13">
        <v>0.7</v>
      </c>
      <c r="I46" s="9">
        <f t="shared" si="9"/>
        <v>1.63666277650898</v>
      </c>
      <c r="J46" s="8">
        <v>0.8</v>
      </c>
      <c r="K46" s="9">
        <f t="shared" si="10"/>
        <v>1.7274773510438</v>
      </c>
      <c r="L46" s="1"/>
      <c r="M46" s="8">
        <v>0.2</v>
      </c>
      <c r="N46" s="9">
        <f t="shared" si="11"/>
        <v>1.72057211418336</v>
      </c>
      <c r="O46" s="8">
        <v>0.1</v>
      </c>
      <c r="P46" s="9">
        <f t="shared" si="12"/>
        <v>1.80679446949864</v>
      </c>
    </row>
    <row r="47" spans="1:16">
      <c r="A47" s="5">
        <v>42430</v>
      </c>
      <c r="B47" s="6">
        <v>63</v>
      </c>
      <c r="C47" s="7">
        <v>6155</v>
      </c>
      <c r="D47" s="8">
        <f t="shared" si="7"/>
        <v>0.37</v>
      </c>
      <c r="E47" s="9">
        <f t="shared" si="8"/>
        <v>2.0010659111797</v>
      </c>
      <c r="F47" s="9">
        <f t="shared" si="13"/>
        <v>2.18572443181818</v>
      </c>
      <c r="G47" s="10"/>
      <c r="H47" s="13">
        <v>0.7</v>
      </c>
      <c r="I47" s="9">
        <f t="shared" si="9"/>
        <v>1.8090477250254</v>
      </c>
      <c r="J47" s="8">
        <v>0.8</v>
      </c>
      <c r="K47" s="9">
        <f t="shared" si="10"/>
        <v>1.93542041909468</v>
      </c>
      <c r="L47" s="1"/>
      <c r="M47" s="8">
        <v>0.2</v>
      </c>
      <c r="N47" s="9">
        <f t="shared" si="11"/>
        <v>1.77235007874103</v>
      </c>
      <c r="O47" s="8">
        <v>0.1</v>
      </c>
      <c r="P47" s="9">
        <f t="shared" si="12"/>
        <v>1.83398081618923</v>
      </c>
    </row>
    <row r="48" spans="1:16">
      <c r="A48" s="5">
        <v>42461</v>
      </c>
      <c r="B48" s="6">
        <v>71</v>
      </c>
      <c r="C48" s="7">
        <v>5985</v>
      </c>
      <c r="D48" s="8">
        <f t="shared" si="7"/>
        <v>0.29</v>
      </c>
      <c r="E48" s="9">
        <f t="shared" si="8"/>
        <v>1.98061635052767</v>
      </c>
      <c r="F48" s="9">
        <f t="shared" si="13"/>
        <v>2.12535511363636</v>
      </c>
      <c r="G48" s="10"/>
      <c r="H48" s="13">
        <v>0.7</v>
      </c>
      <c r="I48" s="9">
        <f t="shared" si="9"/>
        <v>1.77407182262442</v>
      </c>
      <c r="J48" s="8">
        <v>0.8</v>
      </c>
      <c r="K48" s="9">
        <f t="shared" si="10"/>
        <v>1.8926556462276</v>
      </c>
      <c r="L48" s="1"/>
      <c r="M48" s="8">
        <v>0.2</v>
      </c>
      <c r="N48" s="9">
        <f t="shared" si="11"/>
        <v>1.7625596802557</v>
      </c>
      <c r="O48" s="8">
        <v>0.1</v>
      </c>
      <c r="P48" s="9">
        <f t="shared" si="12"/>
        <v>1.82891539395117</v>
      </c>
    </row>
    <row r="49" spans="1:16">
      <c r="A49" s="5">
        <v>42491</v>
      </c>
      <c r="B49" s="6">
        <v>61</v>
      </c>
      <c r="C49" s="7">
        <v>5947</v>
      </c>
      <c r="D49" s="8">
        <f t="shared" si="7"/>
        <v>0.39</v>
      </c>
      <c r="E49" s="9">
        <f t="shared" si="8"/>
        <v>1.97696950137432</v>
      </c>
      <c r="F49" s="9">
        <f t="shared" si="13"/>
        <v>2.11186079545455</v>
      </c>
      <c r="G49" s="10"/>
      <c r="H49" s="13">
        <v>0.7</v>
      </c>
      <c r="I49" s="9">
        <f t="shared" si="9"/>
        <v>1.76618705896831</v>
      </c>
      <c r="J49" s="8">
        <v>0.8</v>
      </c>
      <c r="K49" s="9">
        <f>K48*J48*C49/C48+K48*(1-J48)</f>
        <v>1.88304215723089</v>
      </c>
      <c r="L49" s="1"/>
      <c r="M49" s="8">
        <v>0.2</v>
      </c>
      <c r="N49" s="9">
        <f t="shared" si="11"/>
        <v>1.76032150923316</v>
      </c>
      <c r="O49" s="8">
        <v>0.1</v>
      </c>
      <c r="P49" s="9">
        <f t="shared" si="12"/>
        <v>1.82775417782803</v>
      </c>
    </row>
    <row r="50" spans="1:16">
      <c r="A50" s="5">
        <v>42522</v>
      </c>
      <c r="B50" s="6">
        <v>68</v>
      </c>
      <c r="C50" s="7">
        <v>6123</v>
      </c>
      <c r="D50" s="8">
        <f t="shared" si="7"/>
        <v>0.32</v>
      </c>
      <c r="E50" s="9">
        <f t="shared" si="8"/>
        <v>1.99978759227298</v>
      </c>
      <c r="F50" s="9">
        <f t="shared" si="13"/>
        <v>2.17436079545455</v>
      </c>
      <c r="G50" s="10"/>
      <c r="H50" s="13">
        <v>0.7</v>
      </c>
      <c r="I50" s="9">
        <f t="shared" si="9"/>
        <v>1.80277596861433</v>
      </c>
      <c r="J50" s="8">
        <v>0.8</v>
      </c>
      <c r="K50" s="9">
        <f t="shared" si="10"/>
        <v>1.92762469224655</v>
      </c>
      <c r="L50" s="1"/>
      <c r="M50" s="8">
        <v>0.2</v>
      </c>
      <c r="N50" s="9">
        <f t="shared" si="11"/>
        <v>1.77074076551784</v>
      </c>
      <c r="O50" s="8">
        <v>0.1</v>
      </c>
      <c r="P50" s="9">
        <f t="shared" si="12"/>
        <v>1.83316337129192</v>
      </c>
    </row>
    <row r="51" spans="1:16">
      <c r="A51" s="5">
        <v>42552</v>
      </c>
      <c r="B51" s="6">
        <v>76</v>
      </c>
      <c r="C51" s="7">
        <v>6202</v>
      </c>
      <c r="D51" s="8">
        <f t="shared" si="7"/>
        <v>0.24</v>
      </c>
      <c r="E51" s="9">
        <f t="shared" si="8"/>
        <v>2.00804410547446</v>
      </c>
      <c r="F51" s="9">
        <f t="shared" si="13"/>
        <v>2.20241477272727</v>
      </c>
      <c r="G51" s="10"/>
      <c r="H51" s="13">
        <v>0.7</v>
      </c>
      <c r="I51" s="9">
        <f t="shared" si="9"/>
        <v>1.81905777672545</v>
      </c>
      <c r="J51" s="8">
        <v>0.8</v>
      </c>
      <c r="K51" s="9">
        <f t="shared" si="10"/>
        <v>1.94752112872376</v>
      </c>
      <c r="L51" s="1"/>
      <c r="M51" s="8">
        <v>0.2</v>
      </c>
      <c r="N51" s="9">
        <f t="shared" si="11"/>
        <v>1.77531004595148</v>
      </c>
      <c r="O51" s="8">
        <v>0.1</v>
      </c>
      <c r="P51" s="9">
        <f t="shared" si="12"/>
        <v>1.83552855022924</v>
      </c>
    </row>
    <row r="52" spans="1:16">
      <c r="A52" s="5">
        <v>42583</v>
      </c>
      <c r="B52" s="6">
        <v>71</v>
      </c>
      <c r="C52" s="7">
        <v>6434</v>
      </c>
      <c r="D52" s="8">
        <f t="shared" si="7"/>
        <v>0.29</v>
      </c>
      <c r="E52" s="9">
        <f t="shared" si="8"/>
        <v>2.02607182166163</v>
      </c>
      <c r="F52" s="9">
        <f t="shared" si="13"/>
        <v>2.28480113636364</v>
      </c>
      <c r="G52" s="10"/>
      <c r="H52" s="13">
        <v>0.7</v>
      </c>
      <c r="I52" s="9">
        <f t="shared" si="9"/>
        <v>1.86668998938914</v>
      </c>
      <c r="J52" s="8">
        <v>0.8</v>
      </c>
      <c r="K52" s="9">
        <f t="shared" si="10"/>
        <v>2.00580231567815</v>
      </c>
      <c r="L52" s="1"/>
      <c r="M52" s="8">
        <v>0.2</v>
      </c>
      <c r="N52" s="9">
        <f t="shared" si="11"/>
        <v>1.78859195277704</v>
      </c>
      <c r="O52" s="8">
        <v>0.1</v>
      </c>
      <c r="P52" s="9">
        <f t="shared" si="12"/>
        <v>1.8423947647351</v>
      </c>
    </row>
    <row r="53" spans="1:16">
      <c r="A53" s="5">
        <v>42614</v>
      </c>
      <c r="B53" s="6">
        <v>71</v>
      </c>
      <c r="C53" s="7">
        <v>6328</v>
      </c>
      <c r="D53" s="8">
        <f t="shared" si="7"/>
        <v>0.29</v>
      </c>
      <c r="E53" s="9">
        <f t="shared" si="8"/>
        <v>2.01639177071387</v>
      </c>
      <c r="F53" s="9">
        <f t="shared" si="13"/>
        <v>2.24715909090909</v>
      </c>
      <c r="G53" s="10"/>
      <c r="H53" s="13">
        <v>0.7</v>
      </c>
      <c r="I53" s="9">
        <f t="shared" si="9"/>
        <v>1.84516241755006</v>
      </c>
      <c r="J53" s="8">
        <v>0.8</v>
      </c>
      <c r="K53" s="9">
        <f t="shared" si="10"/>
        <v>1.97936587856756</v>
      </c>
      <c r="L53" s="1"/>
      <c r="M53" s="8">
        <v>0.2</v>
      </c>
      <c r="N53" s="9">
        <f t="shared" si="11"/>
        <v>1.78269855063236</v>
      </c>
      <c r="O53" s="8">
        <v>0.1</v>
      </c>
      <c r="P53" s="9">
        <f t="shared" si="12"/>
        <v>1.83935942365549</v>
      </c>
    </row>
    <row r="54" spans="1:16">
      <c r="A54" s="5">
        <v>42644</v>
      </c>
      <c r="B54" s="6">
        <v>75</v>
      </c>
      <c r="C54" s="7">
        <v>6452</v>
      </c>
      <c r="D54" s="8">
        <f t="shared" si="7"/>
        <v>0.25</v>
      </c>
      <c r="E54" s="9">
        <f t="shared" si="8"/>
        <v>2.02785028020737</v>
      </c>
      <c r="F54" s="9">
        <f t="shared" si="13"/>
        <v>2.29119318181818</v>
      </c>
      <c r="G54" s="10"/>
      <c r="H54" s="13">
        <v>0.7</v>
      </c>
      <c r="I54" s="9">
        <f t="shared" si="9"/>
        <v>1.8704721675253</v>
      </c>
      <c r="J54" s="8">
        <v>0.8</v>
      </c>
      <c r="K54" s="9">
        <f t="shared" si="10"/>
        <v>2.01039512874991</v>
      </c>
      <c r="L54" s="1"/>
      <c r="M54" s="8">
        <v>0.2</v>
      </c>
      <c r="N54" s="9">
        <f t="shared" si="11"/>
        <v>1.78968510626695</v>
      </c>
      <c r="O54" s="8">
        <v>0.1</v>
      </c>
      <c r="P54" s="9">
        <f t="shared" si="12"/>
        <v>1.84296373099641</v>
      </c>
    </row>
    <row r="55" spans="1:16">
      <c r="A55" s="5">
        <v>42675</v>
      </c>
      <c r="B55" s="6">
        <v>71</v>
      </c>
      <c r="C55" s="7">
        <v>6585</v>
      </c>
      <c r="D55" s="8">
        <f t="shared" si="7"/>
        <v>0.29</v>
      </c>
      <c r="E55" s="9">
        <f t="shared" si="8"/>
        <v>2.03830068656461</v>
      </c>
      <c r="F55" s="9">
        <f t="shared" si="13"/>
        <v>2.33842329545455</v>
      </c>
      <c r="G55" s="10"/>
      <c r="H55" s="13">
        <v>0.7</v>
      </c>
      <c r="I55" s="9">
        <f t="shared" si="9"/>
        <v>1.89746239672502</v>
      </c>
      <c r="J55" s="8">
        <v>0.8</v>
      </c>
      <c r="K55" s="9">
        <f t="shared" si="10"/>
        <v>2.04354857600642</v>
      </c>
      <c r="L55" s="1"/>
      <c r="M55" s="8">
        <v>0.2</v>
      </c>
      <c r="N55" s="9">
        <f t="shared" si="11"/>
        <v>1.79706353525435</v>
      </c>
      <c r="O55" s="8">
        <v>0.1</v>
      </c>
      <c r="P55" s="9">
        <f t="shared" si="12"/>
        <v>1.84676277278535</v>
      </c>
    </row>
    <row r="56" spans="1:16">
      <c r="A56" s="5">
        <v>42705</v>
      </c>
      <c r="B56" s="6">
        <v>65</v>
      </c>
      <c r="C56" s="7">
        <v>6263</v>
      </c>
      <c r="D56" s="8">
        <f t="shared" si="7"/>
        <v>0.35</v>
      </c>
      <c r="E56" s="14">
        <f t="shared" si="8"/>
        <v>2.00939612800555</v>
      </c>
      <c r="F56" s="9">
        <f t="shared" si="13"/>
        <v>2.22407670454545</v>
      </c>
      <c r="G56" s="10"/>
      <c r="H56" s="13">
        <v>0.7</v>
      </c>
      <c r="I56" s="9">
        <f t="shared" si="9"/>
        <v>1.83251356996393</v>
      </c>
      <c r="J56" s="8">
        <v>0.8</v>
      </c>
      <c r="K56" s="14">
        <f t="shared" si="10"/>
        <v>1.96360656944921</v>
      </c>
      <c r="L56" s="1"/>
      <c r="M56" s="8">
        <v>0.2</v>
      </c>
      <c r="N56" s="14">
        <f t="shared" si="11"/>
        <v>1.77948860865293</v>
      </c>
      <c r="O56" s="8">
        <v>0.1</v>
      </c>
      <c r="P56" s="19">
        <f t="shared" si="12"/>
        <v>1.83773228511888</v>
      </c>
    </row>
    <row r="57" spans="1:16">
      <c r="A57" s="5">
        <v>42736</v>
      </c>
      <c r="B57" s="7">
        <v>58</v>
      </c>
      <c r="C57" s="7">
        <v>6223</v>
      </c>
      <c r="D57" s="8">
        <f t="shared" si="7"/>
        <v>0.42</v>
      </c>
      <c r="E57" s="9">
        <f t="shared" si="8"/>
        <v>2.00490442342435</v>
      </c>
      <c r="F57" s="9">
        <f t="shared" si="13"/>
        <v>2.20987215909091</v>
      </c>
      <c r="G57" s="10"/>
      <c r="H57" s="13">
        <v>0.7</v>
      </c>
      <c r="I57" s="9">
        <f t="shared" si="9"/>
        <v>1.82432094982039</v>
      </c>
      <c r="J57" s="8">
        <v>0.8</v>
      </c>
      <c r="K57" s="9">
        <f t="shared" si="10"/>
        <v>1.95357377203225</v>
      </c>
      <c r="L57" s="1"/>
      <c r="M57" s="8">
        <v>0.2</v>
      </c>
      <c r="N57" s="9">
        <f t="shared" si="11"/>
        <v>1.77721559111034</v>
      </c>
      <c r="O57" s="8">
        <v>0.1</v>
      </c>
      <c r="P57" s="9">
        <f t="shared" si="12"/>
        <v>1.8365585777677</v>
      </c>
    </row>
    <row r="58" spans="1:16">
      <c r="A58" s="5">
        <v>42767</v>
      </c>
      <c r="B58" s="6">
        <v>60</v>
      </c>
      <c r="C58" s="7">
        <v>6450</v>
      </c>
      <c r="D58" s="8">
        <f t="shared" si="7"/>
        <v>0.4</v>
      </c>
      <c r="E58" s="9">
        <f t="shared" si="8"/>
        <v>2.0356207319137</v>
      </c>
      <c r="F58" s="9">
        <f t="shared" si="13"/>
        <v>2.29048295454545</v>
      </c>
      <c r="G58" s="10"/>
      <c r="H58" s="13">
        <v>0.7</v>
      </c>
      <c r="I58" s="9">
        <f t="shared" si="9"/>
        <v>1.87090372322975</v>
      </c>
      <c r="J58" s="8">
        <v>0.8</v>
      </c>
      <c r="K58" s="9">
        <f t="shared" si="10"/>
        <v>2.01058309181388</v>
      </c>
      <c r="L58" s="1"/>
      <c r="M58" s="8">
        <v>0.2</v>
      </c>
      <c r="N58" s="9">
        <f t="shared" si="11"/>
        <v>1.79018129701367</v>
      </c>
      <c r="O58" s="8">
        <v>0.1</v>
      </c>
      <c r="P58" s="9">
        <f t="shared" si="12"/>
        <v>1.84325789959243</v>
      </c>
    </row>
    <row r="59" spans="1:16">
      <c r="A59" s="5">
        <v>42795</v>
      </c>
      <c r="B59" s="6">
        <v>65</v>
      </c>
      <c r="C59" s="7">
        <v>6401</v>
      </c>
      <c r="D59" s="8">
        <f t="shared" si="7"/>
        <v>0.35</v>
      </c>
      <c r="E59" s="9">
        <f t="shared" si="8"/>
        <v>2.02943496968959</v>
      </c>
      <c r="F59" s="9">
        <f t="shared" si="13"/>
        <v>2.27308238636364</v>
      </c>
      <c r="G59" s="10"/>
      <c r="H59" s="13">
        <v>0.7</v>
      </c>
      <c r="I59" s="9">
        <f t="shared" si="9"/>
        <v>1.86095457629847</v>
      </c>
      <c r="J59" s="8">
        <v>0.8</v>
      </c>
      <c r="K59" s="9">
        <f t="shared" si="10"/>
        <v>1.99836373410859</v>
      </c>
      <c r="L59" s="1"/>
      <c r="M59" s="8">
        <v>0.2</v>
      </c>
      <c r="N59" s="9">
        <f t="shared" si="11"/>
        <v>1.78746133163216</v>
      </c>
      <c r="O59" s="8">
        <v>0.1</v>
      </c>
      <c r="P59" s="9">
        <f t="shared" si="12"/>
        <v>1.84185759514158</v>
      </c>
    </row>
    <row r="60" spans="1:16">
      <c r="A60" s="5">
        <v>42826</v>
      </c>
      <c r="B60" s="7">
        <v>58</v>
      </c>
      <c r="C60" s="7">
        <v>6211</v>
      </c>
      <c r="D60" s="8">
        <f t="shared" si="7"/>
        <v>0.42</v>
      </c>
      <c r="E60" s="9">
        <f t="shared" si="8"/>
        <v>2.00835116630194</v>
      </c>
      <c r="F60" s="9">
        <f t="shared" si="13"/>
        <v>2.20561079545455</v>
      </c>
      <c r="G60" s="10"/>
      <c r="H60" s="13">
        <v>0.7</v>
      </c>
      <c r="I60" s="9">
        <f t="shared" si="9"/>
        <v>1.8222876557161</v>
      </c>
      <c r="J60" s="8">
        <v>0.8</v>
      </c>
      <c r="K60" s="9">
        <f t="shared" si="10"/>
        <v>1.95091001006789</v>
      </c>
      <c r="L60" s="1"/>
      <c r="M60" s="8">
        <v>0.2</v>
      </c>
      <c r="N60" s="9">
        <f t="shared" si="11"/>
        <v>1.77684993800585</v>
      </c>
      <c r="O60" s="8">
        <v>0.1</v>
      </c>
      <c r="P60" s="9">
        <f t="shared" si="12"/>
        <v>1.83639043464983</v>
      </c>
    </row>
    <row r="61" spans="1:16">
      <c r="A61" s="5">
        <v>42856</v>
      </c>
      <c r="B61" s="7">
        <v>46</v>
      </c>
      <c r="C61" s="7">
        <v>5824</v>
      </c>
      <c r="D61" s="8">
        <f t="shared" si="7"/>
        <v>0.54</v>
      </c>
      <c r="E61" s="9">
        <f t="shared" si="8"/>
        <v>1.95579322095164</v>
      </c>
      <c r="F61" s="9">
        <f t="shared" si="13"/>
        <v>2.06818181818182</v>
      </c>
      <c r="G61" s="10"/>
      <c r="H61" s="13">
        <v>0.7</v>
      </c>
      <c r="I61" s="9">
        <f t="shared" si="9"/>
        <v>1.74280645688605</v>
      </c>
      <c r="J61" s="8">
        <v>0.8</v>
      </c>
      <c r="K61" s="9">
        <f t="shared" si="10"/>
        <v>1.85366290990415</v>
      </c>
      <c r="L61" s="1"/>
      <c r="M61" s="8">
        <v>0.2</v>
      </c>
      <c r="N61" s="9">
        <f t="shared" si="11"/>
        <v>1.75470725805067</v>
      </c>
      <c r="O61" s="8">
        <v>0.1</v>
      </c>
      <c r="P61" s="9">
        <f t="shared" si="12"/>
        <v>1.8249481049411</v>
      </c>
    </row>
    <row r="62" spans="1:16">
      <c r="A62" s="5">
        <v>42887</v>
      </c>
      <c r="B62" s="7">
        <v>46</v>
      </c>
      <c r="C62" s="7">
        <v>6138</v>
      </c>
      <c r="D62" s="8">
        <f t="shared" si="7"/>
        <v>0.54</v>
      </c>
      <c r="E62" s="9">
        <f t="shared" si="8"/>
        <v>2.01273420627866</v>
      </c>
      <c r="F62" s="9">
        <f t="shared" si="13"/>
        <v>2.1796875</v>
      </c>
      <c r="G62" s="10"/>
      <c r="H62" s="13">
        <v>0.7</v>
      </c>
      <c r="I62" s="9">
        <f t="shared" si="9"/>
        <v>1.8085806428791</v>
      </c>
      <c r="J62" s="8">
        <v>0.8</v>
      </c>
      <c r="K62" s="9">
        <f t="shared" si="10"/>
        <v>1.93361485409507</v>
      </c>
      <c r="L62" s="1"/>
      <c r="M62" s="8">
        <v>0.2</v>
      </c>
      <c r="N62" s="9">
        <f t="shared" si="11"/>
        <v>1.77362820856673</v>
      </c>
      <c r="O62" s="8">
        <v>0.1</v>
      </c>
      <c r="P62" s="9">
        <f t="shared" si="12"/>
        <v>1.83478728256732</v>
      </c>
    </row>
    <row r="63" spans="1:16">
      <c r="A63" s="5">
        <v>42917</v>
      </c>
      <c r="B63" s="7">
        <v>48</v>
      </c>
      <c r="C63" s="7">
        <v>6298</v>
      </c>
      <c r="D63" s="8">
        <f t="shared" si="7"/>
        <v>0.52</v>
      </c>
      <c r="E63" s="9">
        <f t="shared" si="8"/>
        <v>2.04106594877173</v>
      </c>
      <c r="F63" s="9">
        <f t="shared" si="13"/>
        <v>2.23650568181818</v>
      </c>
      <c r="G63" s="10"/>
      <c r="H63" s="13">
        <v>0.7</v>
      </c>
      <c r="I63" s="9">
        <f t="shared" si="9"/>
        <v>1.84158178852955</v>
      </c>
      <c r="J63" s="8">
        <v>0.8</v>
      </c>
      <c r="K63" s="9">
        <f t="shared" si="10"/>
        <v>1.97393787483866</v>
      </c>
      <c r="L63" s="1"/>
      <c r="M63" s="8">
        <v>0.2</v>
      </c>
      <c r="N63" s="9">
        <f t="shared" si="11"/>
        <v>1.78287488544424</v>
      </c>
      <c r="O63" s="8">
        <v>0.1</v>
      </c>
      <c r="P63" s="9">
        <f t="shared" si="12"/>
        <v>1.83957004511556</v>
      </c>
    </row>
    <row r="64" spans="1:16">
      <c r="A64" s="5">
        <v>42948</v>
      </c>
      <c r="B64" s="7">
        <v>50</v>
      </c>
      <c r="C64" s="7">
        <v>6470</v>
      </c>
      <c r="D64" s="8">
        <f t="shared" si="7"/>
        <v>0.5</v>
      </c>
      <c r="E64" s="9">
        <f t="shared" si="8"/>
        <v>2.07005180752978</v>
      </c>
      <c r="F64" s="9">
        <f t="shared" si="13"/>
        <v>2.29758522727273</v>
      </c>
      <c r="G64" s="10"/>
      <c r="H64" s="13">
        <v>0.7</v>
      </c>
      <c r="I64" s="9">
        <f t="shared" si="9"/>
        <v>1.87678763917086</v>
      </c>
      <c r="J64" s="8">
        <v>0.8</v>
      </c>
      <c r="K64" s="9">
        <f t="shared" si="10"/>
        <v>2.01706487572431</v>
      </c>
      <c r="L64" s="1"/>
      <c r="M64" s="8">
        <v>0.2</v>
      </c>
      <c r="N64" s="9">
        <f t="shared" si="11"/>
        <v>1.79261303978836</v>
      </c>
      <c r="O64" s="8">
        <v>0.1</v>
      </c>
      <c r="P64" s="9">
        <f t="shared" si="12"/>
        <v>1.84459395822702</v>
      </c>
    </row>
    <row r="65" spans="1:16">
      <c r="A65" s="5">
        <v>42979</v>
      </c>
      <c r="B65" s="7">
        <v>58</v>
      </c>
      <c r="C65" s="7">
        <v>6603</v>
      </c>
      <c r="D65" s="8">
        <f t="shared" si="7"/>
        <v>0.42</v>
      </c>
      <c r="E65" s="9">
        <f t="shared" si="8"/>
        <v>2.09132822873545</v>
      </c>
      <c r="F65" s="9">
        <f t="shared" si="13"/>
        <v>2.34481534090909</v>
      </c>
      <c r="G65" s="10"/>
      <c r="H65" s="13">
        <v>0.7</v>
      </c>
      <c r="I65" s="9">
        <f t="shared" si="9"/>
        <v>1.90379365604981</v>
      </c>
      <c r="J65" s="8">
        <v>0.8</v>
      </c>
      <c r="K65" s="9">
        <f t="shared" si="10"/>
        <v>2.05023577259866</v>
      </c>
      <c r="L65" s="1"/>
      <c r="M65" s="8">
        <v>0.2</v>
      </c>
      <c r="N65" s="9">
        <f t="shared" si="11"/>
        <v>1.79998297902459</v>
      </c>
      <c r="O65" s="8">
        <v>0.1</v>
      </c>
      <c r="P65" s="9">
        <f t="shared" si="12"/>
        <v>1.84838578197423</v>
      </c>
    </row>
    <row r="66" spans="1:16">
      <c r="A66" s="5">
        <v>43009</v>
      </c>
      <c r="B66" s="7">
        <v>56</v>
      </c>
      <c r="C66" s="7">
        <v>6560</v>
      </c>
      <c r="D66" s="8">
        <f t="shared" si="7"/>
        <v>0.44</v>
      </c>
      <c r="E66" s="9">
        <f t="shared" si="8"/>
        <v>2.08560819423432</v>
      </c>
      <c r="F66" s="9">
        <f t="shared" si="13"/>
        <v>2.32954545454545</v>
      </c>
      <c r="G66" s="10"/>
      <c r="H66" s="13">
        <v>0.7</v>
      </c>
      <c r="I66" s="9">
        <f t="shared" si="9"/>
        <v>1.8951151479403</v>
      </c>
      <c r="J66" s="8">
        <v>0.8</v>
      </c>
      <c r="K66" s="9">
        <f t="shared" si="10"/>
        <v>2.03955455033948</v>
      </c>
      <c r="L66" s="1"/>
      <c r="M66" s="8">
        <v>0.2</v>
      </c>
      <c r="N66" s="9">
        <f t="shared" si="11"/>
        <v>1.79763861227923</v>
      </c>
      <c r="O66" s="8">
        <v>0.1</v>
      </c>
      <c r="P66" s="9">
        <f t="shared" si="12"/>
        <v>1.8471820777697</v>
      </c>
    </row>
    <row r="67" spans="1:16">
      <c r="A67" s="5">
        <v>43040</v>
      </c>
      <c r="B67" s="7">
        <v>41</v>
      </c>
      <c r="C67" s="7">
        <v>6263</v>
      </c>
      <c r="D67" s="8">
        <f t="shared" si="7"/>
        <v>0.59</v>
      </c>
      <c r="E67" s="9">
        <f t="shared" si="8"/>
        <v>2.0440613529504</v>
      </c>
      <c r="F67" s="9">
        <f t="shared" si="13"/>
        <v>2.22407670454545</v>
      </c>
      <c r="G67" s="10"/>
      <c r="H67" s="13">
        <v>0.7</v>
      </c>
      <c r="I67" s="9">
        <f t="shared" si="9"/>
        <v>1.83505502000481</v>
      </c>
      <c r="J67" s="8">
        <v>0.8</v>
      </c>
      <c r="K67" s="9">
        <f t="shared" si="10"/>
        <v>1.96568287943084</v>
      </c>
      <c r="L67" s="1"/>
      <c r="M67" s="8">
        <v>0.2</v>
      </c>
      <c r="N67" s="9">
        <f t="shared" si="11"/>
        <v>1.78136121386926</v>
      </c>
      <c r="O67" s="8">
        <v>0.1</v>
      </c>
      <c r="P67" s="9">
        <f t="shared" si="12"/>
        <v>1.83881907354565</v>
      </c>
    </row>
    <row r="68" spans="1:16">
      <c r="A68" s="5">
        <v>43070</v>
      </c>
      <c r="B68" s="7">
        <v>33</v>
      </c>
      <c r="C68" s="7">
        <v>6250</v>
      </c>
      <c r="D68" s="8">
        <f t="shared" si="7"/>
        <v>0.67</v>
      </c>
      <c r="E68" s="14">
        <f t="shared" si="8"/>
        <v>2.04155808764988</v>
      </c>
      <c r="F68" s="9">
        <f t="shared" si="13"/>
        <v>2.21946022727273</v>
      </c>
      <c r="G68" s="10"/>
      <c r="H68" s="13">
        <v>0.7</v>
      </c>
      <c r="I68" s="9">
        <f t="shared" si="9"/>
        <v>1.83238872578766</v>
      </c>
      <c r="J68" s="8">
        <v>0.8</v>
      </c>
      <c r="K68" s="14">
        <f t="shared" si="10"/>
        <v>1.96241877246196</v>
      </c>
      <c r="L68" s="1"/>
      <c r="M68" s="8">
        <v>0.2</v>
      </c>
      <c r="N68" s="14">
        <f t="shared" si="11"/>
        <v>1.78062170578111</v>
      </c>
      <c r="O68" s="8">
        <v>0.1</v>
      </c>
      <c r="P68" s="19">
        <f t="shared" si="12"/>
        <v>1.83843739307374</v>
      </c>
    </row>
    <row r="69" spans="1:16">
      <c r="A69" s="5">
        <v>43101</v>
      </c>
      <c r="B69" s="7">
        <v>33</v>
      </c>
      <c r="C69" s="7">
        <v>6189</v>
      </c>
      <c r="D69" s="8">
        <f t="shared" si="7"/>
        <v>0.67</v>
      </c>
      <c r="E69" s="9">
        <f t="shared" si="8"/>
        <v>2.02820793100312</v>
      </c>
      <c r="F69" s="9">
        <f t="shared" si="13"/>
        <v>2.19779829545455</v>
      </c>
      <c r="G69" s="10"/>
      <c r="H69" s="13">
        <v>0.7</v>
      </c>
      <c r="I69" s="9">
        <f t="shared" si="9"/>
        <v>1.81986984601308</v>
      </c>
      <c r="J69" s="8">
        <v>0.8</v>
      </c>
      <c r="K69" s="9">
        <f t="shared" si="10"/>
        <v>1.94709620668658</v>
      </c>
      <c r="L69" s="1"/>
      <c r="M69" s="8">
        <v>0.2</v>
      </c>
      <c r="N69" s="9">
        <f t="shared" si="11"/>
        <v>1.77714593221143</v>
      </c>
      <c r="O69" s="8">
        <v>0.1</v>
      </c>
      <c r="P69" s="9">
        <f t="shared" si="12"/>
        <v>1.8366430781781</v>
      </c>
    </row>
    <row r="70" spans="1:16">
      <c r="A70" s="5">
        <v>43132</v>
      </c>
      <c r="B70" s="7">
        <v>13</v>
      </c>
      <c r="C70" s="7">
        <v>6023</v>
      </c>
      <c r="D70" s="8">
        <f t="shared" si="7"/>
        <v>0.87</v>
      </c>
      <c r="E70" s="9">
        <f t="shared" si="8"/>
        <v>1.99175983178093</v>
      </c>
      <c r="F70" s="9">
        <f t="shared" si="13"/>
        <v>2.13884943181818</v>
      </c>
      <c r="G70" s="10"/>
      <c r="H70" s="13">
        <v>0.7</v>
      </c>
      <c r="I70" s="9">
        <f t="shared" si="9"/>
        <v>1.78570134122931</v>
      </c>
      <c r="J70" s="8">
        <v>0.8</v>
      </c>
      <c r="K70" s="9">
        <f t="shared" si="10"/>
        <v>1.90531653690988</v>
      </c>
      <c r="L70" s="1"/>
      <c r="M70" s="8">
        <v>0.2</v>
      </c>
      <c r="N70" s="9">
        <f t="shared" si="11"/>
        <v>1.7676126885615</v>
      </c>
      <c r="O70" s="8">
        <v>0.1</v>
      </c>
      <c r="P70" s="9">
        <f t="shared" si="12"/>
        <v>1.83171687441372</v>
      </c>
    </row>
    <row r="71" spans="1:16">
      <c r="A71" s="5">
        <v>43160</v>
      </c>
      <c r="B71" s="7">
        <v>25</v>
      </c>
      <c r="C71" s="7">
        <v>6114</v>
      </c>
      <c r="D71" s="8">
        <f t="shared" si="7"/>
        <v>0.75</v>
      </c>
      <c r="E71" s="9">
        <f t="shared" si="8"/>
        <v>2.01794074260312</v>
      </c>
      <c r="F71" s="9">
        <f t="shared" si="13"/>
        <v>2.17116477272727</v>
      </c>
      <c r="G71" s="10"/>
      <c r="H71" s="13">
        <v>0.7</v>
      </c>
      <c r="I71" s="9">
        <f t="shared" si="9"/>
        <v>1.8045871415674</v>
      </c>
      <c r="J71" s="8">
        <v>0.8</v>
      </c>
      <c r="K71" s="9">
        <f t="shared" si="10"/>
        <v>1.92834609757517</v>
      </c>
      <c r="L71" s="1"/>
      <c r="M71" s="8">
        <v>0.2</v>
      </c>
      <c r="N71" s="9">
        <f t="shared" si="11"/>
        <v>1.77295397212979</v>
      </c>
      <c r="O71" s="8">
        <v>0.1</v>
      </c>
      <c r="P71" s="9">
        <f t="shared" si="12"/>
        <v>1.83448436960833</v>
      </c>
    </row>
    <row r="72" spans="1:16">
      <c r="A72" s="5">
        <v>43191</v>
      </c>
      <c r="B72" s="6">
        <v>10</v>
      </c>
      <c r="C72" s="7">
        <v>5860</v>
      </c>
      <c r="D72" s="8">
        <f t="shared" ref="D72:D103" si="14">(100-B72)/100</f>
        <v>0.9</v>
      </c>
      <c r="E72" s="9">
        <f t="shared" si="8"/>
        <v>1.95506574890573</v>
      </c>
      <c r="F72" s="9">
        <f t="shared" si="13"/>
        <v>2.08096590909091</v>
      </c>
      <c r="G72" s="10"/>
      <c r="H72" s="13">
        <v>0.7</v>
      </c>
      <c r="I72" s="9">
        <f t="shared" si="9"/>
        <v>1.75210830712666</v>
      </c>
      <c r="J72" s="8">
        <v>0.8</v>
      </c>
      <c r="K72" s="9">
        <f t="shared" si="10"/>
        <v>1.86425713339014</v>
      </c>
      <c r="L72" s="1"/>
      <c r="M72" s="8">
        <v>0.2</v>
      </c>
      <c r="N72" s="9">
        <f t="shared" si="11"/>
        <v>1.7582228530941</v>
      </c>
      <c r="O72" s="8">
        <v>0.1</v>
      </c>
      <c r="P72" s="9">
        <f t="shared" si="12"/>
        <v>1.8268631882233</v>
      </c>
    </row>
    <row r="73" spans="1:16">
      <c r="A73" s="5">
        <v>43221</v>
      </c>
      <c r="B73" s="6">
        <v>5</v>
      </c>
      <c r="C73" s="7">
        <v>5754</v>
      </c>
      <c r="D73" s="8">
        <f t="shared" si="14"/>
        <v>0.95</v>
      </c>
      <c r="E73" s="9">
        <f t="shared" ref="E73:E104" si="15">E72*D72*C73/C72+E72*(1-D72)</f>
        <v>1.92323754541671</v>
      </c>
      <c r="F73" s="9">
        <f t="shared" si="13"/>
        <v>2.04332386363636</v>
      </c>
      <c r="G73" s="10"/>
      <c r="H73" s="13">
        <v>0.7</v>
      </c>
      <c r="I73" s="9">
        <f t="shared" ref="I73:I104" si="16">I72*H72*C73/C72+I72*(1-H72)</f>
        <v>1.7299229084255</v>
      </c>
      <c r="J73" s="8">
        <v>0.8</v>
      </c>
      <c r="K73" s="9">
        <f t="shared" ref="K73:K104" si="17">K72*J72*C73/C72+K72*(1-J72)</f>
        <v>1.83727948750081</v>
      </c>
      <c r="L73" s="1"/>
      <c r="M73" s="8">
        <v>0.2</v>
      </c>
      <c r="N73" s="9">
        <f t="shared" si="11"/>
        <v>1.75186204686789</v>
      </c>
      <c r="O73" s="8">
        <v>0.1</v>
      </c>
      <c r="P73" s="9">
        <f t="shared" ref="P73:P104" si="18">P72*O72*C73/C72+P72*(1-O72)</f>
        <v>1.82355862341184</v>
      </c>
    </row>
    <row r="74" spans="1:16">
      <c r="A74" s="5">
        <v>43252</v>
      </c>
      <c r="B74" s="6">
        <v>0</v>
      </c>
      <c r="C74" s="7">
        <v>5217</v>
      </c>
      <c r="D74" s="8">
        <f t="shared" si="14"/>
        <v>1</v>
      </c>
      <c r="E74" s="9">
        <f t="shared" si="15"/>
        <v>1.75272318431238</v>
      </c>
      <c r="F74" s="9">
        <f t="shared" ref="F74:F105" si="19">C74/$C$7</f>
        <v>1.85262784090909</v>
      </c>
      <c r="G74" s="10"/>
      <c r="H74" s="13">
        <v>0.7</v>
      </c>
      <c r="I74" s="9">
        <f t="shared" si="16"/>
        <v>1.61690969652471</v>
      </c>
      <c r="J74" s="8">
        <v>0.8</v>
      </c>
      <c r="K74" s="9">
        <f t="shared" si="17"/>
        <v>1.70010617018584</v>
      </c>
      <c r="L74" s="1"/>
      <c r="M74" s="8">
        <v>0.2</v>
      </c>
      <c r="N74" s="9">
        <f t="shared" si="11"/>
        <v>1.71916305767192</v>
      </c>
      <c r="O74" s="8">
        <v>0.1</v>
      </c>
      <c r="P74" s="9">
        <f t="shared" si="18"/>
        <v>1.80654001060732</v>
      </c>
    </row>
    <row r="75" spans="1:16">
      <c r="A75" s="5">
        <v>43282</v>
      </c>
      <c r="B75" s="6">
        <v>0</v>
      </c>
      <c r="C75" s="7">
        <v>5188</v>
      </c>
      <c r="D75" s="8">
        <f t="shared" si="14"/>
        <v>1</v>
      </c>
      <c r="E75" s="9">
        <f t="shared" si="15"/>
        <v>1.74298023389163</v>
      </c>
      <c r="F75" s="9">
        <f t="shared" si="19"/>
        <v>1.84232954545455</v>
      </c>
      <c r="G75" s="10"/>
      <c r="H75" s="13">
        <v>0.7</v>
      </c>
      <c r="I75" s="9">
        <f t="shared" si="16"/>
        <v>1.61061809851063</v>
      </c>
      <c r="J75" s="8">
        <v>0.8</v>
      </c>
      <c r="K75" s="9">
        <f t="shared" si="17"/>
        <v>1.69254579772114</v>
      </c>
      <c r="L75" s="1"/>
      <c r="M75" s="8">
        <v>0.2</v>
      </c>
      <c r="N75" s="9">
        <f t="shared" ref="N72:N79" si="20">N74*M74*C75/C74+N74*(1-M74)</f>
        <v>1.71725177806017</v>
      </c>
      <c r="O75" s="8">
        <v>0.1</v>
      </c>
      <c r="P75" s="9">
        <f t="shared" si="18"/>
        <v>1.80553580013564</v>
      </c>
    </row>
    <row r="76" spans="1:16">
      <c r="A76" s="5">
        <v>43313</v>
      </c>
      <c r="B76" s="6">
        <v>0</v>
      </c>
      <c r="C76" s="7">
        <v>4812</v>
      </c>
      <c r="D76" s="8">
        <f t="shared" si="14"/>
        <v>1</v>
      </c>
      <c r="E76" s="9">
        <f t="shared" si="15"/>
        <v>1.61665784222948</v>
      </c>
      <c r="F76" s="9">
        <f t="shared" si="19"/>
        <v>1.70880681818182</v>
      </c>
      <c r="G76" s="10"/>
      <c r="H76" s="13">
        <v>0.7</v>
      </c>
      <c r="I76" s="9">
        <f t="shared" si="16"/>
        <v>1.52890748102258</v>
      </c>
      <c r="J76" s="8">
        <v>0.8</v>
      </c>
      <c r="K76" s="9">
        <f t="shared" si="17"/>
        <v>1.59441207066746</v>
      </c>
      <c r="L76" s="1"/>
      <c r="M76" s="8">
        <v>0.2</v>
      </c>
      <c r="N76" s="9">
        <f t="shared" si="20"/>
        <v>1.69236023339747</v>
      </c>
      <c r="O76" s="8">
        <v>0.1</v>
      </c>
      <c r="P76" s="9">
        <f t="shared" si="18"/>
        <v>1.7924501898648</v>
      </c>
    </row>
    <row r="77" spans="1:16">
      <c r="A77" s="5">
        <v>43344</v>
      </c>
      <c r="B77" s="6">
        <v>0</v>
      </c>
      <c r="C77" s="7">
        <v>4800</v>
      </c>
      <c r="D77" s="8">
        <f t="shared" si="14"/>
        <v>1</v>
      </c>
      <c r="E77" s="9">
        <f t="shared" si="15"/>
        <v>1.61262627653813</v>
      </c>
      <c r="F77" s="9">
        <f t="shared" si="19"/>
        <v>1.70454545454545</v>
      </c>
      <c r="G77" s="10"/>
      <c r="H77" s="13">
        <v>0.7</v>
      </c>
      <c r="I77" s="9">
        <f t="shared" si="16"/>
        <v>1.5262385652203</v>
      </c>
      <c r="J77" s="8">
        <v>0.8</v>
      </c>
      <c r="K77" s="9">
        <f t="shared" si="17"/>
        <v>1.59123119870603</v>
      </c>
      <c r="L77" s="1"/>
      <c r="M77" s="8">
        <v>0.2</v>
      </c>
      <c r="N77" s="9">
        <f t="shared" si="20"/>
        <v>1.69151616345562</v>
      </c>
      <c r="O77" s="8">
        <v>0.1</v>
      </c>
      <c r="P77" s="9">
        <f t="shared" si="18"/>
        <v>1.79200319480499</v>
      </c>
    </row>
    <row r="78" spans="1:16">
      <c r="A78" s="5">
        <v>43374</v>
      </c>
      <c r="B78" s="6">
        <v>0</v>
      </c>
      <c r="C78" s="7">
        <v>4272</v>
      </c>
      <c r="D78" s="8">
        <f t="shared" si="14"/>
        <v>1</v>
      </c>
      <c r="E78" s="9">
        <f t="shared" si="15"/>
        <v>1.43523738611894</v>
      </c>
      <c r="F78" s="9">
        <f t="shared" si="19"/>
        <v>1.51704545454545</v>
      </c>
      <c r="G78" s="10"/>
      <c r="H78" s="13">
        <v>0.7</v>
      </c>
      <c r="I78" s="9">
        <f t="shared" si="16"/>
        <v>1.40871819569833</v>
      </c>
      <c r="J78" s="8">
        <v>0.8</v>
      </c>
      <c r="K78" s="9">
        <f t="shared" si="17"/>
        <v>1.4512028532199</v>
      </c>
      <c r="L78" s="1"/>
      <c r="M78" s="8">
        <v>0.2</v>
      </c>
      <c r="N78" s="9">
        <f t="shared" si="20"/>
        <v>1.6543028078596</v>
      </c>
      <c r="O78" s="8">
        <v>0.1</v>
      </c>
      <c r="P78" s="9">
        <f t="shared" si="18"/>
        <v>1.77229115966213</v>
      </c>
    </row>
    <row r="79" spans="1:16">
      <c r="A79" s="5">
        <v>43405</v>
      </c>
      <c r="B79" s="6">
        <v>1</v>
      </c>
      <c r="C79" s="7">
        <v>4376</v>
      </c>
      <c r="D79" s="8">
        <f t="shared" si="14"/>
        <v>0.99</v>
      </c>
      <c r="E79" s="9">
        <f t="shared" si="15"/>
        <v>1.4701776221106</v>
      </c>
      <c r="F79" s="9">
        <f t="shared" si="19"/>
        <v>1.55397727272727</v>
      </c>
      <c r="G79" s="10"/>
      <c r="H79" s="13">
        <v>0.7</v>
      </c>
      <c r="I79" s="9">
        <f t="shared" si="16"/>
        <v>1.43272444210443</v>
      </c>
      <c r="J79" s="8">
        <v>0.8</v>
      </c>
      <c r="K79" s="9">
        <f t="shared" si="17"/>
        <v>1.47946597994927</v>
      </c>
      <c r="L79" s="1"/>
      <c r="M79" s="8">
        <v>0.2</v>
      </c>
      <c r="N79" s="9">
        <f t="shared" si="20"/>
        <v>1.66235746572558</v>
      </c>
      <c r="O79" s="8">
        <v>0.1</v>
      </c>
      <c r="P79" s="9">
        <f t="shared" si="18"/>
        <v>1.77660572615569</v>
      </c>
    </row>
    <row r="80" spans="1:16">
      <c r="A80" s="5">
        <v>43435</v>
      </c>
      <c r="B80" s="6">
        <v>1</v>
      </c>
      <c r="C80" s="7">
        <v>4168</v>
      </c>
      <c r="D80" s="8">
        <f t="shared" si="14"/>
        <v>0.99</v>
      </c>
      <c r="E80" s="14">
        <f t="shared" si="15"/>
        <v>1.40099595484711</v>
      </c>
      <c r="F80" s="9">
        <f t="shared" si="19"/>
        <v>1.48011363636364</v>
      </c>
      <c r="G80" s="10"/>
      <c r="H80" s="13">
        <v>0.7</v>
      </c>
      <c r="I80" s="9">
        <f t="shared" si="16"/>
        <v>1.38505426871083</v>
      </c>
      <c r="J80" s="8">
        <v>0.8</v>
      </c>
      <c r="K80" s="14">
        <f t="shared" si="17"/>
        <v>1.42320840703713</v>
      </c>
      <c r="L80" s="1"/>
      <c r="M80" s="8">
        <v>0.2</v>
      </c>
      <c r="N80" s="14">
        <f t="shared" ref="N73:N104" si="21">N79*M79*C80/C79+N79*(1-M79)</f>
        <v>1.64655443314464</v>
      </c>
      <c r="O80" s="8">
        <v>0.1</v>
      </c>
      <c r="P80" s="19">
        <f t="shared" si="18"/>
        <v>1.76816116511729</v>
      </c>
    </row>
    <row r="81" spans="1:16">
      <c r="A81" s="5">
        <v>43466</v>
      </c>
      <c r="B81" s="6">
        <v>0</v>
      </c>
      <c r="C81" s="7">
        <v>4176</v>
      </c>
      <c r="D81" s="8">
        <f t="shared" si="14"/>
        <v>1</v>
      </c>
      <c r="E81" s="9">
        <f t="shared" si="15"/>
        <v>1.40365811606649</v>
      </c>
      <c r="F81" s="9">
        <f t="shared" si="19"/>
        <v>1.48295454545455</v>
      </c>
      <c r="G81" s="10"/>
      <c r="H81" s="13">
        <v>0.7</v>
      </c>
      <c r="I81" s="9">
        <f t="shared" si="16"/>
        <v>1.38691518615439</v>
      </c>
      <c r="J81" s="8">
        <v>0.8</v>
      </c>
      <c r="K81" s="9">
        <f t="shared" si="17"/>
        <v>1.42539375583872</v>
      </c>
      <c r="L81" s="1"/>
      <c r="M81" s="8">
        <v>0.2</v>
      </c>
      <c r="N81" s="9">
        <f t="shared" si="21"/>
        <v>1.64718650778309</v>
      </c>
      <c r="O81" s="8">
        <v>0.1</v>
      </c>
      <c r="P81" s="9">
        <f t="shared" si="18"/>
        <v>1.76850054345992</v>
      </c>
    </row>
    <row r="82" spans="1:16">
      <c r="A82" s="5">
        <v>43497</v>
      </c>
      <c r="B82" s="6">
        <v>6</v>
      </c>
      <c r="C82" s="7">
        <v>5025</v>
      </c>
      <c r="D82" s="8">
        <f t="shared" si="14"/>
        <v>0.94</v>
      </c>
      <c r="E82" s="9">
        <f t="shared" si="15"/>
        <v>1.68902826466334</v>
      </c>
      <c r="F82" s="9">
        <f t="shared" si="19"/>
        <v>1.78444602272727</v>
      </c>
      <c r="G82" s="10"/>
      <c r="H82" s="13">
        <v>0.7</v>
      </c>
      <c r="I82" s="9">
        <f t="shared" si="16"/>
        <v>1.58429154993111</v>
      </c>
      <c r="J82" s="8">
        <v>0.8</v>
      </c>
      <c r="K82" s="9">
        <f t="shared" si="17"/>
        <v>1.65722503911593</v>
      </c>
      <c r="L82" s="1"/>
      <c r="M82" s="17">
        <v>0.8</v>
      </c>
      <c r="N82" s="9">
        <f t="shared" si="21"/>
        <v>1.71416262584381</v>
      </c>
      <c r="O82" s="17">
        <v>0.9</v>
      </c>
      <c r="P82" s="9">
        <f t="shared" si="18"/>
        <v>1.80445497261216</v>
      </c>
    </row>
    <row r="83" spans="1:16">
      <c r="A83" s="5">
        <v>43525</v>
      </c>
      <c r="B83" s="7">
        <v>13</v>
      </c>
      <c r="C83" s="7">
        <v>5547</v>
      </c>
      <c r="D83" s="8">
        <f t="shared" si="14"/>
        <v>0.87</v>
      </c>
      <c r="E83" s="9">
        <f t="shared" si="15"/>
        <v>1.85395809330116</v>
      </c>
      <c r="F83" s="9">
        <f t="shared" si="19"/>
        <v>1.96981534090909</v>
      </c>
      <c r="G83" s="10"/>
      <c r="H83" s="13">
        <v>0.7</v>
      </c>
      <c r="I83" s="9">
        <f t="shared" si="16"/>
        <v>1.69949555636789</v>
      </c>
      <c r="J83" s="8">
        <v>0.8</v>
      </c>
      <c r="K83" s="9">
        <f t="shared" si="17"/>
        <v>1.79494786027709</v>
      </c>
      <c r="L83" s="1"/>
      <c r="M83" s="8">
        <v>0.8</v>
      </c>
      <c r="N83" s="9">
        <f t="shared" si="21"/>
        <v>1.85661721540647</v>
      </c>
      <c r="O83" s="8">
        <v>0.9</v>
      </c>
      <c r="P83" s="9">
        <f t="shared" si="18"/>
        <v>1.97315804646952</v>
      </c>
    </row>
    <row r="84" spans="1:16">
      <c r="A84" s="5">
        <v>43556</v>
      </c>
      <c r="B84" s="7">
        <v>16</v>
      </c>
      <c r="C84" s="7">
        <v>5307</v>
      </c>
      <c r="D84" s="8">
        <f t="shared" si="14"/>
        <v>0.84</v>
      </c>
      <c r="E84" s="9">
        <f t="shared" si="15"/>
        <v>1.78417146090864</v>
      </c>
      <c r="F84" s="9">
        <f t="shared" si="19"/>
        <v>1.88458806818182</v>
      </c>
      <c r="G84" s="10"/>
      <c r="H84" s="13">
        <v>0.7</v>
      </c>
      <c r="I84" s="9">
        <f t="shared" si="16"/>
        <v>1.64802354384404</v>
      </c>
      <c r="J84" s="8">
        <v>0.8</v>
      </c>
      <c r="K84" s="9">
        <f t="shared" si="17"/>
        <v>1.7328187834476</v>
      </c>
      <c r="L84" s="1"/>
      <c r="M84" s="8">
        <v>0.8</v>
      </c>
      <c r="N84" s="9">
        <f t="shared" si="21"/>
        <v>1.79235355841025</v>
      </c>
      <c r="O84" s="8">
        <v>0.9</v>
      </c>
      <c r="P84" s="9">
        <f t="shared" si="18"/>
        <v>1.89632333616892</v>
      </c>
    </row>
    <row r="85" spans="1:16">
      <c r="A85" s="5">
        <v>43586</v>
      </c>
      <c r="B85" s="7">
        <v>10</v>
      </c>
      <c r="C85" s="7">
        <v>4912</v>
      </c>
      <c r="D85" s="8">
        <f t="shared" si="14"/>
        <v>0.9</v>
      </c>
      <c r="E85" s="9">
        <f t="shared" si="15"/>
        <v>1.67262292299089</v>
      </c>
      <c r="F85" s="9">
        <f t="shared" si="19"/>
        <v>1.74431818181818</v>
      </c>
      <c r="G85" s="10"/>
      <c r="H85" s="13">
        <v>0.7</v>
      </c>
      <c r="I85" s="9">
        <f t="shared" si="16"/>
        <v>1.56215987135998</v>
      </c>
      <c r="J85" s="8">
        <v>0.8</v>
      </c>
      <c r="K85" s="9">
        <f t="shared" si="17"/>
        <v>1.62963982441812</v>
      </c>
      <c r="L85" s="1"/>
      <c r="M85" s="8">
        <v>0.8</v>
      </c>
      <c r="N85" s="9">
        <f t="shared" si="21"/>
        <v>1.68562966083014</v>
      </c>
      <c r="O85" s="8">
        <v>0.9</v>
      </c>
      <c r="P85" s="9">
        <f t="shared" si="18"/>
        <v>1.76929432806489</v>
      </c>
    </row>
    <row r="86" spans="1:16">
      <c r="A86" s="5">
        <v>43617</v>
      </c>
      <c r="B86" s="7">
        <v>10</v>
      </c>
      <c r="C86" s="7">
        <v>4950</v>
      </c>
      <c r="D86" s="8">
        <f t="shared" si="14"/>
        <v>0.9</v>
      </c>
      <c r="E86" s="9">
        <f t="shared" si="15"/>
        <v>1.68426862819576</v>
      </c>
      <c r="F86" s="9">
        <f t="shared" si="19"/>
        <v>1.7578125</v>
      </c>
      <c r="G86" s="10"/>
      <c r="H86" s="13">
        <v>0.7</v>
      </c>
      <c r="I86" s="9">
        <f t="shared" si="16"/>
        <v>1.57061945046792</v>
      </c>
      <c r="J86" s="8">
        <v>0.8</v>
      </c>
      <c r="K86" s="9">
        <f t="shared" si="17"/>
        <v>1.63972554320116</v>
      </c>
      <c r="L86" s="1"/>
      <c r="M86" s="8">
        <v>0.8</v>
      </c>
      <c r="N86" s="9">
        <f t="shared" si="21"/>
        <v>1.69606189651606</v>
      </c>
      <c r="O86" s="8">
        <v>0.9</v>
      </c>
      <c r="P86" s="9">
        <f t="shared" si="18"/>
        <v>1.78161311186372</v>
      </c>
    </row>
    <row r="87" spans="1:16">
      <c r="A87" s="5">
        <v>43647</v>
      </c>
      <c r="B87" s="7">
        <v>11</v>
      </c>
      <c r="C87" s="7">
        <v>4903</v>
      </c>
      <c r="D87" s="8">
        <f t="shared" si="14"/>
        <v>0.89</v>
      </c>
      <c r="E87" s="9">
        <f>E86*D86*C87/C86+E86*(1-D86)</f>
        <v>1.66987578719118</v>
      </c>
      <c r="F87" s="9">
        <f t="shared" si="19"/>
        <v>1.74112215909091</v>
      </c>
      <c r="G87" s="10"/>
      <c r="H87" s="13">
        <v>0.7</v>
      </c>
      <c r="I87" s="9">
        <f t="shared" si="16"/>
        <v>1.56018038381733</v>
      </c>
      <c r="J87" s="8">
        <v>0.8</v>
      </c>
      <c r="K87" s="9">
        <f t="shared" si="17"/>
        <v>1.62727025422654</v>
      </c>
      <c r="L87" s="1"/>
      <c r="M87" s="8">
        <v>0.8</v>
      </c>
      <c r="N87" s="9">
        <f t="shared" si="21"/>
        <v>1.68317867887787</v>
      </c>
      <c r="O87" s="8">
        <v>0.9</v>
      </c>
      <c r="P87" s="9">
        <f t="shared" si="18"/>
        <v>1.7663884179987</v>
      </c>
    </row>
    <row r="88" spans="1:16">
      <c r="A88" s="5">
        <v>43678</v>
      </c>
      <c r="B88" s="6">
        <v>8</v>
      </c>
      <c r="C88" s="7">
        <v>4886</v>
      </c>
      <c r="D88" s="8">
        <f t="shared" si="14"/>
        <v>0.92</v>
      </c>
      <c r="E88" s="9">
        <f t="shared" si="15"/>
        <v>1.66472277461516</v>
      </c>
      <c r="F88" s="9">
        <f t="shared" si="19"/>
        <v>1.73508522727273</v>
      </c>
      <c r="G88" s="10"/>
      <c r="H88" s="13">
        <v>0.7</v>
      </c>
      <c r="I88" s="9">
        <f t="shared" si="16"/>
        <v>1.55639369269609</v>
      </c>
      <c r="J88" s="8">
        <v>0.8</v>
      </c>
      <c r="K88" s="9">
        <f t="shared" si="17"/>
        <v>1.62275651254645</v>
      </c>
      <c r="L88" s="1"/>
      <c r="M88" s="8">
        <v>0.8</v>
      </c>
      <c r="N88" s="9">
        <f t="shared" si="21"/>
        <v>1.67850985774128</v>
      </c>
      <c r="O88" s="8">
        <v>0.9</v>
      </c>
      <c r="P88" s="9">
        <f t="shared" si="18"/>
        <v>1.76087633503003</v>
      </c>
    </row>
    <row r="89" spans="1:16">
      <c r="A89" s="5">
        <v>43709</v>
      </c>
      <c r="B89" s="7">
        <v>18</v>
      </c>
      <c r="C89" s="7">
        <v>4940</v>
      </c>
      <c r="D89" s="8">
        <f t="shared" si="14"/>
        <v>0.82</v>
      </c>
      <c r="E89" s="9">
        <f t="shared" si="15"/>
        <v>1.68164938686299</v>
      </c>
      <c r="F89" s="9">
        <f t="shared" si="19"/>
        <v>1.75426136363636</v>
      </c>
      <c r="G89" s="10"/>
      <c r="H89" s="13">
        <v>0.7</v>
      </c>
      <c r="I89" s="9">
        <f t="shared" si="16"/>
        <v>1.56843456080578</v>
      </c>
      <c r="J89" s="8">
        <v>0.8</v>
      </c>
      <c r="K89" s="9">
        <f t="shared" si="17"/>
        <v>1.63710425739746</v>
      </c>
      <c r="L89" s="1"/>
      <c r="M89" s="8">
        <v>0.8</v>
      </c>
      <c r="N89" s="9">
        <f t="shared" si="21"/>
        <v>1.69335055071189</v>
      </c>
      <c r="O89" s="8">
        <v>0.9</v>
      </c>
      <c r="P89" s="9">
        <f t="shared" si="18"/>
        <v>1.77839139640589</v>
      </c>
    </row>
    <row r="90" spans="1:16">
      <c r="A90" s="5">
        <v>43739</v>
      </c>
      <c r="B90" s="7">
        <v>16</v>
      </c>
      <c r="C90" s="7">
        <v>4917</v>
      </c>
      <c r="D90" s="8">
        <f t="shared" si="14"/>
        <v>0.84</v>
      </c>
      <c r="E90" s="9">
        <f t="shared" si="15"/>
        <v>1.67522916268561</v>
      </c>
      <c r="F90" s="9">
        <f t="shared" si="19"/>
        <v>1.74609375</v>
      </c>
      <c r="G90" s="10"/>
      <c r="H90" s="13">
        <v>0.7</v>
      </c>
      <c r="I90" s="9">
        <f t="shared" si="16"/>
        <v>1.5633228611238</v>
      </c>
      <c r="J90" s="8">
        <v>0.8</v>
      </c>
      <c r="K90" s="9">
        <f t="shared" si="17"/>
        <v>1.63100654113509</v>
      </c>
      <c r="L90" s="1"/>
      <c r="M90" s="8">
        <v>0.8</v>
      </c>
      <c r="N90" s="9">
        <f t="shared" si="21"/>
        <v>1.68704333408576</v>
      </c>
      <c r="O90" s="8">
        <v>0.9</v>
      </c>
      <c r="P90" s="9">
        <f t="shared" si="18"/>
        <v>1.77093943245739</v>
      </c>
    </row>
    <row r="91" spans="1:16">
      <c r="A91" s="5">
        <v>43770</v>
      </c>
      <c r="B91" s="7">
        <v>11</v>
      </c>
      <c r="C91" s="7">
        <v>4894</v>
      </c>
      <c r="D91" s="8">
        <f t="shared" si="14"/>
        <v>0.89</v>
      </c>
      <c r="E91" s="9">
        <f t="shared" si="15"/>
        <v>1.66864681014888</v>
      </c>
      <c r="F91" s="9">
        <f t="shared" si="19"/>
        <v>1.73792613636364</v>
      </c>
      <c r="G91" s="10"/>
      <c r="H91" s="13">
        <v>0.7</v>
      </c>
      <c r="I91" s="9">
        <f t="shared" si="16"/>
        <v>1.55820398822079</v>
      </c>
      <c r="J91" s="8">
        <v>0.8</v>
      </c>
      <c r="K91" s="9">
        <f t="shared" si="17"/>
        <v>1.62490312027747</v>
      </c>
      <c r="L91" s="1"/>
      <c r="M91" s="8">
        <v>0.8</v>
      </c>
      <c r="N91" s="9">
        <f t="shared" si="21"/>
        <v>1.68073021687055</v>
      </c>
      <c r="O91" s="8">
        <v>0.9</v>
      </c>
      <c r="P91" s="9">
        <f t="shared" si="18"/>
        <v>1.76348398274174</v>
      </c>
    </row>
    <row r="92" spans="1:16">
      <c r="A92" s="5">
        <v>43800</v>
      </c>
      <c r="B92" s="7">
        <v>16</v>
      </c>
      <c r="C92" s="7">
        <v>5241</v>
      </c>
      <c r="D92" s="8">
        <f t="shared" si="14"/>
        <v>0.84</v>
      </c>
      <c r="E92" s="14">
        <f t="shared" si="15"/>
        <v>1.77394476568184</v>
      </c>
      <c r="F92" s="9">
        <f t="shared" si="19"/>
        <v>1.86115056818182</v>
      </c>
      <c r="G92" s="10"/>
      <c r="H92" s="13">
        <v>0.7</v>
      </c>
      <c r="I92" s="9">
        <f t="shared" si="16"/>
        <v>1.63554108440772</v>
      </c>
      <c r="J92" s="8">
        <v>0.8</v>
      </c>
      <c r="K92" s="14">
        <f t="shared" si="17"/>
        <v>1.71707171573907</v>
      </c>
      <c r="L92" s="1"/>
      <c r="M92" s="8">
        <v>0.8</v>
      </c>
      <c r="N92" s="14">
        <f t="shared" si="21"/>
        <v>1.77606546578826</v>
      </c>
      <c r="O92" s="8">
        <v>0.9</v>
      </c>
      <c r="P92" s="19">
        <f t="shared" si="18"/>
        <v>1.87601688993631</v>
      </c>
    </row>
    <row r="93" spans="1:16">
      <c r="A93" s="5">
        <v>43831</v>
      </c>
      <c r="B93" s="7">
        <v>25</v>
      </c>
      <c r="C93" s="7">
        <v>5377</v>
      </c>
      <c r="D93" s="8">
        <f t="shared" si="14"/>
        <v>0.75</v>
      </c>
      <c r="E93" s="9">
        <f t="shared" si="15"/>
        <v>1.81261209062584</v>
      </c>
      <c r="F93" s="9">
        <f t="shared" si="19"/>
        <v>1.90944602272727</v>
      </c>
      <c r="G93" s="10"/>
      <c r="H93" s="13">
        <v>0.7</v>
      </c>
      <c r="I93" s="9">
        <f t="shared" si="16"/>
        <v>1.66524982534182</v>
      </c>
      <c r="J93" s="8">
        <v>0.8</v>
      </c>
      <c r="K93" s="9">
        <f t="shared" si="17"/>
        <v>1.75271708926939</v>
      </c>
      <c r="L93" s="1"/>
      <c r="M93" s="8">
        <v>0.8</v>
      </c>
      <c r="N93" s="9">
        <f t="shared" si="21"/>
        <v>1.812935514</v>
      </c>
      <c r="O93" s="8">
        <v>0.9</v>
      </c>
      <c r="P93" s="9">
        <f t="shared" si="18"/>
        <v>1.91982999188789</v>
      </c>
    </row>
    <row r="94" spans="1:16">
      <c r="A94" s="5">
        <v>43862</v>
      </c>
      <c r="B94" s="7">
        <v>25</v>
      </c>
      <c r="C94" s="7">
        <v>5451</v>
      </c>
      <c r="D94" s="8">
        <f t="shared" si="14"/>
        <v>0.75</v>
      </c>
      <c r="E94" s="9">
        <f t="shared" si="15"/>
        <v>1.83132140270129</v>
      </c>
      <c r="F94" s="9">
        <f t="shared" si="19"/>
        <v>1.93572443181818</v>
      </c>
      <c r="G94" s="10"/>
      <c r="H94" s="13">
        <v>0.7</v>
      </c>
      <c r="I94" s="9">
        <f t="shared" si="16"/>
        <v>1.68129221718722</v>
      </c>
      <c r="J94" s="8">
        <v>0.8</v>
      </c>
      <c r="K94" s="9">
        <f t="shared" si="17"/>
        <v>1.77201425342872</v>
      </c>
      <c r="L94" s="1"/>
      <c r="M94" s="8">
        <v>0.8</v>
      </c>
      <c r="N94" s="9">
        <f t="shared" si="21"/>
        <v>1.83289567439219</v>
      </c>
      <c r="O94" s="8">
        <v>0.9</v>
      </c>
      <c r="P94" s="9">
        <f t="shared" si="18"/>
        <v>1.94360917683483</v>
      </c>
    </row>
    <row r="95" spans="1:16">
      <c r="A95" s="5">
        <v>43891</v>
      </c>
      <c r="B95" s="7">
        <v>21</v>
      </c>
      <c r="C95" s="7">
        <v>5041</v>
      </c>
      <c r="D95" s="8">
        <f t="shared" si="14"/>
        <v>0.79</v>
      </c>
      <c r="E95" s="9">
        <f t="shared" si="15"/>
        <v>1.72801350849277</v>
      </c>
      <c r="F95" s="9">
        <f t="shared" si="19"/>
        <v>1.79012784090909</v>
      </c>
      <c r="G95" s="10"/>
      <c r="H95" s="13">
        <v>0.7</v>
      </c>
      <c r="I95" s="9">
        <f t="shared" si="16"/>
        <v>1.59277068603096</v>
      </c>
      <c r="J95" s="8">
        <v>0.8</v>
      </c>
      <c r="K95" s="9">
        <f t="shared" si="17"/>
        <v>1.66538782247576</v>
      </c>
      <c r="L95" s="1"/>
      <c r="M95" s="8">
        <v>0.8</v>
      </c>
      <c r="N95" s="9">
        <f t="shared" si="21"/>
        <v>1.72260585945904</v>
      </c>
      <c r="O95" s="8">
        <v>0.9</v>
      </c>
      <c r="P95" s="9">
        <f t="shared" si="18"/>
        <v>1.81203849507882</v>
      </c>
    </row>
    <row r="96" spans="1:16">
      <c r="A96" s="5">
        <v>43922</v>
      </c>
      <c r="B96" s="7">
        <v>18</v>
      </c>
      <c r="C96" s="7">
        <v>5353</v>
      </c>
      <c r="D96" s="8">
        <f t="shared" si="14"/>
        <v>0.82</v>
      </c>
      <c r="E96" s="9">
        <f t="shared" si="15"/>
        <v>1.81250483354203</v>
      </c>
      <c r="F96" s="9">
        <f t="shared" si="19"/>
        <v>1.90092329545455</v>
      </c>
      <c r="G96" s="10"/>
      <c r="H96" s="13">
        <v>0.7</v>
      </c>
      <c r="I96" s="9">
        <f t="shared" si="16"/>
        <v>1.66177705735196</v>
      </c>
      <c r="J96" s="8">
        <v>0.8</v>
      </c>
      <c r="K96" s="9">
        <f t="shared" si="17"/>
        <v>1.74784781067055</v>
      </c>
      <c r="L96" s="1"/>
      <c r="M96" s="8">
        <v>0.8</v>
      </c>
      <c r="N96" s="9">
        <f t="shared" si="21"/>
        <v>1.80789894069708</v>
      </c>
      <c r="O96" s="8">
        <v>0.9</v>
      </c>
      <c r="P96" s="9">
        <f t="shared" si="18"/>
        <v>1.91297489845476</v>
      </c>
    </row>
    <row r="97" spans="1:16">
      <c r="A97" s="5">
        <v>43952</v>
      </c>
      <c r="B97" s="7">
        <v>28</v>
      </c>
      <c r="C97" s="7">
        <v>5406</v>
      </c>
      <c r="D97" s="8">
        <f t="shared" si="14"/>
        <v>0.72</v>
      </c>
      <c r="E97" s="9">
        <f t="shared" si="15"/>
        <v>1.8272202193193</v>
      </c>
      <c r="F97" s="9">
        <f t="shared" si="19"/>
        <v>1.91974431818182</v>
      </c>
      <c r="G97" s="10"/>
      <c r="H97" s="13">
        <v>0.7</v>
      </c>
      <c r="I97" s="9">
        <f t="shared" si="16"/>
        <v>1.67329432408609</v>
      </c>
      <c r="J97" s="8">
        <v>0.8</v>
      </c>
      <c r="K97" s="9">
        <f t="shared" si="17"/>
        <v>1.76169214976497</v>
      </c>
      <c r="L97" s="1"/>
      <c r="M97" s="8">
        <v>0.8</v>
      </c>
      <c r="N97" s="9">
        <f t="shared" si="21"/>
        <v>1.82221893230656</v>
      </c>
      <c r="O97" s="8">
        <v>0.9</v>
      </c>
      <c r="P97" s="9">
        <f t="shared" si="18"/>
        <v>1.93002120943109</v>
      </c>
    </row>
    <row r="98" spans="1:16">
      <c r="A98" s="5">
        <v>43983</v>
      </c>
      <c r="B98" s="7">
        <v>33</v>
      </c>
      <c r="C98" s="7">
        <v>5864</v>
      </c>
      <c r="D98" s="8">
        <f t="shared" si="14"/>
        <v>0.67</v>
      </c>
      <c r="E98" s="9">
        <f t="shared" si="15"/>
        <v>1.93867862470641</v>
      </c>
      <c r="F98" s="9">
        <f t="shared" si="19"/>
        <v>2.08238636363636</v>
      </c>
      <c r="G98" s="10"/>
      <c r="H98" s="13">
        <v>0.7</v>
      </c>
      <c r="I98" s="9">
        <f t="shared" si="16"/>
        <v>1.77252816801912</v>
      </c>
      <c r="J98" s="8">
        <v>0.8</v>
      </c>
      <c r="K98" s="9">
        <f t="shared" si="17"/>
        <v>1.88109355628992</v>
      </c>
      <c r="L98" s="1"/>
      <c r="M98" s="8">
        <v>0.8</v>
      </c>
      <c r="N98" s="9">
        <f t="shared" si="21"/>
        <v>1.94572263500673</v>
      </c>
      <c r="O98" s="8">
        <v>0.9</v>
      </c>
      <c r="P98" s="9">
        <f t="shared" si="18"/>
        <v>2.07718264904032</v>
      </c>
    </row>
    <row r="99" spans="1:16">
      <c r="A99" s="5">
        <v>44013</v>
      </c>
      <c r="B99" s="7">
        <v>41</v>
      </c>
      <c r="C99" s="7">
        <v>6579</v>
      </c>
      <c r="D99" s="8">
        <f t="shared" si="14"/>
        <v>0.59</v>
      </c>
      <c r="E99" s="9">
        <f t="shared" si="15"/>
        <v>2.09705584079878</v>
      </c>
      <c r="F99" s="9">
        <f t="shared" si="19"/>
        <v>2.33629261363636</v>
      </c>
      <c r="G99" s="10"/>
      <c r="H99" s="13">
        <v>0.7</v>
      </c>
      <c r="I99" s="9">
        <f t="shared" si="16"/>
        <v>1.92381574443344</v>
      </c>
      <c r="J99" s="8">
        <v>0.8</v>
      </c>
      <c r="K99" s="9">
        <f t="shared" si="17"/>
        <v>2.06458358258559</v>
      </c>
      <c r="L99" s="1"/>
      <c r="M99" s="8">
        <v>0.8</v>
      </c>
      <c r="N99" s="9">
        <f t="shared" si="21"/>
        <v>2.13551686202308</v>
      </c>
      <c r="O99" s="8">
        <v>0.9</v>
      </c>
      <c r="P99" s="9">
        <f t="shared" si="18"/>
        <v>2.30512723203101</v>
      </c>
    </row>
    <row r="100" spans="1:16">
      <c r="A100" s="5">
        <v>44044</v>
      </c>
      <c r="B100" s="7">
        <v>45</v>
      </c>
      <c r="C100" s="7">
        <v>6668</v>
      </c>
      <c r="D100" s="8">
        <f t="shared" si="14"/>
        <v>0.55</v>
      </c>
      <c r="E100" s="9">
        <f t="shared" si="15"/>
        <v>2.11379340003275</v>
      </c>
      <c r="F100" s="9">
        <f t="shared" si="19"/>
        <v>2.36789772727273</v>
      </c>
      <c r="G100" s="10"/>
      <c r="H100" s="13">
        <v>0.7</v>
      </c>
      <c r="I100" s="9">
        <f t="shared" si="16"/>
        <v>1.94203336426597</v>
      </c>
      <c r="J100" s="8">
        <v>0.8</v>
      </c>
      <c r="K100" s="9">
        <f t="shared" si="17"/>
        <v>2.0869271532012</v>
      </c>
      <c r="L100" s="1"/>
      <c r="M100" s="8">
        <v>0.8</v>
      </c>
      <c r="N100" s="9">
        <f t="shared" si="21"/>
        <v>2.15862809482077</v>
      </c>
      <c r="O100" s="8">
        <v>0.9</v>
      </c>
      <c r="P100" s="9">
        <f t="shared" si="18"/>
        <v>2.33319239258515</v>
      </c>
    </row>
    <row r="101" spans="1:16">
      <c r="A101" s="5">
        <v>44075</v>
      </c>
      <c r="B101" s="7">
        <v>43</v>
      </c>
      <c r="C101" s="7">
        <v>6192</v>
      </c>
      <c r="D101" s="8">
        <f t="shared" si="14"/>
        <v>0.57</v>
      </c>
      <c r="E101" s="9">
        <f t="shared" si="15"/>
        <v>2.03080133162715</v>
      </c>
      <c r="F101" s="9">
        <f t="shared" si="19"/>
        <v>2.19886363636364</v>
      </c>
      <c r="G101" s="10"/>
      <c r="H101" s="13">
        <v>0.7</v>
      </c>
      <c r="I101" s="9">
        <f t="shared" si="16"/>
        <v>1.84498994540373</v>
      </c>
      <c r="J101" s="8">
        <v>0.8</v>
      </c>
      <c r="K101" s="9">
        <f t="shared" si="17"/>
        <v>1.96774571049889</v>
      </c>
      <c r="L101" s="1"/>
      <c r="M101" s="8">
        <v>0.8</v>
      </c>
      <c r="N101" s="9">
        <f t="shared" si="21"/>
        <v>2.03535191328092</v>
      </c>
      <c r="O101" s="8">
        <v>0.9</v>
      </c>
      <c r="P101" s="9">
        <f t="shared" si="18"/>
        <v>2.18329142963022</v>
      </c>
    </row>
    <row r="102" spans="1:16">
      <c r="A102" s="5">
        <v>44105</v>
      </c>
      <c r="B102" s="7">
        <v>41</v>
      </c>
      <c r="C102" s="7">
        <v>6111</v>
      </c>
      <c r="D102" s="8">
        <f t="shared" si="14"/>
        <v>0.59</v>
      </c>
      <c r="E102" s="9">
        <f t="shared" si="15"/>
        <v>2.01565887402359</v>
      </c>
      <c r="F102" s="9">
        <f t="shared" si="19"/>
        <v>2.17009943181818</v>
      </c>
      <c r="G102" s="10"/>
      <c r="H102" s="13">
        <v>0.7</v>
      </c>
      <c r="I102" s="9">
        <f t="shared" si="16"/>
        <v>1.82809541538041</v>
      </c>
      <c r="J102" s="8">
        <v>0.8</v>
      </c>
      <c r="K102" s="9">
        <f t="shared" si="17"/>
        <v>1.94715302283088</v>
      </c>
      <c r="L102" s="1"/>
      <c r="M102" s="8">
        <v>0.8</v>
      </c>
      <c r="N102" s="9">
        <f t="shared" si="21"/>
        <v>2.01405171883961</v>
      </c>
      <c r="O102" s="8">
        <v>0.9</v>
      </c>
      <c r="P102" s="9">
        <f t="shared" si="18"/>
        <v>2.15758698111277</v>
      </c>
    </row>
    <row r="103" spans="1:16">
      <c r="A103" s="5">
        <v>44136</v>
      </c>
      <c r="B103" s="7">
        <v>40</v>
      </c>
      <c r="C103" s="7">
        <v>6320</v>
      </c>
      <c r="D103" s="8">
        <f t="shared" si="14"/>
        <v>0.6</v>
      </c>
      <c r="E103" s="9">
        <f t="shared" si="15"/>
        <v>2.05633157828735</v>
      </c>
      <c r="F103" s="9">
        <f t="shared" si="19"/>
        <v>2.24431818181818</v>
      </c>
      <c r="G103" s="10"/>
      <c r="H103" s="13">
        <v>0.7</v>
      </c>
      <c r="I103" s="9">
        <f t="shared" si="16"/>
        <v>1.87186081535916</v>
      </c>
      <c r="J103" s="8">
        <v>0.8</v>
      </c>
      <c r="K103" s="9">
        <f t="shared" si="17"/>
        <v>2.00042809817326</v>
      </c>
      <c r="L103" s="1"/>
      <c r="M103" s="8">
        <v>0.8</v>
      </c>
      <c r="N103" s="9">
        <f t="shared" si="21"/>
        <v>2.06915717578446</v>
      </c>
      <c r="O103" s="8">
        <v>0.9</v>
      </c>
      <c r="P103" s="9">
        <f t="shared" si="18"/>
        <v>2.22399871587751</v>
      </c>
    </row>
    <row r="104" spans="1:16">
      <c r="A104" s="5">
        <v>44166</v>
      </c>
      <c r="B104" s="7">
        <v>38</v>
      </c>
      <c r="C104" s="7">
        <v>6269</v>
      </c>
      <c r="D104" s="8">
        <f t="shared" ref="D104:D130" si="22">(100-B104)/100</f>
        <v>0.62</v>
      </c>
      <c r="E104" s="14">
        <f t="shared" si="15"/>
        <v>2.04637528931653</v>
      </c>
      <c r="F104" s="9">
        <f t="shared" si="19"/>
        <v>2.22620738636364</v>
      </c>
      <c r="G104" s="10"/>
      <c r="H104" s="13">
        <v>0.7</v>
      </c>
      <c r="I104" s="9">
        <f t="shared" si="16"/>
        <v>1.86128717119646</v>
      </c>
      <c r="J104" s="8">
        <v>0.8</v>
      </c>
      <c r="K104" s="14">
        <f t="shared" si="17"/>
        <v>1.98751394209645</v>
      </c>
      <c r="L104" s="1"/>
      <c r="M104" s="8">
        <v>0.8</v>
      </c>
      <c r="N104" s="14">
        <f t="shared" si="21"/>
        <v>2.05579932566231</v>
      </c>
      <c r="O104" s="8">
        <v>0.9</v>
      </c>
      <c r="P104" s="19">
        <f t="shared" si="18"/>
        <v>2.20784657330492</v>
      </c>
    </row>
    <row r="105" spans="1:16">
      <c r="A105" s="5">
        <v>44197</v>
      </c>
      <c r="B105" s="7">
        <v>43</v>
      </c>
      <c r="C105" s="7">
        <v>6346</v>
      </c>
      <c r="D105" s="8">
        <f t="shared" si="22"/>
        <v>0.57</v>
      </c>
      <c r="E105" s="9">
        <f t="shared" ref="E105:E130" si="23">E104*D104*C105/C104+E104*(1-D104)</f>
        <v>2.06195894800404</v>
      </c>
      <c r="F105" s="9">
        <f t="shared" si="19"/>
        <v>2.25355113636364</v>
      </c>
      <c r="G105" s="10"/>
      <c r="H105" s="13">
        <v>0.7</v>
      </c>
      <c r="I105" s="9">
        <f t="shared" ref="I105:I130" si="24">I104*H104*C105/C104+I104*(1-H104)</f>
        <v>1.87729026236371</v>
      </c>
      <c r="J105" s="8">
        <v>0.8</v>
      </c>
      <c r="K105" s="9">
        <f t="shared" ref="K105:K130" si="25">K104*J104*C105/C104+K104*(1-J104)</f>
        <v>2.00704350962447</v>
      </c>
      <c r="L105" s="1"/>
      <c r="M105" s="8">
        <v>0.8</v>
      </c>
      <c r="N105" s="9">
        <f t="shared" ref="N105:N130" si="26">N104*M104*C105/C104+N104*(1-M104)</f>
        <v>2.07599987414864</v>
      </c>
      <c r="O105" s="8">
        <v>0.9</v>
      </c>
      <c r="P105" s="9">
        <f t="shared" ref="P105:P130" si="27">P104*O104*C105/C104+P104*(1-O104)</f>
        <v>2.23225298063145</v>
      </c>
    </row>
    <row r="106" spans="1:16">
      <c r="A106" s="5">
        <v>44228</v>
      </c>
      <c r="B106" s="7">
        <v>42</v>
      </c>
      <c r="C106" s="7">
        <v>6364</v>
      </c>
      <c r="D106" s="8">
        <f t="shared" si="22"/>
        <v>0.58</v>
      </c>
      <c r="E106" s="9">
        <f t="shared" si="23"/>
        <v>2.06529265408764</v>
      </c>
      <c r="F106" s="9">
        <f t="shared" ref="F106:F130" si="28">C106/$C$7</f>
        <v>2.25994318181818</v>
      </c>
      <c r="G106" s="10"/>
      <c r="H106" s="13">
        <v>0.7</v>
      </c>
      <c r="I106" s="9">
        <f t="shared" si="24"/>
        <v>1.88101762720861</v>
      </c>
      <c r="J106" s="8">
        <v>0.8</v>
      </c>
      <c r="K106" s="9">
        <f t="shared" si="25"/>
        <v>2.01159778421296</v>
      </c>
      <c r="L106" s="1"/>
      <c r="M106" s="8">
        <v>0.8</v>
      </c>
      <c r="N106" s="9">
        <f t="shared" si="26"/>
        <v>2.08071062079026</v>
      </c>
      <c r="O106" s="8">
        <v>0.9</v>
      </c>
      <c r="P106" s="9">
        <f t="shared" si="27"/>
        <v>2.23795145183949</v>
      </c>
    </row>
    <row r="107" spans="1:16">
      <c r="A107" s="5">
        <v>44256</v>
      </c>
      <c r="B107" s="7">
        <v>38</v>
      </c>
      <c r="C107" s="7">
        <v>6254</v>
      </c>
      <c r="D107" s="8">
        <f t="shared" si="22"/>
        <v>0.62</v>
      </c>
      <c r="E107" s="9">
        <f t="shared" si="23"/>
        <v>2.04458780315571</v>
      </c>
      <c r="F107" s="9">
        <f t="shared" si="28"/>
        <v>2.22088068181818</v>
      </c>
      <c r="G107" s="10"/>
      <c r="H107" s="13">
        <v>0.7</v>
      </c>
      <c r="I107" s="9">
        <f t="shared" si="24"/>
        <v>1.8582586144344</v>
      </c>
      <c r="J107" s="8">
        <v>0.8</v>
      </c>
      <c r="K107" s="9">
        <f t="shared" si="25"/>
        <v>1.98378185005037</v>
      </c>
      <c r="L107" s="1"/>
      <c r="M107" s="8">
        <v>0.8</v>
      </c>
      <c r="N107" s="9">
        <f t="shared" si="26"/>
        <v>2.05193900944055</v>
      </c>
      <c r="O107" s="8">
        <v>0.9</v>
      </c>
      <c r="P107" s="9">
        <f t="shared" si="27"/>
        <v>2.20313731077537</v>
      </c>
    </row>
    <row r="108" spans="1:16">
      <c r="A108" s="5">
        <v>44287</v>
      </c>
      <c r="B108" s="7">
        <v>42</v>
      </c>
      <c r="C108" s="7">
        <v>6485</v>
      </c>
      <c r="D108" s="8">
        <f t="shared" si="22"/>
        <v>0.58</v>
      </c>
      <c r="E108" s="9">
        <f t="shared" si="23"/>
        <v>2.09140997539235</v>
      </c>
      <c r="F108" s="9">
        <f t="shared" si="28"/>
        <v>2.30291193181818</v>
      </c>
      <c r="G108" s="10"/>
      <c r="H108" s="13">
        <v>0.7</v>
      </c>
      <c r="I108" s="9">
        <f t="shared" si="24"/>
        <v>1.90630473179194</v>
      </c>
      <c r="J108" s="8">
        <v>0.8</v>
      </c>
      <c r="K108" s="9">
        <f t="shared" si="25"/>
        <v>2.04240079566746</v>
      </c>
      <c r="L108" s="1"/>
      <c r="M108" s="8">
        <v>0.8</v>
      </c>
      <c r="N108" s="9">
        <f t="shared" si="26"/>
        <v>2.11257193699805</v>
      </c>
      <c r="O108" s="8">
        <v>0.9</v>
      </c>
      <c r="P108" s="9">
        <f t="shared" si="27"/>
        <v>2.27637559777732</v>
      </c>
    </row>
    <row r="109" spans="1:16">
      <c r="A109" s="5">
        <v>44317</v>
      </c>
      <c r="B109" s="7">
        <v>50</v>
      </c>
      <c r="C109" s="7">
        <v>6729</v>
      </c>
      <c r="D109" s="8">
        <f t="shared" si="22"/>
        <v>0.5</v>
      </c>
      <c r="E109" s="9">
        <f t="shared" si="23"/>
        <v>2.13705012029868</v>
      </c>
      <c r="F109" s="9">
        <f t="shared" si="28"/>
        <v>2.38955965909091</v>
      </c>
      <c r="G109" s="10"/>
      <c r="H109" s="13">
        <v>0.7</v>
      </c>
      <c r="I109" s="9">
        <f t="shared" si="24"/>
        <v>1.95651241848278</v>
      </c>
      <c r="J109" s="8">
        <v>0.8</v>
      </c>
      <c r="K109" s="9">
        <f t="shared" si="25"/>
        <v>2.1038775320305</v>
      </c>
      <c r="L109" s="1"/>
      <c r="M109" s="8">
        <v>0.8</v>
      </c>
      <c r="N109" s="9">
        <f t="shared" si="26"/>
        <v>2.17616084094593</v>
      </c>
      <c r="O109" s="8">
        <v>0.9</v>
      </c>
      <c r="P109" s="9">
        <f t="shared" si="27"/>
        <v>2.35345995880614</v>
      </c>
    </row>
    <row r="110" spans="1:16">
      <c r="A110" s="5">
        <v>44348</v>
      </c>
      <c r="B110" s="7">
        <v>43</v>
      </c>
      <c r="C110" s="7">
        <v>6808</v>
      </c>
      <c r="D110" s="8">
        <f t="shared" si="22"/>
        <v>0.57</v>
      </c>
      <c r="E110" s="9">
        <f t="shared" si="23"/>
        <v>2.14959484904764</v>
      </c>
      <c r="F110" s="9">
        <f t="shared" si="28"/>
        <v>2.41761363636364</v>
      </c>
      <c r="G110" s="10"/>
      <c r="H110" s="13">
        <v>0.7</v>
      </c>
      <c r="I110" s="9">
        <f t="shared" si="24"/>
        <v>1.97259135097529</v>
      </c>
      <c r="J110" s="8">
        <v>0.8</v>
      </c>
      <c r="K110" s="9">
        <f t="shared" si="25"/>
        <v>2.12363753500633</v>
      </c>
      <c r="L110" s="1"/>
      <c r="M110" s="8">
        <v>0.8</v>
      </c>
      <c r="N110" s="9">
        <f t="shared" si="26"/>
        <v>2.19659974199331</v>
      </c>
      <c r="O110" s="8">
        <v>0.9</v>
      </c>
      <c r="P110" s="9">
        <f t="shared" si="27"/>
        <v>2.37832710148278</v>
      </c>
    </row>
    <row r="111" spans="1:16">
      <c r="A111" s="5">
        <v>44378</v>
      </c>
      <c r="B111" s="7">
        <v>38</v>
      </c>
      <c r="C111" s="7">
        <v>6767</v>
      </c>
      <c r="D111" s="8">
        <f t="shared" si="22"/>
        <v>0.62</v>
      </c>
      <c r="E111" s="9">
        <f t="shared" si="23"/>
        <v>2.14221587848033</v>
      </c>
      <c r="F111" s="9">
        <f t="shared" si="28"/>
        <v>2.40305397727273</v>
      </c>
      <c r="G111" s="10"/>
      <c r="H111" s="13">
        <v>0.7</v>
      </c>
      <c r="I111" s="9">
        <f t="shared" si="24"/>
        <v>1.96427563831768</v>
      </c>
      <c r="J111" s="8">
        <v>0.8</v>
      </c>
      <c r="K111" s="9">
        <f t="shared" si="25"/>
        <v>2.11340614382709</v>
      </c>
      <c r="L111" s="1"/>
      <c r="M111" s="8">
        <v>0.8</v>
      </c>
      <c r="N111" s="9">
        <f t="shared" si="26"/>
        <v>2.18601682901778</v>
      </c>
      <c r="O111" s="8">
        <v>0.9</v>
      </c>
      <c r="P111" s="9">
        <f t="shared" si="27"/>
        <v>2.36543634501323</v>
      </c>
    </row>
    <row r="112" spans="1:16">
      <c r="A112" s="5">
        <v>44409</v>
      </c>
      <c r="B112" s="7">
        <v>47</v>
      </c>
      <c r="C112" s="7">
        <v>7255</v>
      </c>
      <c r="D112" s="8">
        <f t="shared" si="22"/>
        <v>0.53</v>
      </c>
      <c r="E112" s="9">
        <f t="shared" si="23"/>
        <v>2.23799670250767</v>
      </c>
      <c r="F112" s="9">
        <f t="shared" si="28"/>
        <v>2.57634943181818</v>
      </c>
      <c r="G112" s="10"/>
      <c r="H112" s="13">
        <v>0.7</v>
      </c>
      <c r="I112" s="9">
        <f t="shared" si="24"/>
        <v>2.0634328066418</v>
      </c>
      <c r="J112" s="8">
        <v>0.8</v>
      </c>
      <c r="K112" s="9">
        <f t="shared" si="25"/>
        <v>2.23533222016079</v>
      </c>
      <c r="L112" s="1"/>
      <c r="M112" s="8">
        <v>0.8</v>
      </c>
      <c r="N112" s="9">
        <f t="shared" si="26"/>
        <v>2.31213194207357</v>
      </c>
      <c r="O112" s="8">
        <v>0.9</v>
      </c>
      <c r="P112" s="9">
        <f t="shared" si="27"/>
        <v>2.51896074914058</v>
      </c>
    </row>
    <row r="113" spans="1:16">
      <c r="A113" s="5">
        <v>44440</v>
      </c>
      <c r="B113" s="6">
        <v>63</v>
      </c>
      <c r="C113" s="7">
        <v>7104</v>
      </c>
      <c r="D113" s="8">
        <f t="shared" si="22"/>
        <v>0.37</v>
      </c>
      <c r="E113" s="9">
        <f t="shared" si="23"/>
        <v>2.21330933157705</v>
      </c>
      <c r="F113" s="9">
        <f t="shared" si="28"/>
        <v>2.52272727272727</v>
      </c>
      <c r="G113" s="10"/>
      <c r="H113" s="13">
        <v>0.7</v>
      </c>
      <c r="I113" s="9">
        <f t="shared" si="24"/>
        <v>2.03337011227074</v>
      </c>
      <c r="J113" s="8">
        <v>0.8</v>
      </c>
      <c r="K113" s="9">
        <f t="shared" si="25"/>
        <v>2.19811262923103</v>
      </c>
      <c r="L113" s="1"/>
      <c r="M113" s="20">
        <v>0.2</v>
      </c>
      <c r="N113" s="9">
        <f t="shared" si="26"/>
        <v>2.27363359078447</v>
      </c>
      <c r="O113" s="20">
        <v>0.1</v>
      </c>
      <c r="P113" s="9">
        <f t="shared" si="27"/>
        <v>2.47177580554193</v>
      </c>
    </row>
    <row r="114" spans="1:16">
      <c r="A114" s="5">
        <v>44470</v>
      </c>
      <c r="B114" s="7">
        <v>42</v>
      </c>
      <c r="C114" s="7">
        <v>7023</v>
      </c>
      <c r="D114" s="8">
        <f t="shared" si="22"/>
        <v>0.58</v>
      </c>
      <c r="E114" s="9">
        <f t="shared" si="23"/>
        <v>2.20397193283446</v>
      </c>
      <c r="F114" s="9">
        <f t="shared" si="28"/>
        <v>2.49396306818182</v>
      </c>
      <c r="G114" s="10"/>
      <c r="H114" s="13">
        <v>0.7</v>
      </c>
      <c r="I114" s="9">
        <f t="shared" si="24"/>
        <v>2.0171409335875</v>
      </c>
      <c r="J114" s="8">
        <v>0.8</v>
      </c>
      <c r="K114" s="9">
        <f t="shared" si="25"/>
        <v>2.17806227754547</v>
      </c>
      <c r="L114" s="1"/>
      <c r="M114" s="8">
        <v>0.2</v>
      </c>
      <c r="N114" s="9">
        <f t="shared" si="26"/>
        <v>2.26844878445413</v>
      </c>
      <c r="O114" s="8">
        <v>0.1</v>
      </c>
      <c r="P114" s="9">
        <f t="shared" si="27"/>
        <v>2.46895748008798</v>
      </c>
    </row>
    <row r="115" spans="1:16">
      <c r="A115" s="5">
        <v>44501</v>
      </c>
      <c r="B115" s="7">
        <v>35</v>
      </c>
      <c r="C115" s="7">
        <v>7253</v>
      </c>
      <c r="D115" s="8">
        <f t="shared" si="22"/>
        <v>0.65</v>
      </c>
      <c r="E115" s="9">
        <f t="shared" si="23"/>
        <v>2.24583578814417</v>
      </c>
      <c r="F115" s="9">
        <f t="shared" si="28"/>
        <v>2.57563920454545</v>
      </c>
      <c r="G115" s="10"/>
      <c r="H115" s="13">
        <v>0.7</v>
      </c>
      <c r="I115" s="9">
        <f t="shared" si="24"/>
        <v>2.06338323606615</v>
      </c>
      <c r="J115" s="8">
        <v>0.8</v>
      </c>
      <c r="K115" s="9">
        <f t="shared" si="25"/>
        <v>2.23512670287202</v>
      </c>
      <c r="L115" s="1"/>
      <c r="M115" s="13">
        <v>0.2</v>
      </c>
      <c r="N115" s="9">
        <f t="shared" si="26"/>
        <v>2.28330691404047</v>
      </c>
      <c r="O115" s="13">
        <v>0.1</v>
      </c>
      <c r="P115" s="9">
        <f t="shared" si="27"/>
        <v>2.4770432015805</v>
      </c>
    </row>
    <row r="116" spans="1:16">
      <c r="A116" s="11">
        <v>44531</v>
      </c>
      <c r="B116" s="12">
        <v>38</v>
      </c>
      <c r="C116" s="12">
        <v>7311</v>
      </c>
      <c r="D116" s="13">
        <f t="shared" si="22"/>
        <v>0.62</v>
      </c>
      <c r="E116" s="14">
        <f t="shared" si="23"/>
        <v>2.25750930382224</v>
      </c>
      <c r="F116" s="9">
        <f t="shared" si="28"/>
        <v>2.59623579545455</v>
      </c>
      <c r="G116" s="15"/>
      <c r="H116" s="13">
        <v>0.7</v>
      </c>
      <c r="I116" s="9">
        <f t="shared" si="24"/>
        <v>2.07493340280878</v>
      </c>
      <c r="J116" s="8">
        <v>0.8</v>
      </c>
      <c r="K116" s="14">
        <f t="shared" si="25"/>
        <v>2.24942559698663</v>
      </c>
      <c r="L116" s="18"/>
      <c r="M116" s="13">
        <v>0.2</v>
      </c>
      <c r="N116" s="14">
        <f t="shared" si="26"/>
        <v>2.28695869402157</v>
      </c>
      <c r="O116" s="8">
        <v>0.1</v>
      </c>
      <c r="P116" s="19">
        <f t="shared" si="27"/>
        <v>2.47902401649422</v>
      </c>
    </row>
    <row r="117" spans="1:16">
      <c r="A117" s="5">
        <v>44562</v>
      </c>
      <c r="B117" s="7">
        <v>33</v>
      </c>
      <c r="C117" s="7">
        <v>6580</v>
      </c>
      <c r="D117" s="8">
        <f t="shared" si="22"/>
        <v>0.67</v>
      </c>
      <c r="E117" s="9">
        <f t="shared" si="23"/>
        <v>2.11756287150405</v>
      </c>
      <c r="F117" s="9">
        <f t="shared" si="28"/>
        <v>2.33664772727273</v>
      </c>
      <c r="G117" s="10"/>
      <c r="H117" s="13">
        <v>0.7</v>
      </c>
      <c r="I117" s="9">
        <f t="shared" si="24"/>
        <v>1.92970793129774</v>
      </c>
      <c r="J117" s="8">
        <v>0.8</v>
      </c>
      <c r="K117" s="9">
        <f t="shared" si="25"/>
        <v>2.06949616337731</v>
      </c>
      <c r="L117" s="1"/>
      <c r="M117" s="13">
        <v>0.2</v>
      </c>
      <c r="N117" s="9">
        <f t="shared" si="26"/>
        <v>2.24122577635422</v>
      </c>
      <c r="O117" s="13">
        <v>0.1</v>
      </c>
      <c r="P117" s="9">
        <f t="shared" si="27"/>
        <v>2.45423716714314</v>
      </c>
    </row>
    <row r="118" spans="1:16">
      <c r="A118" s="5">
        <v>44593</v>
      </c>
      <c r="B118" s="7">
        <v>23</v>
      </c>
      <c r="C118" s="7">
        <v>6853</v>
      </c>
      <c r="D118" s="8">
        <f t="shared" si="22"/>
        <v>0.77</v>
      </c>
      <c r="E118" s="9">
        <f t="shared" si="23"/>
        <v>2.17642661387894</v>
      </c>
      <c r="F118" s="9">
        <f t="shared" si="28"/>
        <v>2.43359375</v>
      </c>
      <c r="G118" s="10"/>
      <c r="H118" s="13">
        <v>0.7</v>
      </c>
      <c r="I118" s="9">
        <f t="shared" si="24"/>
        <v>1.98575157653649</v>
      </c>
      <c r="J118" s="8">
        <v>0.8</v>
      </c>
      <c r="K118" s="9">
        <f t="shared" si="25"/>
        <v>2.13818582326813</v>
      </c>
      <c r="L118" s="1"/>
      <c r="M118" s="13">
        <v>0.2</v>
      </c>
      <c r="N118" s="9">
        <f t="shared" si="26"/>
        <v>2.25982318173248</v>
      </c>
      <c r="O118" s="8">
        <v>0.1</v>
      </c>
      <c r="P118" s="9">
        <f t="shared" si="27"/>
        <v>2.46441964049618</v>
      </c>
    </row>
    <row r="119" spans="1:16">
      <c r="A119" s="5">
        <v>44621</v>
      </c>
      <c r="B119" s="7">
        <v>10</v>
      </c>
      <c r="C119" s="7">
        <v>6325</v>
      </c>
      <c r="D119" s="8">
        <f t="shared" si="22"/>
        <v>0.9</v>
      </c>
      <c r="E119" s="9">
        <f t="shared" si="23"/>
        <v>2.0473082709432</v>
      </c>
      <c r="F119" s="9">
        <f t="shared" si="28"/>
        <v>2.24609375</v>
      </c>
      <c r="G119" s="10"/>
      <c r="H119" s="13">
        <v>0.7</v>
      </c>
      <c r="I119" s="9">
        <f t="shared" si="24"/>
        <v>1.87865486229632</v>
      </c>
      <c r="J119" s="8">
        <v>0.8</v>
      </c>
      <c r="K119" s="9">
        <f t="shared" si="25"/>
        <v>2.00639395229943</v>
      </c>
      <c r="L119" s="1"/>
      <c r="M119" s="13">
        <v>0.2</v>
      </c>
      <c r="N119" s="9">
        <f t="shared" si="26"/>
        <v>2.22500086625153</v>
      </c>
      <c r="O119" s="13">
        <v>0.1</v>
      </c>
      <c r="P119" s="9">
        <f t="shared" si="27"/>
        <v>2.44543213764806</v>
      </c>
    </row>
    <row r="120" spans="1:16">
      <c r="A120" s="5">
        <v>44652</v>
      </c>
      <c r="B120" s="6">
        <v>5</v>
      </c>
      <c r="C120" s="7">
        <v>5628</v>
      </c>
      <c r="D120" s="8">
        <f t="shared" si="22"/>
        <v>0.95</v>
      </c>
      <c r="E120" s="9">
        <f t="shared" si="23"/>
        <v>1.84426060637993</v>
      </c>
      <c r="F120" s="9">
        <f t="shared" si="28"/>
        <v>1.99857954545455</v>
      </c>
      <c r="G120" s="10"/>
      <c r="H120" s="13">
        <v>0.7</v>
      </c>
      <c r="I120" s="9">
        <f t="shared" si="24"/>
        <v>1.73373854493436</v>
      </c>
      <c r="J120" s="8">
        <v>0.8</v>
      </c>
      <c r="K120" s="9">
        <f t="shared" si="25"/>
        <v>1.82951406806194</v>
      </c>
      <c r="L120" s="1"/>
      <c r="M120" s="17">
        <v>0.8</v>
      </c>
      <c r="N120" s="9">
        <f t="shared" si="26"/>
        <v>2.17596290249573</v>
      </c>
      <c r="O120" s="17">
        <v>0.9</v>
      </c>
      <c r="P120" s="9">
        <f t="shared" si="27"/>
        <v>2.41848405543556</v>
      </c>
    </row>
    <row r="121" spans="1:16">
      <c r="A121" s="5">
        <v>44682</v>
      </c>
      <c r="B121" s="6">
        <v>2</v>
      </c>
      <c r="C121" s="7">
        <v>6026</v>
      </c>
      <c r="D121" s="8">
        <f t="shared" si="22"/>
        <v>0.98</v>
      </c>
      <c r="E121" s="9">
        <f t="shared" si="23"/>
        <v>1.96816162544039</v>
      </c>
      <c r="F121" s="9">
        <f t="shared" si="28"/>
        <v>2.13991477272727</v>
      </c>
      <c r="G121" s="10"/>
      <c r="H121" s="13">
        <v>0.7</v>
      </c>
      <c r="I121" s="9">
        <f t="shared" si="24"/>
        <v>1.81956291569106</v>
      </c>
      <c r="J121" s="8">
        <v>0.8</v>
      </c>
      <c r="K121" s="9">
        <f t="shared" si="25"/>
        <v>1.93301749366089</v>
      </c>
      <c r="L121" s="1"/>
      <c r="M121" s="8">
        <v>0.8</v>
      </c>
      <c r="N121" s="9">
        <f t="shared" si="26"/>
        <v>2.29906641851467</v>
      </c>
      <c r="O121" s="8">
        <v>0.9</v>
      </c>
      <c r="P121" s="9">
        <f t="shared" si="27"/>
        <v>2.57241102570155</v>
      </c>
    </row>
    <row r="122" spans="1:16">
      <c r="A122" s="5">
        <v>44713</v>
      </c>
      <c r="B122" s="7">
        <v>12</v>
      </c>
      <c r="C122" s="7">
        <v>6454</v>
      </c>
      <c r="D122" s="8">
        <f t="shared" si="22"/>
        <v>0.88</v>
      </c>
      <c r="E122" s="9">
        <f t="shared" si="23"/>
        <v>2.10515560356431</v>
      </c>
      <c r="F122" s="9">
        <f t="shared" si="28"/>
        <v>2.29190340909091</v>
      </c>
      <c r="G122" s="10"/>
      <c r="H122" s="13">
        <v>0.7</v>
      </c>
      <c r="I122" s="9">
        <f t="shared" si="24"/>
        <v>1.91002774302944</v>
      </c>
      <c r="J122" s="8">
        <v>0.8</v>
      </c>
      <c r="K122" s="9">
        <f t="shared" si="25"/>
        <v>2.04285240733986</v>
      </c>
      <c r="L122" s="1"/>
      <c r="M122" s="8">
        <v>0.8</v>
      </c>
      <c r="N122" s="9">
        <f t="shared" si="26"/>
        <v>2.42970039490024</v>
      </c>
      <c r="O122" s="8">
        <v>0.9</v>
      </c>
      <c r="P122" s="9">
        <f t="shared" si="27"/>
        <v>2.73684725655124</v>
      </c>
    </row>
    <row r="123" spans="1:16">
      <c r="A123" s="5">
        <v>44743</v>
      </c>
      <c r="B123" s="7">
        <v>20</v>
      </c>
      <c r="C123" s="7">
        <v>6294</v>
      </c>
      <c r="D123" s="8">
        <f t="shared" si="22"/>
        <v>0.8</v>
      </c>
      <c r="E123" s="9">
        <f t="shared" si="23"/>
        <v>2.05922968026374</v>
      </c>
      <c r="F123" s="9">
        <f t="shared" si="28"/>
        <v>2.23508522727273</v>
      </c>
      <c r="G123" s="10"/>
      <c r="H123" s="13">
        <v>0.7</v>
      </c>
      <c r="I123" s="9">
        <f t="shared" si="24"/>
        <v>1.87688192536298</v>
      </c>
      <c r="J123" s="8">
        <v>0.8</v>
      </c>
      <c r="K123" s="9">
        <f t="shared" si="25"/>
        <v>2.00233720620266</v>
      </c>
      <c r="L123" s="1"/>
      <c r="M123" s="8">
        <v>0.8</v>
      </c>
      <c r="N123" s="9">
        <f t="shared" si="26"/>
        <v>2.38151296841322</v>
      </c>
      <c r="O123" s="8">
        <v>0.9</v>
      </c>
      <c r="P123" s="9">
        <f t="shared" si="27"/>
        <v>2.67578341940476</v>
      </c>
    </row>
    <row r="124" spans="1:16">
      <c r="A124" s="5">
        <v>44774</v>
      </c>
      <c r="B124" s="7">
        <v>18</v>
      </c>
      <c r="C124" s="7">
        <v>6156</v>
      </c>
      <c r="D124" s="8">
        <f t="shared" si="22"/>
        <v>0.82</v>
      </c>
      <c r="E124" s="9">
        <f t="shared" si="23"/>
        <v>2.02310973162994</v>
      </c>
      <c r="F124" s="9">
        <f t="shared" si="28"/>
        <v>2.18607954545455</v>
      </c>
      <c r="G124" s="10"/>
      <c r="H124" s="13">
        <v>0.7</v>
      </c>
      <c r="I124" s="9">
        <f t="shared" si="24"/>
        <v>1.84807563461146</v>
      </c>
      <c r="J124" s="8">
        <v>0.8</v>
      </c>
      <c r="K124" s="9">
        <f t="shared" si="25"/>
        <v>1.96721518085078</v>
      </c>
      <c r="L124" s="1"/>
      <c r="M124" s="8">
        <v>0.8</v>
      </c>
      <c r="N124" s="9">
        <f t="shared" si="26"/>
        <v>2.33974000500159</v>
      </c>
      <c r="O124" s="8">
        <v>0.9</v>
      </c>
      <c r="P124" s="9">
        <f t="shared" si="27"/>
        <v>2.62298197347371</v>
      </c>
    </row>
    <row r="125" spans="1:16">
      <c r="A125" s="5">
        <v>44805</v>
      </c>
      <c r="B125" s="6">
        <v>10</v>
      </c>
      <c r="C125" s="7">
        <v>5714</v>
      </c>
      <c r="D125" s="8">
        <f t="shared" si="22"/>
        <v>0.9</v>
      </c>
      <c r="E125" s="9">
        <f t="shared" si="23"/>
        <v>1.90399733865854</v>
      </c>
      <c r="F125" s="9">
        <f t="shared" si="28"/>
        <v>2.02911931818182</v>
      </c>
      <c r="G125" s="10"/>
      <c r="H125" s="13">
        <v>0.7</v>
      </c>
      <c r="I125" s="9">
        <f t="shared" si="24"/>
        <v>1.75519152133193</v>
      </c>
      <c r="J125" s="8">
        <v>0.8</v>
      </c>
      <c r="K125" s="9">
        <f t="shared" si="25"/>
        <v>1.8542185453815</v>
      </c>
      <c r="L125" s="1"/>
      <c r="M125" s="8">
        <v>0.8</v>
      </c>
      <c r="N125" s="9">
        <f t="shared" si="26"/>
        <v>2.20534558236212</v>
      </c>
      <c r="O125" s="8">
        <v>0.9</v>
      </c>
      <c r="P125" s="9">
        <f t="shared" si="27"/>
        <v>2.45348518512935</v>
      </c>
    </row>
    <row r="126" spans="1:16">
      <c r="A126" s="5">
        <v>44835</v>
      </c>
      <c r="B126" s="6">
        <v>7</v>
      </c>
      <c r="C126" s="7">
        <v>5807</v>
      </c>
      <c r="D126" s="8">
        <f t="shared" si="22"/>
        <v>0.93</v>
      </c>
      <c r="E126" s="9">
        <f t="shared" si="23"/>
        <v>1.93188753418632</v>
      </c>
      <c r="F126" s="9">
        <f t="shared" si="28"/>
        <v>2.06214488636364</v>
      </c>
      <c r="G126" s="10"/>
      <c r="H126" s="13">
        <v>0.7</v>
      </c>
      <c r="I126" s="9">
        <f t="shared" si="24"/>
        <v>1.77518854058967</v>
      </c>
      <c r="J126" s="8">
        <v>0.8</v>
      </c>
      <c r="K126" s="9">
        <f t="shared" si="25"/>
        <v>1.878361677999</v>
      </c>
      <c r="L126" s="1"/>
      <c r="M126" s="8">
        <v>0.8</v>
      </c>
      <c r="N126" s="9">
        <f t="shared" si="26"/>
        <v>2.23406061759624</v>
      </c>
      <c r="O126" s="8">
        <v>0.9</v>
      </c>
      <c r="P126" s="9">
        <f t="shared" si="27"/>
        <v>2.4894244063396</v>
      </c>
    </row>
    <row r="127" spans="1:16">
      <c r="A127" s="5">
        <v>44866</v>
      </c>
      <c r="B127" s="7">
        <v>12</v>
      </c>
      <c r="C127" s="7">
        <v>6156</v>
      </c>
      <c r="D127" s="8">
        <f t="shared" si="22"/>
        <v>0.88</v>
      </c>
      <c r="E127" s="9">
        <f t="shared" si="23"/>
        <v>2.03986630755826</v>
      </c>
      <c r="F127" s="9">
        <f t="shared" si="28"/>
        <v>2.18607954545455</v>
      </c>
      <c r="G127" s="10"/>
      <c r="H127" s="13">
        <v>0.7</v>
      </c>
      <c r="I127" s="9">
        <f t="shared" si="24"/>
        <v>1.84987057270024</v>
      </c>
      <c r="J127" s="8">
        <v>0.8</v>
      </c>
      <c r="K127" s="9">
        <f t="shared" si="25"/>
        <v>1.96867312633675</v>
      </c>
      <c r="L127" s="1"/>
      <c r="M127" s="8">
        <v>0.8</v>
      </c>
      <c r="N127" s="9">
        <f t="shared" si="26"/>
        <v>2.34147403664788</v>
      </c>
      <c r="O127" s="8">
        <v>0.9</v>
      </c>
      <c r="P127" s="9">
        <f t="shared" si="27"/>
        <v>2.62407710240146</v>
      </c>
    </row>
    <row r="128" spans="1:16">
      <c r="A128" s="11">
        <v>44896</v>
      </c>
      <c r="B128" s="12">
        <v>15</v>
      </c>
      <c r="C128" s="12">
        <v>5864</v>
      </c>
      <c r="D128" s="13">
        <f t="shared" si="22"/>
        <v>0.85</v>
      </c>
      <c r="E128" s="21">
        <f t="shared" si="23"/>
        <v>1.9547194514195</v>
      </c>
      <c r="F128" s="9">
        <f t="shared" si="28"/>
        <v>2.08238636363636</v>
      </c>
      <c r="G128" s="15"/>
      <c r="H128" s="13">
        <v>0.7</v>
      </c>
      <c r="I128" s="9">
        <f t="shared" si="24"/>
        <v>1.78844861931168</v>
      </c>
      <c r="J128" s="8">
        <v>0.8</v>
      </c>
      <c r="K128" s="9">
        <f t="shared" si="25"/>
        <v>1.89396844110084</v>
      </c>
      <c r="L128" s="18"/>
      <c r="M128" s="13">
        <v>0.8</v>
      </c>
      <c r="N128" s="9">
        <f t="shared" si="26"/>
        <v>2.25262278015649</v>
      </c>
      <c r="O128" s="8">
        <v>0.9</v>
      </c>
      <c r="P128" s="9">
        <f t="shared" si="27"/>
        <v>2.51205509744514</v>
      </c>
    </row>
    <row r="129" spans="1:16">
      <c r="A129" s="5">
        <v>44927</v>
      </c>
      <c r="B129" s="7">
        <v>23</v>
      </c>
      <c r="C129" s="7">
        <v>6289</v>
      </c>
      <c r="D129" s="8">
        <f t="shared" si="22"/>
        <v>0.77</v>
      </c>
      <c r="E129" s="9">
        <f t="shared" si="23"/>
        <v>2.07513936987539</v>
      </c>
      <c r="F129" s="9">
        <f t="shared" si="28"/>
        <v>2.23330965909091</v>
      </c>
      <c r="G129" s="10"/>
      <c r="H129" s="13">
        <v>0.7</v>
      </c>
      <c r="I129" s="9">
        <f t="shared" si="24"/>
        <v>1.87918249793468</v>
      </c>
      <c r="J129" s="8">
        <v>0.8</v>
      </c>
      <c r="K129" s="9">
        <f t="shared" si="25"/>
        <v>2.00378243666262</v>
      </c>
      <c r="L129" s="1"/>
      <c r="M129" s="8">
        <v>0.8</v>
      </c>
      <c r="N129" s="9">
        <f t="shared" si="26"/>
        <v>2.38323187723242</v>
      </c>
      <c r="O129" s="8">
        <v>0.9</v>
      </c>
      <c r="P129" s="9">
        <f t="shared" si="27"/>
        <v>2.67591271592618</v>
      </c>
    </row>
    <row r="130" spans="1:16">
      <c r="A130" s="5">
        <v>44958</v>
      </c>
      <c r="B130" s="7">
        <v>38</v>
      </c>
      <c r="C130" s="7">
        <v>6357</v>
      </c>
      <c r="D130" s="8">
        <f t="shared" si="22"/>
        <v>0.62</v>
      </c>
      <c r="E130" s="14">
        <f t="shared" si="23"/>
        <v>2.09241624973016</v>
      </c>
      <c r="F130" s="9">
        <f>C130/$C$7</f>
        <v>2.25745738636364</v>
      </c>
      <c r="G130" s="10"/>
      <c r="H130" s="13">
        <v>0.7</v>
      </c>
      <c r="I130" s="9">
        <f t="shared" si="24"/>
        <v>1.89340559968403</v>
      </c>
      <c r="J130" s="8">
        <v>0.8</v>
      </c>
      <c r="K130" s="14">
        <f t="shared" si="25"/>
        <v>2.02111520253231</v>
      </c>
      <c r="L130" s="1"/>
      <c r="M130" s="8">
        <v>0.8</v>
      </c>
      <c r="N130" s="14">
        <f t="shared" si="26"/>
        <v>2.40384688981334</v>
      </c>
      <c r="O130" s="8">
        <v>0.9</v>
      </c>
      <c r="P130" s="19">
        <f t="shared" si="27"/>
        <v>2.70195276334463</v>
      </c>
    </row>
    <row r="132" spans="3:3">
      <c r="C132">
        <f>C130/C7</f>
        <v>2.25745738636364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sjgs</dc:creator>
  <cp:lastModifiedBy>樊俊材</cp:lastModifiedBy>
  <dcterms:created xsi:type="dcterms:W3CDTF">2023-03-03T00:05:00Z</dcterms:created>
  <dcterms:modified xsi:type="dcterms:W3CDTF">2023-04-27T09:46:48Z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41F786A623E04DAEB3A556A876438A45</vt:lpwstr>
  </property>
  <property fmtid="{D5CDD505-2E9C-101B-9397-08002B2CF9AE}" pid="3" name="KSOProductBuildVer">
    <vt:lpwstr>2052-11.1.0.14036</vt:lpwstr>
  </property>
</Properties>
</file>